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danie\Downloads\"/>
    </mc:Choice>
  </mc:AlternateContent>
  <xr:revisionPtr revIDLastSave="0" documentId="13_ncr:1_{693E5911-343D-4443-B56A-539C06C98A7B}" xr6:coauthVersionLast="47" xr6:coauthVersionMax="47" xr10:uidLastSave="{00000000-0000-0000-0000-000000000000}"/>
  <bookViews>
    <workbookView xWindow="-110" yWindow="-10910" windowWidth="19420" windowHeight="10420" tabRatio="818" xr2:uid="{00000000-000D-0000-FFFF-FFFF00000000}"/>
  </bookViews>
  <sheets>
    <sheet name="BASE" sheetId="1" r:id="rId1"/>
    <sheet name="novos nomes" sheetId="10" state="hidden" r:id="rId2"/>
    <sheet name="CAD" sheetId="7" r:id="rId3"/>
    <sheet name="MS" sheetId="8" state="hidden" r:id="rId4"/>
    <sheet name="LISTA" sheetId="9" state="hidden" r:id="rId5"/>
  </sheets>
  <externalReferences>
    <externalReference r:id="rId6"/>
  </externalReferences>
  <definedNames>
    <definedName name="_xlnm._FilterDatabase" localSheetId="0" hidden="1">BASE!$C$7:$O$1271</definedName>
    <definedName name="_xlnm._FilterDatabase" localSheetId="1" hidden="1">'novos nomes'!$H$1:$H$1250</definedName>
    <definedName name="ASSINATURA">LISTA!$M$4:$N$5</definedName>
    <definedName name="BACKUP">CAD!$I$4</definedName>
    <definedName name="BEGIN">'[1]Show Room Primavera'!#REF!</definedName>
    <definedName name="CAD">'[1]Show Room Primavera'!#REF!</definedName>
    <definedName name="CARGO">LISTA!#REF!</definedName>
    <definedName name="CEL">LISTA!$N$5</definedName>
    <definedName name="CONTAGEM">LISTA!$E$6</definedName>
    <definedName name="CONTROL">BASE!$R$3</definedName>
    <definedName name="FALTA">CAD!$I:$I</definedName>
    <definedName name="FILTRO">BASE!$Q$2</definedName>
    <definedName name="MAIL">BASE!$O$3</definedName>
    <definedName name="MENSAGEM">LISTA!$M$1</definedName>
    <definedName name="NOME">LISTA!#REF!</definedName>
    <definedName name="REP">#REF!</definedName>
    <definedName name="TEL">LISTA!$M$5</definedName>
    <definedName name="USER">LISTA!#REF!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0" i="9" l="1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E6" i="9"/>
  <c r="M5" i="1" l="1"/>
  <c r="R1271" i="1" l="1"/>
  <c r="Q1271" i="1"/>
  <c r="R1270" i="1"/>
  <c r="U1270" i="1" s="1"/>
  <c r="Q1270" i="1"/>
  <c r="R1269" i="1"/>
  <c r="Q1269" i="1"/>
  <c r="R1268" i="1"/>
  <c r="Q1268" i="1"/>
  <c r="R1267" i="1"/>
  <c r="Q1267" i="1"/>
  <c r="R1266" i="1"/>
  <c r="Q1266" i="1"/>
  <c r="R1265" i="1"/>
  <c r="Q1265" i="1"/>
  <c r="R1264" i="1"/>
  <c r="U1264" i="1" s="1"/>
  <c r="Q1264" i="1"/>
  <c r="R1263" i="1"/>
  <c r="W1263" i="1" s="1"/>
  <c r="Q1263" i="1"/>
  <c r="R1262" i="1"/>
  <c r="U1262" i="1" s="1"/>
  <c r="Q1262" i="1"/>
  <c r="R1261" i="1"/>
  <c r="Q1261" i="1"/>
  <c r="R1260" i="1"/>
  <c r="Q1260" i="1"/>
  <c r="R1259" i="1"/>
  <c r="W1259" i="1" s="1"/>
  <c r="Q1259" i="1"/>
  <c r="R1258" i="1"/>
  <c r="Q1258" i="1"/>
  <c r="R1257" i="1"/>
  <c r="Q1257" i="1"/>
  <c r="R1256" i="1"/>
  <c r="U1256" i="1" s="1"/>
  <c r="Q1256" i="1"/>
  <c r="R1255" i="1"/>
  <c r="W1255" i="1" s="1"/>
  <c r="Q1255" i="1"/>
  <c r="R1254" i="1"/>
  <c r="U1254" i="1" s="1"/>
  <c r="Q1254" i="1"/>
  <c r="R1253" i="1"/>
  <c r="Q1253" i="1"/>
  <c r="R1252" i="1"/>
  <c r="Q1252" i="1"/>
  <c r="R1251" i="1"/>
  <c r="W1251" i="1" s="1"/>
  <c r="Q1251" i="1"/>
  <c r="R1250" i="1"/>
  <c r="Q1250" i="1"/>
  <c r="R1249" i="1"/>
  <c r="Q1249" i="1"/>
  <c r="R1248" i="1"/>
  <c r="U1248" i="1" s="1"/>
  <c r="Q1248" i="1"/>
  <c r="R1247" i="1"/>
  <c r="W1247" i="1" s="1"/>
  <c r="Q1247" i="1"/>
  <c r="R1246" i="1"/>
  <c r="U1246" i="1" s="1"/>
  <c r="Q1246" i="1"/>
  <c r="R1245" i="1"/>
  <c r="Q1245" i="1"/>
  <c r="R1244" i="1"/>
  <c r="Q1244" i="1"/>
  <c r="R1243" i="1"/>
  <c r="W1243" i="1" s="1"/>
  <c r="Q1243" i="1"/>
  <c r="R1242" i="1"/>
  <c r="Q1242" i="1"/>
  <c r="R1241" i="1"/>
  <c r="Q1241" i="1"/>
  <c r="R1240" i="1"/>
  <c r="Q1240" i="1"/>
  <c r="R1239" i="1"/>
  <c r="Q1239" i="1"/>
  <c r="R1238" i="1"/>
  <c r="Q1238" i="1"/>
  <c r="R1237" i="1"/>
  <c r="Q1237" i="1"/>
  <c r="R1236" i="1"/>
  <c r="Q1236" i="1"/>
  <c r="R1235" i="1"/>
  <c r="Q1235" i="1"/>
  <c r="R1234" i="1"/>
  <c r="Q1234" i="1"/>
  <c r="R1233" i="1"/>
  <c r="Q1233" i="1"/>
  <c r="R1232" i="1"/>
  <c r="Q1232" i="1"/>
  <c r="R1231" i="1"/>
  <c r="U1231" i="1" s="1"/>
  <c r="Q1231" i="1"/>
  <c r="R1230" i="1"/>
  <c r="U1230" i="1" s="1"/>
  <c r="Q1230" i="1"/>
  <c r="R1229" i="1"/>
  <c r="W1229" i="1" s="1"/>
  <c r="Q1229" i="1"/>
  <c r="R1228" i="1"/>
  <c r="Q1228" i="1"/>
  <c r="R1227" i="1"/>
  <c r="Q1227" i="1"/>
  <c r="R1226" i="1"/>
  <c r="U1226" i="1" s="1"/>
  <c r="Q1226" i="1"/>
  <c r="R1225" i="1"/>
  <c r="W1225" i="1" s="1"/>
  <c r="Q1225" i="1"/>
  <c r="R1224" i="1"/>
  <c r="U1224" i="1" s="1"/>
  <c r="Q1224" i="1"/>
  <c r="R1223" i="1"/>
  <c r="Q1223" i="1"/>
  <c r="R1222" i="1"/>
  <c r="U1222" i="1" s="1"/>
  <c r="Q1222" i="1"/>
  <c r="R1221" i="1"/>
  <c r="W1221" i="1" s="1"/>
  <c r="Q1221" i="1"/>
  <c r="R1220" i="1"/>
  <c r="U1220" i="1" s="1"/>
  <c r="Q1220" i="1"/>
  <c r="R1219" i="1"/>
  <c r="W1219" i="1" s="1"/>
  <c r="Q1219" i="1"/>
  <c r="R1218" i="1"/>
  <c r="U1218" i="1" s="1"/>
  <c r="Q1218" i="1"/>
  <c r="R1217" i="1"/>
  <c r="Q1217" i="1"/>
  <c r="R1216" i="1"/>
  <c r="U1216" i="1" s="1"/>
  <c r="Q1216" i="1"/>
  <c r="R1215" i="1"/>
  <c r="W1215" i="1" s="1"/>
  <c r="Q1215" i="1"/>
  <c r="R1214" i="1"/>
  <c r="U1214" i="1" s="1"/>
  <c r="Q1214" i="1"/>
  <c r="R1213" i="1"/>
  <c r="W1213" i="1" s="1"/>
  <c r="Q1213" i="1"/>
  <c r="R1212" i="1"/>
  <c r="Q1212" i="1"/>
  <c r="R1211" i="1"/>
  <c r="Q1211" i="1"/>
  <c r="R1210" i="1"/>
  <c r="U1210" i="1" s="1"/>
  <c r="Q1210" i="1"/>
  <c r="R1209" i="1"/>
  <c r="W1209" i="1" s="1"/>
  <c r="Q1209" i="1"/>
  <c r="R1208" i="1"/>
  <c r="U1208" i="1" s="1"/>
  <c r="Q1208" i="1"/>
  <c r="R1207" i="1"/>
  <c r="Q1207" i="1"/>
  <c r="R1206" i="1"/>
  <c r="U1206" i="1" s="1"/>
  <c r="Q1206" i="1"/>
  <c r="R1205" i="1"/>
  <c r="Q1205" i="1"/>
  <c r="R1204" i="1"/>
  <c r="U1204" i="1" s="1"/>
  <c r="Q1204" i="1"/>
  <c r="R1203" i="1"/>
  <c r="Q1203" i="1"/>
  <c r="R1202" i="1"/>
  <c r="U1202" i="1" s="1"/>
  <c r="Q1202" i="1"/>
  <c r="R1201" i="1"/>
  <c r="Q1201" i="1"/>
  <c r="R1200" i="1"/>
  <c r="U1200" i="1" s="1"/>
  <c r="Q1200" i="1"/>
  <c r="R1199" i="1"/>
  <c r="W1199" i="1" s="1"/>
  <c r="Q1199" i="1"/>
  <c r="R1198" i="1"/>
  <c r="U1198" i="1" s="1"/>
  <c r="Q1198" i="1"/>
  <c r="R1197" i="1"/>
  <c r="W1197" i="1" s="1"/>
  <c r="Q1197" i="1"/>
  <c r="R1196" i="1"/>
  <c r="Q1196" i="1"/>
  <c r="R1195" i="1"/>
  <c r="Q1195" i="1"/>
  <c r="R1194" i="1"/>
  <c r="U1194" i="1" s="1"/>
  <c r="Q1194" i="1"/>
  <c r="R1193" i="1"/>
  <c r="W1193" i="1" s="1"/>
  <c r="Q1193" i="1"/>
  <c r="R1192" i="1"/>
  <c r="U1192" i="1" s="1"/>
  <c r="Q1192" i="1"/>
  <c r="R1191" i="1"/>
  <c r="Q1191" i="1"/>
  <c r="R1190" i="1"/>
  <c r="U1190" i="1" s="1"/>
  <c r="Q1190" i="1"/>
  <c r="R1189" i="1"/>
  <c r="W1189" i="1" s="1"/>
  <c r="Q1189" i="1"/>
  <c r="R1188" i="1"/>
  <c r="U1188" i="1" s="1"/>
  <c r="Q1188" i="1"/>
  <c r="R1187" i="1"/>
  <c r="W1187" i="1" s="1"/>
  <c r="Q1187" i="1"/>
  <c r="R1186" i="1"/>
  <c r="U1186" i="1" s="1"/>
  <c r="Q1186" i="1"/>
  <c r="R1185" i="1"/>
  <c r="Q1185" i="1"/>
  <c r="R1184" i="1"/>
  <c r="U1184" i="1" s="1"/>
  <c r="Q1184" i="1"/>
  <c r="R1183" i="1"/>
  <c r="W1183" i="1" s="1"/>
  <c r="Q1183" i="1"/>
  <c r="R1182" i="1"/>
  <c r="U1182" i="1" s="1"/>
  <c r="Q1182" i="1"/>
  <c r="R1181" i="1"/>
  <c r="W1181" i="1" s="1"/>
  <c r="Q1181" i="1"/>
  <c r="R1180" i="1"/>
  <c r="Q1180" i="1"/>
  <c r="R1179" i="1"/>
  <c r="Q1179" i="1"/>
  <c r="R1178" i="1"/>
  <c r="U1178" i="1" s="1"/>
  <c r="Q1178" i="1"/>
  <c r="R1177" i="1"/>
  <c r="W1177" i="1" s="1"/>
  <c r="Q1177" i="1"/>
  <c r="R1176" i="1"/>
  <c r="U1176" i="1" s="1"/>
  <c r="Q1176" i="1"/>
  <c r="R1175" i="1"/>
  <c r="Q1175" i="1"/>
  <c r="R1174" i="1"/>
  <c r="U1174" i="1" s="1"/>
  <c r="Q1174" i="1"/>
  <c r="R1173" i="1"/>
  <c r="W1173" i="1" s="1"/>
  <c r="Q1173" i="1"/>
  <c r="R1172" i="1"/>
  <c r="U1172" i="1" s="1"/>
  <c r="Q1172" i="1"/>
  <c r="R1171" i="1"/>
  <c r="W1171" i="1" s="1"/>
  <c r="Q1171" i="1"/>
  <c r="R1170" i="1"/>
  <c r="U1170" i="1" s="1"/>
  <c r="Q1170" i="1"/>
  <c r="R1169" i="1"/>
  <c r="Q1169" i="1"/>
  <c r="R1168" i="1"/>
  <c r="U1168" i="1" s="1"/>
  <c r="Q1168" i="1"/>
  <c r="R1167" i="1"/>
  <c r="W1167" i="1" s="1"/>
  <c r="Q1167" i="1"/>
  <c r="R1166" i="1"/>
  <c r="U1166" i="1" s="1"/>
  <c r="Q1166" i="1"/>
  <c r="R1165" i="1"/>
  <c r="W1165" i="1" s="1"/>
  <c r="Q1165" i="1"/>
  <c r="R1164" i="1"/>
  <c r="Q1164" i="1"/>
  <c r="R1163" i="1"/>
  <c r="Q1163" i="1"/>
  <c r="R1162" i="1"/>
  <c r="U1162" i="1" s="1"/>
  <c r="Q1162" i="1"/>
  <c r="R1161" i="1"/>
  <c r="Q1161" i="1"/>
  <c r="R1160" i="1"/>
  <c r="U1160" i="1" s="1"/>
  <c r="Q1160" i="1"/>
  <c r="R1159" i="1"/>
  <c r="Q1159" i="1"/>
  <c r="R1158" i="1"/>
  <c r="U1158" i="1" s="1"/>
  <c r="Q1158" i="1"/>
  <c r="R1157" i="1"/>
  <c r="Q1157" i="1"/>
  <c r="R1156" i="1"/>
  <c r="U1156" i="1" s="1"/>
  <c r="Q1156" i="1"/>
  <c r="R1155" i="1"/>
  <c r="W1155" i="1" s="1"/>
  <c r="Q1155" i="1"/>
  <c r="R1154" i="1"/>
  <c r="U1154" i="1" s="1"/>
  <c r="Q1154" i="1"/>
  <c r="R1153" i="1"/>
  <c r="Q1153" i="1"/>
  <c r="R1152" i="1"/>
  <c r="U1152" i="1" s="1"/>
  <c r="Q1152" i="1"/>
  <c r="R1151" i="1"/>
  <c r="W1151" i="1" s="1"/>
  <c r="Q1151" i="1"/>
  <c r="R1150" i="1"/>
  <c r="U1150" i="1" s="1"/>
  <c r="Q1150" i="1"/>
  <c r="R1149" i="1"/>
  <c r="W1149" i="1" s="1"/>
  <c r="Q1149" i="1"/>
  <c r="R1148" i="1"/>
  <c r="Q1148" i="1"/>
  <c r="R1147" i="1"/>
  <c r="Q1147" i="1"/>
  <c r="R1146" i="1"/>
  <c r="U1146" i="1" s="1"/>
  <c r="Q1146" i="1"/>
  <c r="R1145" i="1"/>
  <c r="W1145" i="1" s="1"/>
  <c r="Q1145" i="1"/>
  <c r="R1144" i="1"/>
  <c r="U1144" i="1" s="1"/>
  <c r="Q1144" i="1"/>
  <c r="R1143" i="1"/>
  <c r="Q1143" i="1"/>
  <c r="R1142" i="1"/>
  <c r="U1142" i="1" s="1"/>
  <c r="Q1142" i="1"/>
  <c r="R1141" i="1"/>
  <c r="Q1141" i="1"/>
  <c r="R1140" i="1"/>
  <c r="U1140" i="1" s="1"/>
  <c r="Q1140" i="1"/>
  <c r="R1139" i="1"/>
  <c r="Q1139" i="1"/>
  <c r="R1138" i="1"/>
  <c r="U1138" i="1" s="1"/>
  <c r="Q1138" i="1"/>
  <c r="R1137" i="1"/>
  <c r="Q1137" i="1"/>
  <c r="R1136" i="1"/>
  <c r="U1136" i="1" s="1"/>
  <c r="Q1136" i="1"/>
  <c r="R1135" i="1"/>
  <c r="U1135" i="1" s="1"/>
  <c r="Q1135" i="1"/>
  <c r="R1134" i="1"/>
  <c r="U1134" i="1" s="1"/>
  <c r="Q1134" i="1"/>
  <c r="R1133" i="1"/>
  <c r="W1133" i="1" s="1"/>
  <c r="Q1133" i="1"/>
  <c r="R1132" i="1"/>
  <c r="Q1132" i="1"/>
  <c r="R1131" i="1"/>
  <c r="Q1131" i="1"/>
  <c r="R1130" i="1"/>
  <c r="U1130" i="1" s="1"/>
  <c r="Q1130" i="1"/>
  <c r="R1129" i="1"/>
  <c r="W1129" i="1" s="1"/>
  <c r="Q1129" i="1"/>
  <c r="R1128" i="1"/>
  <c r="U1128" i="1" s="1"/>
  <c r="Q1128" i="1"/>
  <c r="R1127" i="1"/>
  <c r="Q1127" i="1"/>
  <c r="R1126" i="1"/>
  <c r="U1126" i="1" s="1"/>
  <c r="Q1126" i="1"/>
  <c r="R1125" i="1"/>
  <c r="W1125" i="1" s="1"/>
  <c r="Q1125" i="1"/>
  <c r="R1124" i="1"/>
  <c r="U1124" i="1" s="1"/>
  <c r="Q1124" i="1"/>
  <c r="R1123" i="1"/>
  <c r="W1123" i="1" s="1"/>
  <c r="Q1123" i="1"/>
  <c r="R1122" i="1"/>
  <c r="U1122" i="1" s="1"/>
  <c r="Q1122" i="1"/>
  <c r="R1121" i="1"/>
  <c r="Q1121" i="1"/>
  <c r="R1120" i="1"/>
  <c r="U1120" i="1" s="1"/>
  <c r="Q1120" i="1"/>
  <c r="R1119" i="1"/>
  <c r="W1119" i="1" s="1"/>
  <c r="Q1119" i="1"/>
  <c r="R1118" i="1"/>
  <c r="U1118" i="1" s="1"/>
  <c r="Q1118" i="1"/>
  <c r="R1117" i="1"/>
  <c r="U1117" i="1" s="1"/>
  <c r="Q1117" i="1"/>
  <c r="R1116" i="1"/>
  <c r="Q1116" i="1"/>
  <c r="R1115" i="1"/>
  <c r="Q1115" i="1"/>
  <c r="R1114" i="1"/>
  <c r="U1114" i="1" s="1"/>
  <c r="Q1114" i="1"/>
  <c r="R1113" i="1"/>
  <c r="W1113" i="1" s="1"/>
  <c r="Q1113" i="1"/>
  <c r="R1112" i="1"/>
  <c r="U1112" i="1" s="1"/>
  <c r="Q1112" i="1"/>
  <c r="R1111" i="1"/>
  <c r="Q1111" i="1"/>
  <c r="R1110" i="1"/>
  <c r="U1110" i="1" s="1"/>
  <c r="Q1110" i="1"/>
  <c r="R1109" i="1"/>
  <c r="W1109" i="1" s="1"/>
  <c r="Q1109" i="1"/>
  <c r="R1108" i="1"/>
  <c r="U1108" i="1" s="1"/>
  <c r="Q1108" i="1"/>
  <c r="R1107" i="1"/>
  <c r="W1107" i="1" s="1"/>
  <c r="Q1107" i="1"/>
  <c r="R1106" i="1"/>
  <c r="U1106" i="1" s="1"/>
  <c r="Q1106" i="1"/>
  <c r="R1105" i="1"/>
  <c r="Q1105" i="1"/>
  <c r="R1104" i="1"/>
  <c r="U1104" i="1" s="1"/>
  <c r="Q1104" i="1"/>
  <c r="R1103" i="1"/>
  <c r="U1103" i="1" s="1"/>
  <c r="Q1103" i="1"/>
  <c r="R1102" i="1"/>
  <c r="U1102" i="1" s="1"/>
  <c r="Q1102" i="1"/>
  <c r="R1101" i="1"/>
  <c r="W1101" i="1" s="1"/>
  <c r="Q1101" i="1"/>
  <c r="R1100" i="1"/>
  <c r="Q1100" i="1"/>
  <c r="R1099" i="1"/>
  <c r="Q1099" i="1"/>
  <c r="R1098" i="1"/>
  <c r="U1098" i="1" s="1"/>
  <c r="Q1098" i="1"/>
  <c r="R1097" i="1"/>
  <c r="W1097" i="1" s="1"/>
  <c r="Q1097" i="1"/>
  <c r="R1096" i="1"/>
  <c r="U1096" i="1" s="1"/>
  <c r="Q1096" i="1"/>
  <c r="R1095" i="1"/>
  <c r="Q1095" i="1"/>
  <c r="R1094" i="1"/>
  <c r="U1094" i="1" s="1"/>
  <c r="Q1094" i="1"/>
  <c r="R1093" i="1"/>
  <c r="W1093" i="1" s="1"/>
  <c r="Q1093" i="1"/>
  <c r="R1092" i="1"/>
  <c r="U1092" i="1" s="1"/>
  <c r="Q1092" i="1"/>
  <c r="R1091" i="1"/>
  <c r="U1091" i="1" s="1"/>
  <c r="Q1091" i="1"/>
  <c r="R1090" i="1"/>
  <c r="U1090" i="1" s="1"/>
  <c r="Q1090" i="1"/>
  <c r="R1089" i="1"/>
  <c r="Q1089" i="1"/>
  <c r="R1088" i="1"/>
  <c r="U1088" i="1" s="1"/>
  <c r="Q1088" i="1"/>
  <c r="R1087" i="1"/>
  <c r="U1087" i="1" s="1"/>
  <c r="Q1087" i="1"/>
  <c r="R1086" i="1"/>
  <c r="U1086" i="1" s="1"/>
  <c r="Q1086" i="1"/>
  <c r="R1085" i="1"/>
  <c r="U1085" i="1" s="1"/>
  <c r="Q1085" i="1"/>
  <c r="R1084" i="1"/>
  <c r="Q1084" i="1"/>
  <c r="R1083" i="1"/>
  <c r="Q1083" i="1"/>
  <c r="R1082" i="1"/>
  <c r="U1082" i="1" s="1"/>
  <c r="Q1082" i="1"/>
  <c r="R1081" i="1"/>
  <c r="U1081" i="1" s="1"/>
  <c r="Q1081" i="1"/>
  <c r="R1080" i="1"/>
  <c r="U1080" i="1" s="1"/>
  <c r="Q1080" i="1"/>
  <c r="R1079" i="1"/>
  <c r="Q1079" i="1"/>
  <c r="R1078" i="1"/>
  <c r="U1078" i="1" s="1"/>
  <c r="Q1078" i="1"/>
  <c r="R1077" i="1"/>
  <c r="Q1077" i="1"/>
  <c r="R1076" i="1"/>
  <c r="Q1076" i="1"/>
  <c r="R1075" i="1"/>
  <c r="U1075" i="1" s="1"/>
  <c r="Q1075" i="1"/>
  <c r="R1074" i="1"/>
  <c r="U1074" i="1" s="1"/>
  <c r="Q1074" i="1"/>
  <c r="R1073" i="1"/>
  <c r="Q1073" i="1"/>
  <c r="R1072" i="1"/>
  <c r="U1072" i="1" s="1"/>
  <c r="Q1072" i="1"/>
  <c r="R1071" i="1"/>
  <c r="U1071" i="1" s="1"/>
  <c r="Q1071" i="1"/>
  <c r="R1070" i="1"/>
  <c r="U1070" i="1" s="1"/>
  <c r="Q1070" i="1"/>
  <c r="R1069" i="1"/>
  <c r="U1069" i="1" s="1"/>
  <c r="Q1069" i="1"/>
  <c r="R1068" i="1"/>
  <c r="Q1068" i="1"/>
  <c r="R1067" i="1"/>
  <c r="Q1067" i="1"/>
  <c r="R1066" i="1"/>
  <c r="U1066" i="1" s="1"/>
  <c r="Q1066" i="1"/>
  <c r="R1065" i="1"/>
  <c r="U1065" i="1" s="1"/>
  <c r="Q1065" i="1"/>
  <c r="R1064" i="1"/>
  <c r="U1064" i="1" s="1"/>
  <c r="Q1064" i="1"/>
  <c r="R1063" i="1"/>
  <c r="Q1063" i="1"/>
  <c r="R1062" i="1"/>
  <c r="U1062" i="1" s="1"/>
  <c r="Q1062" i="1"/>
  <c r="R1061" i="1"/>
  <c r="Q1061" i="1"/>
  <c r="R1060" i="1"/>
  <c r="Q1060" i="1"/>
  <c r="R1059" i="1"/>
  <c r="U1059" i="1" s="1"/>
  <c r="Q1059" i="1"/>
  <c r="R1058" i="1"/>
  <c r="U1058" i="1" s="1"/>
  <c r="Q1058" i="1"/>
  <c r="R1057" i="1"/>
  <c r="Q1057" i="1"/>
  <c r="R1056" i="1"/>
  <c r="U1056" i="1" s="1"/>
  <c r="Q1056" i="1"/>
  <c r="R1055" i="1"/>
  <c r="U1055" i="1" s="1"/>
  <c r="Q1055" i="1"/>
  <c r="R1054" i="1"/>
  <c r="U1054" i="1" s="1"/>
  <c r="Q1054" i="1"/>
  <c r="R1053" i="1"/>
  <c r="U1053" i="1" s="1"/>
  <c r="Q1053" i="1"/>
  <c r="R1052" i="1"/>
  <c r="Q1052" i="1"/>
  <c r="R1051" i="1"/>
  <c r="Q1051" i="1"/>
  <c r="R1050" i="1"/>
  <c r="U1050" i="1" s="1"/>
  <c r="Q1050" i="1"/>
  <c r="R1049" i="1"/>
  <c r="U1049" i="1" s="1"/>
  <c r="Q1049" i="1"/>
  <c r="R1048" i="1"/>
  <c r="U1048" i="1" s="1"/>
  <c r="Q1048" i="1"/>
  <c r="R1047" i="1"/>
  <c r="Q1047" i="1"/>
  <c r="R1046" i="1"/>
  <c r="U1046" i="1" s="1"/>
  <c r="Q1046" i="1"/>
  <c r="R1045" i="1"/>
  <c r="Q1045" i="1"/>
  <c r="R1044" i="1"/>
  <c r="Q1044" i="1"/>
  <c r="R1043" i="1"/>
  <c r="U1043" i="1" s="1"/>
  <c r="Q1043" i="1"/>
  <c r="R1042" i="1"/>
  <c r="U1042" i="1" s="1"/>
  <c r="Q1042" i="1"/>
  <c r="R1041" i="1"/>
  <c r="Q1041" i="1"/>
  <c r="R1040" i="1"/>
  <c r="U1040" i="1" s="1"/>
  <c r="Q1040" i="1"/>
  <c r="R1039" i="1"/>
  <c r="U1039" i="1" s="1"/>
  <c r="Q1039" i="1"/>
  <c r="R1038" i="1"/>
  <c r="U1038" i="1" s="1"/>
  <c r="Q1038" i="1"/>
  <c r="R1037" i="1"/>
  <c r="U1037" i="1" s="1"/>
  <c r="Q1037" i="1"/>
  <c r="R1036" i="1"/>
  <c r="Q1036" i="1"/>
  <c r="R1035" i="1"/>
  <c r="Q1035" i="1"/>
  <c r="R1034" i="1"/>
  <c r="U1034" i="1" s="1"/>
  <c r="Q1034" i="1"/>
  <c r="R1033" i="1"/>
  <c r="U1033" i="1" s="1"/>
  <c r="Q1033" i="1"/>
  <c r="R1032" i="1"/>
  <c r="U1032" i="1" s="1"/>
  <c r="Q1032" i="1"/>
  <c r="R1031" i="1"/>
  <c r="Q1031" i="1"/>
  <c r="R1030" i="1"/>
  <c r="U1030" i="1" s="1"/>
  <c r="Q1030" i="1"/>
  <c r="R1029" i="1"/>
  <c r="Q1029" i="1"/>
  <c r="R1028" i="1"/>
  <c r="Q1028" i="1"/>
  <c r="R1027" i="1"/>
  <c r="U1027" i="1" s="1"/>
  <c r="Q1027" i="1"/>
  <c r="R1026" i="1"/>
  <c r="U1026" i="1" s="1"/>
  <c r="Q1026" i="1"/>
  <c r="R1025" i="1"/>
  <c r="Q1025" i="1"/>
  <c r="R1024" i="1"/>
  <c r="U1024" i="1" s="1"/>
  <c r="Q1024" i="1"/>
  <c r="R1023" i="1"/>
  <c r="U1023" i="1" s="1"/>
  <c r="Q1023" i="1"/>
  <c r="R1022" i="1"/>
  <c r="U1022" i="1" s="1"/>
  <c r="Q1022" i="1"/>
  <c r="R1021" i="1"/>
  <c r="U1021" i="1" s="1"/>
  <c r="Q1021" i="1"/>
  <c r="R1020" i="1"/>
  <c r="Q1020" i="1"/>
  <c r="R1019" i="1"/>
  <c r="Q1019" i="1"/>
  <c r="R1018" i="1"/>
  <c r="U1018" i="1" s="1"/>
  <c r="Q1018" i="1"/>
  <c r="R1017" i="1"/>
  <c r="U1017" i="1" s="1"/>
  <c r="Q1017" i="1"/>
  <c r="R1016" i="1"/>
  <c r="U1016" i="1" s="1"/>
  <c r="Q1016" i="1"/>
  <c r="R1015" i="1"/>
  <c r="Q1015" i="1"/>
  <c r="R1014" i="1"/>
  <c r="U1014" i="1" s="1"/>
  <c r="Q1014" i="1"/>
  <c r="R1013" i="1"/>
  <c r="Q1013" i="1"/>
  <c r="R1012" i="1"/>
  <c r="Q1012" i="1"/>
  <c r="R1011" i="1"/>
  <c r="U1011" i="1" s="1"/>
  <c r="Q1011" i="1"/>
  <c r="R1010" i="1"/>
  <c r="U1010" i="1" s="1"/>
  <c r="Q1010" i="1"/>
  <c r="R1009" i="1"/>
  <c r="Q1009" i="1"/>
  <c r="R1008" i="1"/>
  <c r="U1008" i="1" s="1"/>
  <c r="Q1008" i="1"/>
  <c r="R1007" i="1"/>
  <c r="U1007" i="1" s="1"/>
  <c r="Q1007" i="1"/>
  <c r="R1006" i="1"/>
  <c r="U1006" i="1" s="1"/>
  <c r="Q1006" i="1"/>
  <c r="R1005" i="1"/>
  <c r="U1005" i="1" s="1"/>
  <c r="Q1005" i="1"/>
  <c r="R1004" i="1"/>
  <c r="Q1004" i="1"/>
  <c r="R1003" i="1"/>
  <c r="Q1003" i="1"/>
  <c r="R1002" i="1"/>
  <c r="U1002" i="1" s="1"/>
  <c r="Q1002" i="1"/>
  <c r="R1001" i="1"/>
  <c r="U1001" i="1" s="1"/>
  <c r="Q1001" i="1"/>
  <c r="R1000" i="1"/>
  <c r="U1000" i="1" s="1"/>
  <c r="Q1000" i="1"/>
  <c r="R999" i="1"/>
  <c r="Q999" i="1"/>
  <c r="R998" i="1"/>
  <c r="U998" i="1" s="1"/>
  <c r="Q998" i="1"/>
  <c r="R997" i="1"/>
  <c r="W997" i="1" s="1"/>
  <c r="Q997" i="1"/>
  <c r="R996" i="1"/>
  <c r="Q996" i="1"/>
  <c r="R995" i="1"/>
  <c r="U995" i="1" s="1"/>
  <c r="Q995" i="1"/>
  <c r="R994" i="1"/>
  <c r="U994" i="1" s="1"/>
  <c r="Q994" i="1"/>
  <c r="R993" i="1"/>
  <c r="Q993" i="1"/>
  <c r="R992" i="1"/>
  <c r="U992" i="1" s="1"/>
  <c r="Q992" i="1"/>
  <c r="R991" i="1"/>
  <c r="U991" i="1" s="1"/>
  <c r="Q991" i="1"/>
  <c r="R990" i="1"/>
  <c r="U990" i="1" s="1"/>
  <c r="Q990" i="1"/>
  <c r="R989" i="1"/>
  <c r="W989" i="1" s="1"/>
  <c r="Q989" i="1"/>
  <c r="R988" i="1"/>
  <c r="Q988" i="1"/>
  <c r="R987" i="1"/>
  <c r="Q987" i="1"/>
  <c r="R986" i="1"/>
  <c r="U986" i="1" s="1"/>
  <c r="Q986" i="1"/>
  <c r="R985" i="1"/>
  <c r="U985" i="1" s="1"/>
  <c r="Q985" i="1"/>
  <c r="R984" i="1"/>
  <c r="U984" i="1" s="1"/>
  <c r="Q984" i="1"/>
  <c r="R983" i="1"/>
  <c r="Q983" i="1"/>
  <c r="R982" i="1"/>
  <c r="U982" i="1" s="1"/>
  <c r="Q982" i="1"/>
  <c r="R981" i="1"/>
  <c r="Q981" i="1"/>
  <c r="R980" i="1"/>
  <c r="U980" i="1" s="1"/>
  <c r="Q980" i="1"/>
  <c r="R979" i="1"/>
  <c r="W979" i="1" s="1"/>
  <c r="Q979" i="1"/>
  <c r="R978" i="1"/>
  <c r="Q978" i="1"/>
  <c r="R977" i="1"/>
  <c r="W977" i="1" s="1"/>
  <c r="Q977" i="1"/>
  <c r="R976" i="1"/>
  <c r="U976" i="1" s="1"/>
  <c r="Q976" i="1"/>
  <c r="R975" i="1"/>
  <c r="Q975" i="1"/>
  <c r="R974" i="1"/>
  <c r="U974" i="1" s="1"/>
  <c r="Q974" i="1"/>
  <c r="R973" i="1"/>
  <c r="Q973" i="1"/>
  <c r="R972" i="1"/>
  <c r="U972" i="1" s="1"/>
  <c r="Q972" i="1"/>
  <c r="R971" i="1"/>
  <c r="W971" i="1" s="1"/>
  <c r="Q971" i="1"/>
  <c r="R970" i="1"/>
  <c r="Q970" i="1"/>
  <c r="R969" i="1"/>
  <c r="Q969" i="1"/>
  <c r="R968" i="1"/>
  <c r="U968" i="1" s="1"/>
  <c r="Q968" i="1"/>
  <c r="R967" i="1"/>
  <c r="Q967" i="1"/>
  <c r="R966" i="1"/>
  <c r="Q966" i="1"/>
  <c r="R965" i="1"/>
  <c r="W965" i="1" s="1"/>
  <c r="Q965" i="1"/>
  <c r="R964" i="1"/>
  <c r="Q964" i="1"/>
  <c r="R963" i="1"/>
  <c r="W963" i="1" s="1"/>
  <c r="Q963" i="1"/>
  <c r="R962" i="1"/>
  <c r="Q962" i="1"/>
  <c r="R961" i="1"/>
  <c r="W961" i="1" s="1"/>
  <c r="Q961" i="1"/>
  <c r="R960" i="1"/>
  <c r="Q960" i="1"/>
  <c r="R959" i="1"/>
  <c r="Q959" i="1"/>
  <c r="R958" i="1"/>
  <c r="Q958" i="1"/>
  <c r="R957" i="1"/>
  <c r="W957" i="1" s="1"/>
  <c r="Q957" i="1"/>
  <c r="R956" i="1"/>
  <c r="Q956" i="1"/>
  <c r="R955" i="1"/>
  <c r="W955" i="1" s="1"/>
  <c r="Q955" i="1"/>
  <c r="R954" i="1"/>
  <c r="Q954" i="1"/>
  <c r="R953" i="1"/>
  <c r="W953" i="1" s="1"/>
  <c r="Q953" i="1"/>
  <c r="R952" i="1"/>
  <c r="Q952" i="1"/>
  <c r="R951" i="1"/>
  <c r="Q951" i="1"/>
  <c r="R950" i="1"/>
  <c r="Q950" i="1"/>
  <c r="R949" i="1"/>
  <c r="W949" i="1" s="1"/>
  <c r="Q949" i="1"/>
  <c r="R948" i="1"/>
  <c r="Q948" i="1"/>
  <c r="R947" i="1"/>
  <c r="W947" i="1" s="1"/>
  <c r="Q947" i="1"/>
  <c r="R946" i="1"/>
  <c r="Q946" i="1"/>
  <c r="R945" i="1"/>
  <c r="W945" i="1" s="1"/>
  <c r="Q945" i="1"/>
  <c r="R944" i="1"/>
  <c r="Q944" i="1"/>
  <c r="R943" i="1"/>
  <c r="Q943" i="1"/>
  <c r="R942" i="1"/>
  <c r="Q942" i="1"/>
  <c r="R941" i="1"/>
  <c r="W941" i="1" s="1"/>
  <c r="Q941" i="1"/>
  <c r="R940" i="1"/>
  <c r="Q940" i="1"/>
  <c r="R939" i="1"/>
  <c r="Q939" i="1"/>
  <c r="R938" i="1"/>
  <c r="U938" i="1" s="1"/>
  <c r="Q938" i="1"/>
  <c r="R937" i="1"/>
  <c r="W937" i="1" s="1"/>
  <c r="Q937" i="1"/>
  <c r="R936" i="1"/>
  <c r="U936" i="1" s="1"/>
  <c r="Q936" i="1"/>
  <c r="R935" i="1"/>
  <c r="Q935" i="1"/>
  <c r="R934" i="1"/>
  <c r="U934" i="1" s="1"/>
  <c r="Q934" i="1"/>
  <c r="R933" i="1"/>
  <c r="Q933" i="1"/>
  <c r="R932" i="1"/>
  <c r="U932" i="1" s="1"/>
  <c r="Q932" i="1"/>
  <c r="R931" i="1"/>
  <c r="W931" i="1" s="1"/>
  <c r="Q931" i="1"/>
  <c r="R930" i="1"/>
  <c r="U930" i="1" s="1"/>
  <c r="Q930" i="1"/>
  <c r="R929" i="1"/>
  <c r="Q929" i="1"/>
  <c r="R928" i="1"/>
  <c r="U928" i="1" s="1"/>
  <c r="Q928" i="1"/>
  <c r="R927" i="1"/>
  <c r="Q927" i="1"/>
  <c r="R926" i="1"/>
  <c r="U926" i="1" s="1"/>
  <c r="Q926" i="1"/>
  <c r="R925" i="1"/>
  <c r="W925" i="1" s="1"/>
  <c r="Q925" i="1"/>
  <c r="R924" i="1"/>
  <c r="U924" i="1" s="1"/>
  <c r="Q924" i="1"/>
  <c r="R923" i="1"/>
  <c r="W923" i="1" s="1"/>
  <c r="Q923" i="1"/>
  <c r="R922" i="1"/>
  <c r="U922" i="1" s="1"/>
  <c r="Q922" i="1"/>
  <c r="R921" i="1"/>
  <c r="W921" i="1" s="1"/>
  <c r="Q921" i="1"/>
  <c r="R920" i="1"/>
  <c r="U920" i="1" s="1"/>
  <c r="Q920" i="1"/>
  <c r="R919" i="1"/>
  <c r="Q919" i="1"/>
  <c r="R918" i="1"/>
  <c r="U918" i="1" s="1"/>
  <c r="Q918" i="1"/>
  <c r="R917" i="1"/>
  <c r="Q917" i="1"/>
  <c r="R916" i="1"/>
  <c r="U916" i="1" s="1"/>
  <c r="Q916" i="1"/>
  <c r="R915" i="1"/>
  <c r="Q915" i="1"/>
  <c r="R914" i="1"/>
  <c r="U914" i="1" s="1"/>
  <c r="Q914" i="1"/>
  <c r="R913" i="1"/>
  <c r="W913" i="1" s="1"/>
  <c r="Q913" i="1"/>
  <c r="R912" i="1"/>
  <c r="U912" i="1" s="1"/>
  <c r="Q912" i="1"/>
  <c r="R911" i="1"/>
  <c r="Q911" i="1"/>
  <c r="R910" i="1"/>
  <c r="U910" i="1" s="1"/>
  <c r="Q910" i="1"/>
  <c r="R909" i="1"/>
  <c r="W909" i="1" s="1"/>
  <c r="Q909" i="1"/>
  <c r="R908" i="1"/>
  <c r="U908" i="1" s="1"/>
  <c r="Q908" i="1"/>
  <c r="R907" i="1"/>
  <c r="Q907" i="1"/>
  <c r="R906" i="1"/>
  <c r="U906" i="1" s="1"/>
  <c r="Q906" i="1"/>
  <c r="R905" i="1"/>
  <c r="W905" i="1" s="1"/>
  <c r="Q905" i="1"/>
  <c r="R904" i="1"/>
  <c r="U904" i="1" s="1"/>
  <c r="Q904" i="1"/>
  <c r="R903" i="1"/>
  <c r="W903" i="1" s="1"/>
  <c r="Q903" i="1"/>
  <c r="R902" i="1"/>
  <c r="U902" i="1" s="1"/>
  <c r="Q902" i="1"/>
  <c r="R901" i="1"/>
  <c r="W901" i="1" s="1"/>
  <c r="Q901" i="1"/>
  <c r="R900" i="1"/>
  <c r="U900" i="1" s="1"/>
  <c r="Q900" i="1"/>
  <c r="R899" i="1"/>
  <c r="Q899" i="1"/>
  <c r="R898" i="1"/>
  <c r="U898" i="1" s="1"/>
  <c r="Q898" i="1"/>
  <c r="R897" i="1"/>
  <c r="W897" i="1" s="1"/>
  <c r="Q897" i="1"/>
  <c r="R896" i="1"/>
  <c r="U896" i="1" s="1"/>
  <c r="Q896" i="1"/>
  <c r="R895" i="1"/>
  <c r="W895" i="1" s="1"/>
  <c r="Q895" i="1"/>
  <c r="R894" i="1"/>
  <c r="U894" i="1" s="1"/>
  <c r="Q894" i="1"/>
  <c r="R893" i="1"/>
  <c r="W893" i="1" s="1"/>
  <c r="Q893" i="1"/>
  <c r="R892" i="1"/>
  <c r="U892" i="1" s="1"/>
  <c r="Q892" i="1"/>
  <c r="R891" i="1"/>
  <c r="W891" i="1" s="1"/>
  <c r="Q891" i="1"/>
  <c r="R890" i="1"/>
  <c r="U890" i="1" s="1"/>
  <c r="Q890" i="1"/>
  <c r="R889" i="1"/>
  <c r="W889" i="1" s="1"/>
  <c r="Q889" i="1"/>
  <c r="R888" i="1"/>
  <c r="U888" i="1" s="1"/>
  <c r="Q888" i="1"/>
  <c r="R887" i="1"/>
  <c r="W887" i="1" s="1"/>
  <c r="Q887" i="1"/>
  <c r="R886" i="1"/>
  <c r="U886" i="1" s="1"/>
  <c r="Q886" i="1"/>
  <c r="R885" i="1"/>
  <c r="W885" i="1" s="1"/>
  <c r="Q885" i="1"/>
  <c r="R884" i="1"/>
  <c r="U884" i="1" s="1"/>
  <c r="Q884" i="1"/>
  <c r="R883" i="1"/>
  <c r="W883" i="1" s="1"/>
  <c r="Q883" i="1"/>
  <c r="R882" i="1"/>
  <c r="U882" i="1" s="1"/>
  <c r="Q882" i="1"/>
  <c r="R881" i="1"/>
  <c r="W881" i="1" s="1"/>
  <c r="Q881" i="1"/>
  <c r="R880" i="1"/>
  <c r="U880" i="1" s="1"/>
  <c r="Q880" i="1"/>
  <c r="R879" i="1"/>
  <c r="W879" i="1" s="1"/>
  <c r="Q879" i="1"/>
  <c r="R878" i="1"/>
  <c r="U878" i="1" s="1"/>
  <c r="Q878" i="1"/>
  <c r="R877" i="1"/>
  <c r="W877" i="1" s="1"/>
  <c r="Q877" i="1"/>
  <c r="R876" i="1"/>
  <c r="U876" i="1" s="1"/>
  <c r="Q876" i="1"/>
  <c r="R875" i="1"/>
  <c r="W875" i="1" s="1"/>
  <c r="Q875" i="1"/>
  <c r="R874" i="1"/>
  <c r="U874" i="1" s="1"/>
  <c r="Q874" i="1"/>
  <c r="R873" i="1"/>
  <c r="W873" i="1" s="1"/>
  <c r="Q873" i="1"/>
  <c r="R872" i="1"/>
  <c r="U872" i="1" s="1"/>
  <c r="Q872" i="1"/>
  <c r="R871" i="1"/>
  <c r="W871" i="1" s="1"/>
  <c r="Q871" i="1"/>
  <c r="R870" i="1"/>
  <c r="U870" i="1" s="1"/>
  <c r="Q870" i="1"/>
  <c r="R869" i="1"/>
  <c r="W869" i="1" s="1"/>
  <c r="Q869" i="1"/>
  <c r="R868" i="1"/>
  <c r="U868" i="1" s="1"/>
  <c r="Q868" i="1"/>
  <c r="R867" i="1"/>
  <c r="W867" i="1" s="1"/>
  <c r="Q867" i="1"/>
  <c r="R866" i="1"/>
  <c r="U866" i="1" s="1"/>
  <c r="Q866" i="1"/>
  <c r="R865" i="1"/>
  <c r="W865" i="1" s="1"/>
  <c r="Q865" i="1"/>
  <c r="R864" i="1"/>
  <c r="U864" i="1" s="1"/>
  <c r="Q864" i="1"/>
  <c r="R863" i="1"/>
  <c r="W863" i="1" s="1"/>
  <c r="Q863" i="1"/>
  <c r="R862" i="1"/>
  <c r="U862" i="1" s="1"/>
  <c r="Q862" i="1"/>
  <c r="R861" i="1"/>
  <c r="W861" i="1" s="1"/>
  <c r="Q861" i="1"/>
  <c r="R860" i="1"/>
  <c r="U860" i="1" s="1"/>
  <c r="Q860" i="1"/>
  <c r="R859" i="1"/>
  <c r="W859" i="1" s="1"/>
  <c r="Q859" i="1"/>
  <c r="R858" i="1"/>
  <c r="U858" i="1" s="1"/>
  <c r="Q858" i="1"/>
  <c r="R857" i="1"/>
  <c r="W857" i="1" s="1"/>
  <c r="Q857" i="1"/>
  <c r="R856" i="1"/>
  <c r="U856" i="1" s="1"/>
  <c r="Q856" i="1"/>
  <c r="R855" i="1"/>
  <c r="Q855" i="1"/>
  <c r="R854" i="1"/>
  <c r="U854" i="1" s="1"/>
  <c r="Q854" i="1"/>
  <c r="R853" i="1"/>
  <c r="Q853" i="1"/>
  <c r="R852" i="1"/>
  <c r="U852" i="1" s="1"/>
  <c r="Q852" i="1"/>
  <c r="R851" i="1"/>
  <c r="Q851" i="1"/>
  <c r="R850" i="1"/>
  <c r="U850" i="1" s="1"/>
  <c r="Q850" i="1"/>
  <c r="R849" i="1"/>
  <c r="W849" i="1" s="1"/>
  <c r="Q849" i="1"/>
  <c r="R848" i="1"/>
  <c r="U848" i="1" s="1"/>
  <c r="Q848" i="1"/>
  <c r="R847" i="1"/>
  <c r="W847" i="1" s="1"/>
  <c r="Q847" i="1"/>
  <c r="R846" i="1"/>
  <c r="U846" i="1" s="1"/>
  <c r="Q846" i="1"/>
  <c r="R845" i="1"/>
  <c r="Q845" i="1"/>
  <c r="R844" i="1"/>
  <c r="U844" i="1" s="1"/>
  <c r="Q844" i="1"/>
  <c r="R843" i="1"/>
  <c r="W843" i="1" s="1"/>
  <c r="Q843" i="1"/>
  <c r="R842" i="1"/>
  <c r="U842" i="1" s="1"/>
  <c r="Q842" i="1"/>
  <c r="R841" i="1"/>
  <c r="Q841" i="1"/>
  <c r="R840" i="1"/>
  <c r="U840" i="1" s="1"/>
  <c r="Q840" i="1"/>
  <c r="R839" i="1"/>
  <c r="Q839" i="1"/>
  <c r="R838" i="1"/>
  <c r="U838" i="1" s="1"/>
  <c r="Q838" i="1"/>
  <c r="R837" i="1"/>
  <c r="W837" i="1" s="1"/>
  <c r="Q837" i="1"/>
  <c r="R836" i="1"/>
  <c r="U836" i="1" s="1"/>
  <c r="Q836" i="1"/>
  <c r="R835" i="1"/>
  <c r="Q835" i="1"/>
  <c r="R834" i="1"/>
  <c r="U834" i="1" s="1"/>
  <c r="Q834" i="1"/>
  <c r="R833" i="1"/>
  <c r="Q833" i="1"/>
  <c r="R832" i="1"/>
  <c r="U832" i="1" s="1"/>
  <c r="Q832" i="1"/>
  <c r="R831" i="1"/>
  <c r="W831" i="1" s="1"/>
  <c r="Q831" i="1"/>
  <c r="R830" i="1"/>
  <c r="U830" i="1" s="1"/>
  <c r="Q830" i="1"/>
  <c r="R829" i="1"/>
  <c r="W829" i="1" s="1"/>
  <c r="Q829" i="1"/>
  <c r="R828" i="1"/>
  <c r="U828" i="1" s="1"/>
  <c r="Q828" i="1"/>
  <c r="R827" i="1"/>
  <c r="W827" i="1" s="1"/>
  <c r="Q827" i="1"/>
  <c r="R826" i="1"/>
  <c r="U826" i="1" s="1"/>
  <c r="Q826" i="1"/>
  <c r="R825" i="1"/>
  <c r="W825" i="1" s="1"/>
  <c r="Q825" i="1"/>
  <c r="R824" i="1"/>
  <c r="U824" i="1" s="1"/>
  <c r="Q824" i="1"/>
  <c r="R823" i="1"/>
  <c r="W823" i="1" s="1"/>
  <c r="Q823" i="1"/>
  <c r="R822" i="1"/>
  <c r="U822" i="1" s="1"/>
  <c r="Q822" i="1"/>
  <c r="R821" i="1"/>
  <c r="W821" i="1" s="1"/>
  <c r="Q821" i="1"/>
  <c r="R820" i="1"/>
  <c r="U820" i="1" s="1"/>
  <c r="Q820" i="1"/>
  <c r="R819" i="1"/>
  <c r="W819" i="1" s="1"/>
  <c r="Q819" i="1"/>
  <c r="R818" i="1"/>
  <c r="U818" i="1" s="1"/>
  <c r="Q818" i="1"/>
  <c r="R817" i="1"/>
  <c r="W817" i="1" s="1"/>
  <c r="Q817" i="1"/>
  <c r="R816" i="1"/>
  <c r="U816" i="1" s="1"/>
  <c r="Q816" i="1"/>
  <c r="R815" i="1"/>
  <c r="W815" i="1" s="1"/>
  <c r="Q815" i="1"/>
  <c r="R814" i="1"/>
  <c r="U814" i="1" s="1"/>
  <c r="Q814" i="1"/>
  <c r="R813" i="1"/>
  <c r="W813" i="1" s="1"/>
  <c r="Q813" i="1"/>
  <c r="R812" i="1"/>
  <c r="U812" i="1" s="1"/>
  <c r="Q812" i="1"/>
  <c r="R811" i="1"/>
  <c r="W811" i="1" s="1"/>
  <c r="Q811" i="1"/>
  <c r="R810" i="1"/>
  <c r="U810" i="1" s="1"/>
  <c r="Q810" i="1"/>
  <c r="R809" i="1"/>
  <c r="Q809" i="1"/>
  <c r="R808" i="1"/>
  <c r="U808" i="1" s="1"/>
  <c r="Q808" i="1"/>
  <c r="R807" i="1"/>
  <c r="W807" i="1" s="1"/>
  <c r="Q807" i="1"/>
  <c r="R806" i="1"/>
  <c r="U806" i="1" s="1"/>
  <c r="Q806" i="1"/>
  <c r="R805" i="1"/>
  <c r="W805" i="1" s="1"/>
  <c r="Q805" i="1"/>
  <c r="R804" i="1"/>
  <c r="U804" i="1" s="1"/>
  <c r="Q804" i="1"/>
  <c r="R803" i="1"/>
  <c r="W803" i="1" s="1"/>
  <c r="Q803" i="1"/>
  <c r="R802" i="1"/>
  <c r="U802" i="1" s="1"/>
  <c r="Q802" i="1"/>
  <c r="R801" i="1"/>
  <c r="Q801" i="1"/>
  <c r="R800" i="1"/>
  <c r="U800" i="1" s="1"/>
  <c r="Q800" i="1"/>
  <c r="R799" i="1"/>
  <c r="Q799" i="1"/>
  <c r="R798" i="1"/>
  <c r="U798" i="1" s="1"/>
  <c r="Q798" i="1"/>
  <c r="R797" i="1"/>
  <c r="W797" i="1" s="1"/>
  <c r="Q797" i="1"/>
  <c r="R796" i="1"/>
  <c r="U796" i="1" s="1"/>
  <c r="Q796" i="1"/>
  <c r="R795" i="1"/>
  <c r="W795" i="1" s="1"/>
  <c r="Q795" i="1"/>
  <c r="R794" i="1"/>
  <c r="U794" i="1" s="1"/>
  <c r="Q794" i="1"/>
  <c r="R793" i="1"/>
  <c r="W793" i="1" s="1"/>
  <c r="Q793" i="1"/>
  <c r="R792" i="1"/>
  <c r="U792" i="1" s="1"/>
  <c r="Q792" i="1"/>
  <c r="R791" i="1"/>
  <c r="W791" i="1" s="1"/>
  <c r="Q791" i="1"/>
  <c r="R790" i="1"/>
  <c r="U790" i="1" s="1"/>
  <c r="Q790" i="1"/>
  <c r="R789" i="1"/>
  <c r="W789" i="1" s="1"/>
  <c r="Q789" i="1"/>
  <c r="R788" i="1"/>
  <c r="U788" i="1" s="1"/>
  <c r="Q788" i="1"/>
  <c r="R787" i="1"/>
  <c r="W787" i="1" s="1"/>
  <c r="Q787" i="1"/>
  <c r="R786" i="1"/>
  <c r="U786" i="1" s="1"/>
  <c r="Q786" i="1"/>
  <c r="R785" i="1"/>
  <c r="W785" i="1" s="1"/>
  <c r="Q785" i="1"/>
  <c r="R784" i="1"/>
  <c r="U784" i="1" s="1"/>
  <c r="Q784" i="1"/>
  <c r="R783" i="1"/>
  <c r="W783" i="1" s="1"/>
  <c r="Q783" i="1"/>
  <c r="R782" i="1"/>
  <c r="U782" i="1" s="1"/>
  <c r="Q782" i="1"/>
  <c r="R781" i="1"/>
  <c r="W781" i="1" s="1"/>
  <c r="Q781" i="1"/>
  <c r="R780" i="1"/>
  <c r="U780" i="1" s="1"/>
  <c r="Q780" i="1"/>
  <c r="R779" i="1"/>
  <c r="W779" i="1" s="1"/>
  <c r="Q779" i="1"/>
  <c r="R778" i="1"/>
  <c r="Q778" i="1"/>
  <c r="R777" i="1"/>
  <c r="W777" i="1" s="1"/>
  <c r="Q777" i="1"/>
  <c r="R776" i="1"/>
  <c r="Q776" i="1"/>
  <c r="R775" i="1"/>
  <c r="Q775" i="1"/>
  <c r="R774" i="1"/>
  <c r="Q774" i="1"/>
  <c r="R773" i="1"/>
  <c r="W773" i="1" s="1"/>
  <c r="Q773" i="1"/>
  <c r="R772" i="1"/>
  <c r="Q772" i="1"/>
  <c r="R771" i="1"/>
  <c r="Q771" i="1"/>
  <c r="R770" i="1"/>
  <c r="Q770" i="1"/>
  <c r="R769" i="1"/>
  <c r="Q769" i="1"/>
  <c r="R768" i="1"/>
  <c r="Q768" i="1"/>
  <c r="R767" i="1"/>
  <c r="W767" i="1" s="1"/>
  <c r="Q767" i="1"/>
  <c r="R766" i="1"/>
  <c r="Q766" i="1"/>
  <c r="R765" i="1"/>
  <c r="W765" i="1" s="1"/>
  <c r="Q765" i="1"/>
  <c r="R764" i="1"/>
  <c r="Q764" i="1"/>
  <c r="R763" i="1"/>
  <c r="Q763" i="1"/>
  <c r="R762" i="1"/>
  <c r="Q762" i="1"/>
  <c r="R761" i="1"/>
  <c r="W761" i="1" s="1"/>
  <c r="Q761" i="1"/>
  <c r="R760" i="1"/>
  <c r="Q760" i="1"/>
  <c r="R759" i="1"/>
  <c r="W759" i="1" s="1"/>
  <c r="Q759" i="1"/>
  <c r="R758" i="1"/>
  <c r="Q758" i="1"/>
  <c r="R757" i="1"/>
  <c r="Q757" i="1"/>
  <c r="R756" i="1"/>
  <c r="Q756" i="1"/>
  <c r="R755" i="1"/>
  <c r="W755" i="1" s="1"/>
  <c r="Q755" i="1"/>
  <c r="R754" i="1"/>
  <c r="Q754" i="1"/>
  <c r="R753" i="1"/>
  <c r="W753" i="1" s="1"/>
  <c r="Q753" i="1"/>
  <c r="R752" i="1"/>
  <c r="Q752" i="1"/>
  <c r="R751" i="1"/>
  <c r="Q751" i="1"/>
  <c r="R750" i="1"/>
  <c r="Q750" i="1"/>
  <c r="R749" i="1"/>
  <c r="Q749" i="1"/>
  <c r="R748" i="1"/>
  <c r="Q748" i="1"/>
  <c r="R747" i="1"/>
  <c r="Q747" i="1"/>
  <c r="R746" i="1"/>
  <c r="Q746" i="1"/>
  <c r="R745" i="1"/>
  <c r="Q745" i="1"/>
  <c r="R744" i="1"/>
  <c r="Q744" i="1"/>
  <c r="R743" i="1"/>
  <c r="W743" i="1" s="1"/>
  <c r="Q743" i="1"/>
  <c r="R742" i="1"/>
  <c r="Q742" i="1"/>
  <c r="R741" i="1"/>
  <c r="W741" i="1" s="1"/>
  <c r="Q741" i="1"/>
  <c r="R740" i="1"/>
  <c r="Q740" i="1"/>
  <c r="R739" i="1"/>
  <c r="W739" i="1" s="1"/>
  <c r="Q739" i="1"/>
  <c r="R738" i="1"/>
  <c r="Q738" i="1"/>
  <c r="R737" i="1"/>
  <c r="W737" i="1" s="1"/>
  <c r="Q737" i="1"/>
  <c r="R736" i="1"/>
  <c r="Q736" i="1"/>
  <c r="R735" i="1"/>
  <c r="W735" i="1" s="1"/>
  <c r="Q735" i="1"/>
  <c r="R734" i="1"/>
  <c r="Q734" i="1"/>
  <c r="R733" i="1"/>
  <c r="W733" i="1" s="1"/>
  <c r="Q733" i="1"/>
  <c r="R732" i="1"/>
  <c r="Q732" i="1"/>
  <c r="R731" i="1"/>
  <c r="W731" i="1" s="1"/>
  <c r="Q731" i="1"/>
  <c r="R730" i="1"/>
  <c r="Q730" i="1"/>
  <c r="R729" i="1"/>
  <c r="W729" i="1" s="1"/>
  <c r="Q729" i="1"/>
  <c r="R728" i="1"/>
  <c r="Q728" i="1"/>
  <c r="R727" i="1"/>
  <c r="Q727" i="1"/>
  <c r="R726" i="1"/>
  <c r="Q726" i="1"/>
  <c r="R725" i="1"/>
  <c r="Q725" i="1"/>
  <c r="R724" i="1"/>
  <c r="Q724" i="1"/>
  <c r="R723" i="1"/>
  <c r="Q723" i="1"/>
  <c r="R722" i="1"/>
  <c r="Q722" i="1"/>
  <c r="R721" i="1"/>
  <c r="W721" i="1" s="1"/>
  <c r="Q721" i="1"/>
  <c r="R720" i="1"/>
  <c r="Q720" i="1"/>
  <c r="R719" i="1"/>
  <c r="W719" i="1" s="1"/>
  <c r="Q719" i="1"/>
  <c r="R718" i="1"/>
  <c r="Q718" i="1"/>
  <c r="R717" i="1"/>
  <c r="W717" i="1" s="1"/>
  <c r="Q717" i="1"/>
  <c r="R716" i="1"/>
  <c r="Q716" i="1"/>
  <c r="R715" i="1"/>
  <c r="Q715" i="1"/>
  <c r="R714" i="1"/>
  <c r="Q714" i="1"/>
  <c r="R713" i="1"/>
  <c r="W713" i="1" s="1"/>
  <c r="Q713" i="1"/>
  <c r="R712" i="1"/>
  <c r="Q712" i="1"/>
  <c r="R711" i="1"/>
  <c r="W711" i="1" s="1"/>
  <c r="Q711" i="1"/>
  <c r="R710" i="1"/>
  <c r="Q710" i="1"/>
  <c r="R709" i="1"/>
  <c r="W709" i="1" s="1"/>
  <c r="Q709" i="1"/>
  <c r="R708" i="1"/>
  <c r="Q708" i="1"/>
  <c r="R707" i="1"/>
  <c r="Q707" i="1"/>
  <c r="R706" i="1"/>
  <c r="Q706" i="1"/>
  <c r="R705" i="1"/>
  <c r="W705" i="1" s="1"/>
  <c r="Q705" i="1"/>
  <c r="R704" i="1"/>
  <c r="Q704" i="1"/>
  <c r="R703" i="1"/>
  <c r="W703" i="1" s="1"/>
  <c r="Q703" i="1"/>
  <c r="R702" i="1"/>
  <c r="Q702" i="1"/>
  <c r="R701" i="1"/>
  <c r="Q701" i="1"/>
  <c r="R700" i="1"/>
  <c r="Q700" i="1"/>
  <c r="R699" i="1"/>
  <c r="W699" i="1" s="1"/>
  <c r="Q699" i="1"/>
  <c r="R698" i="1"/>
  <c r="Q698" i="1"/>
  <c r="R697" i="1"/>
  <c r="Q697" i="1"/>
  <c r="R696" i="1"/>
  <c r="Q696" i="1"/>
  <c r="R695" i="1"/>
  <c r="W695" i="1" s="1"/>
  <c r="Q695" i="1"/>
  <c r="R694" i="1"/>
  <c r="Q694" i="1"/>
  <c r="R693" i="1"/>
  <c r="W693" i="1" s="1"/>
  <c r="Q693" i="1"/>
  <c r="R692" i="1"/>
  <c r="Q692" i="1"/>
  <c r="R691" i="1"/>
  <c r="W691" i="1" s="1"/>
  <c r="Q691" i="1"/>
  <c r="R690" i="1"/>
  <c r="Q690" i="1"/>
  <c r="R689" i="1"/>
  <c r="W689" i="1" s="1"/>
  <c r="Q689" i="1"/>
  <c r="R688" i="1"/>
  <c r="Q688" i="1"/>
  <c r="R687" i="1"/>
  <c r="W687" i="1" s="1"/>
  <c r="Q687" i="1"/>
  <c r="R686" i="1"/>
  <c r="Q686" i="1"/>
  <c r="R685" i="1"/>
  <c r="Q685" i="1"/>
  <c r="R684" i="1"/>
  <c r="Q684" i="1"/>
  <c r="R683" i="1"/>
  <c r="W683" i="1" s="1"/>
  <c r="Q683" i="1"/>
  <c r="R682" i="1"/>
  <c r="Q682" i="1"/>
  <c r="R681" i="1"/>
  <c r="W681" i="1" s="1"/>
  <c r="Q681" i="1"/>
  <c r="R680" i="1"/>
  <c r="Q680" i="1"/>
  <c r="R679" i="1"/>
  <c r="Q679" i="1"/>
  <c r="R678" i="1"/>
  <c r="Q678" i="1"/>
  <c r="R677" i="1"/>
  <c r="Q677" i="1"/>
  <c r="R676" i="1"/>
  <c r="Q676" i="1"/>
  <c r="R675" i="1"/>
  <c r="W675" i="1" s="1"/>
  <c r="Q675" i="1"/>
  <c r="R674" i="1"/>
  <c r="Q674" i="1"/>
  <c r="R673" i="1"/>
  <c r="W673" i="1" s="1"/>
  <c r="Q673" i="1"/>
  <c r="R672" i="1"/>
  <c r="Q672" i="1"/>
  <c r="R671" i="1"/>
  <c r="W671" i="1" s="1"/>
  <c r="Q671" i="1"/>
  <c r="R670" i="1"/>
  <c r="Q670" i="1"/>
  <c r="R669" i="1"/>
  <c r="Q669" i="1"/>
  <c r="R668" i="1"/>
  <c r="Q668" i="1"/>
  <c r="R667" i="1"/>
  <c r="Q667" i="1"/>
  <c r="R666" i="1"/>
  <c r="Q666" i="1"/>
  <c r="R665" i="1"/>
  <c r="W665" i="1" s="1"/>
  <c r="Q665" i="1"/>
  <c r="R664" i="1"/>
  <c r="Q664" i="1"/>
  <c r="R663" i="1"/>
  <c r="W663" i="1" s="1"/>
  <c r="Q663" i="1"/>
  <c r="R662" i="1"/>
  <c r="Q662" i="1"/>
  <c r="R661" i="1"/>
  <c r="W661" i="1" s="1"/>
  <c r="Q661" i="1"/>
  <c r="R660" i="1"/>
  <c r="Q660" i="1"/>
  <c r="R659" i="1"/>
  <c r="W659" i="1" s="1"/>
  <c r="Q659" i="1"/>
  <c r="R658" i="1"/>
  <c r="Q658" i="1"/>
  <c r="R657" i="1"/>
  <c r="Q657" i="1"/>
  <c r="R656" i="1"/>
  <c r="Q656" i="1"/>
  <c r="R655" i="1"/>
  <c r="Q655" i="1"/>
  <c r="R654" i="1"/>
  <c r="Q654" i="1"/>
  <c r="R653" i="1"/>
  <c r="W653" i="1" s="1"/>
  <c r="Q653" i="1"/>
  <c r="R652" i="1"/>
  <c r="Q652" i="1"/>
  <c r="R651" i="1"/>
  <c r="W651" i="1" s="1"/>
  <c r="Q651" i="1"/>
  <c r="R650" i="1"/>
  <c r="Q650" i="1"/>
  <c r="R649" i="1"/>
  <c r="W649" i="1" s="1"/>
  <c r="Q649" i="1"/>
  <c r="R648" i="1"/>
  <c r="Q648" i="1"/>
  <c r="R647" i="1"/>
  <c r="W647" i="1" s="1"/>
  <c r="Q647" i="1"/>
  <c r="R646" i="1"/>
  <c r="Q646" i="1"/>
  <c r="R645" i="1"/>
  <c r="Q645" i="1"/>
  <c r="R644" i="1"/>
  <c r="Q644" i="1"/>
  <c r="R643" i="1"/>
  <c r="W643" i="1" s="1"/>
  <c r="Q643" i="1"/>
  <c r="R642" i="1"/>
  <c r="Q642" i="1"/>
  <c r="R641" i="1"/>
  <c r="Q641" i="1"/>
  <c r="R640" i="1"/>
  <c r="Q640" i="1"/>
  <c r="R639" i="1"/>
  <c r="W639" i="1" s="1"/>
  <c r="Q639" i="1"/>
  <c r="R638" i="1"/>
  <c r="Q638" i="1"/>
  <c r="R637" i="1"/>
  <c r="W637" i="1" s="1"/>
  <c r="Q637" i="1"/>
  <c r="R636" i="1"/>
  <c r="Q636" i="1"/>
  <c r="R635" i="1"/>
  <c r="Q635" i="1"/>
  <c r="R634" i="1"/>
  <c r="Q634" i="1"/>
  <c r="R633" i="1"/>
  <c r="Q633" i="1"/>
  <c r="R632" i="1"/>
  <c r="Q632" i="1"/>
  <c r="R631" i="1"/>
  <c r="Q631" i="1"/>
  <c r="R630" i="1"/>
  <c r="Q630" i="1"/>
  <c r="R629" i="1"/>
  <c r="W629" i="1" s="1"/>
  <c r="Q629" i="1"/>
  <c r="R628" i="1"/>
  <c r="Q628" i="1"/>
  <c r="R627" i="1"/>
  <c r="Q627" i="1"/>
  <c r="R626" i="1"/>
  <c r="Q626" i="1"/>
  <c r="R625" i="1"/>
  <c r="Q625" i="1"/>
  <c r="R624" i="1"/>
  <c r="Q624" i="1"/>
  <c r="R623" i="1"/>
  <c r="W623" i="1" s="1"/>
  <c r="Q623" i="1"/>
  <c r="R622" i="1"/>
  <c r="Q622" i="1"/>
  <c r="R621" i="1"/>
  <c r="W621" i="1" s="1"/>
  <c r="Q621" i="1"/>
  <c r="R620" i="1"/>
  <c r="Q620" i="1"/>
  <c r="R619" i="1"/>
  <c r="Q619" i="1"/>
  <c r="R618" i="1"/>
  <c r="Q618" i="1"/>
  <c r="R617" i="1"/>
  <c r="Q617" i="1"/>
  <c r="R616" i="1"/>
  <c r="Q616" i="1"/>
  <c r="R615" i="1"/>
  <c r="Q615" i="1"/>
  <c r="R614" i="1"/>
  <c r="Q614" i="1"/>
  <c r="R613" i="1"/>
  <c r="Q613" i="1"/>
  <c r="R612" i="1"/>
  <c r="Q612" i="1"/>
  <c r="R611" i="1"/>
  <c r="W611" i="1" s="1"/>
  <c r="Q611" i="1"/>
  <c r="R610" i="1"/>
  <c r="Q610" i="1"/>
  <c r="R609" i="1"/>
  <c r="W609" i="1" s="1"/>
  <c r="Q609" i="1"/>
  <c r="R608" i="1"/>
  <c r="Q608" i="1"/>
  <c r="R607" i="1"/>
  <c r="W607" i="1" s="1"/>
  <c r="Q607" i="1"/>
  <c r="R606" i="1"/>
  <c r="Q606" i="1"/>
  <c r="R605" i="1"/>
  <c r="W605" i="1" s="1"/>
  <c r="Q605" i="1"/>
  <c r="R604" i="1"/>
  <c r="Q604" i="1"/>
  <c r="R603" i="1"/>
  <c r="Q603" i="1"/>
  <c r="R602" i="1"/>
  <c r="Q602" i="1"/>
  <c r="R601" i="1"/>
  <c r="W601" i="1" s="1"/>
  <c r="Q601" i="1"/>
  <c r="R600" i="1"/>
  <c r="Q600" i="1"/>
  <c r="R599" i="1"/>
  <c r="W599" i="1" s="1"/>
  <c r="Q599" i="1"/>
  <c r="R598" i="1"/>
  <c r="Q598" i="1"/>
  <c r="R597" i="1"/>
  <c r="W597" i="1" s="1"/>
  <c r="Q597" i="1"/>
  <c r="R596" i="1"/>
  <c r="Q596" i="1"/>
  <c r="R595" i="1"/>
  <c r="W595" i="1" s="1"/>
  <c r="Q595" i="1"/>
  <c r="R594" i="1"/>
  <c r="Q594" i="1"/>
  <c r="R593" i="1"/>
  <c r="W593" i="1" s="1"/>
  <c r="Q593" i="1"/>
  <c r="R592" i="1"/>
  <c r="Q592" i="1"/>
  <c r="R591" i="1"/>
  <c r="W591" i="1" s="1"/>
  <c r="Q591" i="1"/>
  <c r="R590" i="1"/>
  <c r="Q590" i="1"/>
  <c r="R589" i="1"/>
  <c r="Q589" i="1"/>
  <c r="R588" i="1"/>
  <c r="Q588" i="1"/>
  <c r="R587" i="1"/>
  <c r="Q587" i="1"/>
  <c r="R586" i="1"/>
  <c r="Q586" i="1"/>
  <c r="R585" i="1"/>
  <c r="W585" i="1" s="1"/>
  <c r="Q585" i="1"/>
  <c r="R584" i="1"/>
  <c r="Q584" i="1"/>
  <c r="R583" i="1"/>
  <c r="W583" i="1" s="1"/>
  <c r="Q583" i="1"/>
  <c r="R582" i="1"/>
  <c r="Q582" i="1"/>
  <c r="R581" i="1"/>
  <c r="W581" i="1" s="1"/>
  <c r="Q581" i="1"/>
  <c r="R580" i="1"/>
  <c r="Q580" i="1"/>
  <c r="R579" i="1"/>
  <c r="W579" i="1" s="1"/>
  <c r="Q579" i="1"/>
  <c r="R578" i="1"/>
  <c r="Q578" i="1"/>
  <c r="R577" i="1"/>
  <c r="Q577" i="1"/>
  <c r="R576" i="1"/>
  <c r="Q576" i="1"/>
  <c r="R575" i="1"/>
  <c r="W575" i="1" s="1"/>
  <c r="Q575" i="1"/>
  <c r="R574" i="1"/>
  <c r="Q574" i="1"/>
  <c r="R573" i="1"/>
  <c r="W573" i="1" s="1"/>
  <c r="Q573" i="1"/>
  <c r="R572" i="1"/>
  <c r="Q572" i="1"/>
  <c r="R571" i="1"/>
  <c r="W571" i="1" s="1"/>
  <c r="Q571" i="1"/>
  <c r="R570" i="1"/>
  <c r="Q570" i="1"/>
  <c r="R569" i="1"/>
  <c r="Q569" i="1"/>
  <c r="R568" i="1"/>
  <c r="Q568" i="1"/>
  <c r="R567" i="1"/>
  <c r="W567" i="1" s="1"/>
  <c r="Q567" i="1"/>
  <c r="R566" i="1"/>
  <c r="Q566" i="1"/>
  <c r="R565" i="1"/>
  <c r="W565" i="1" s="1"/>
  <c r="Q565" i="1"/>
  <c r="R564" i="1"/>
  <c r="Q564" i="1"/>
  <c r="R563" i="1"/>
  <c r="Q563" i="1"/>
  <c r="R562" i="1"/>
  <c r="Q562" i="1"/>
  <c r="R561" i="1"/>
  <c r="W561" i="1" s="1"/>
  <c r="Q561" i="1"/>
  <c r="R560" i="1"/>
  <c r="Q560" i="1"/>
  <c r="R559" i="1"/>
  <c r="W559" i="1" s="1"/>
  <c r="Q559" i="1"/>
  <c r="R558" i="1"/>
  <c r="Q558" i="1"/>
  <c r="R557" i="1"/>
  <c r="W557" i="1" s="1"/>
  <c r="Q557" i="1"/>
  <c r="R556" i="1"/>
  <c r="Q556" i="1"/>
  <c r="R555" i="1"/>
  <c r="W555" i="1" s="1"/>
  <c r="Q555" i="1"/>
  <c r="R554" i="1"/>
  <c r="Q554" i="1"/>
  <c r="R553" i="1"/>
  <c r="Q553" i="1"/>
  <c r="R552" i="1"/>
  <c r="Q552" i="1"/>
  <c r="R551" i="1"/>
  <c r="W551" i="1" s="1"/>
  <c r="Q551" i="1"/>
  <c r="R550" i="1"/>
  <c r="Q550" i="1"/>
  <c r="R549" i="1"/>
  <c r="Q549" i="1"/>
  <c r="R548" i="1"/>
  <c r="Q548" i="1"/>
  <c r="R547" i="1"/>
  <c r="Q547" i="1"/>
  <c r="R546" i="1"/>
  <c r="Q546" i="1"/>
  <c r="R545" i="1"/>
  <c r="W545" i="1" s="1"/>
  <c r="Q545" i="1"/>
  <c r="R544" i="1"/>
  <c r="U544" i="1" s="1"/>
  <c r="Q544" i="1"/>
  <c r="R543" i="1"/>
  <c r="W543" i="1" s="1"/>
  <c r="Q543" i="1"/>
  <c r="R542" i="1"/>
  <c r="Q542" i="1"/>
  <c r="R541" i="1"/>
  <c r="W541" i="1" s="1"/>
  <c r="Q541" i="1"/>
  <c r="R540" i="1"/>
  <c r="U540" i="1" s="1"/>
  <c r="Q540" i="1"/>
  <c r="R539" i="1"/>
  <c r="Q539" i="1"/>
  <c r="R538" i="1"/>
  <c r="Q538" i="1"/>
  <c r="R537" i="1"/>
  <c r="W537" i="1" s="1"/>
  <c r="Q537" i="1"/>
  <c r="R536" i="1"/>
  <c r="U536" i="1" s="1"/>
  <c r="Q536" i="1"/>
  <c r="R535" i="1"/>
  <c r="Q535" i="1"/>
  <c r="R534" i="1"/>
  <c r="Q534" i="1"/>
  <c r="R533" i="1"/>
  <c r="Q533" i="1"/>
  <c r="R532" i="1"/>
  <c r="W532" i="1" s="1"/>
  <c r="Q532" i="1"/>
  <c r="R531" i="1"/>
  <c r="Q531" i="1"/>
  <c r="R530" i="1"/>
  <c r="Q530" i="1"/>
  <c r="R529" i="1"/>
  <c r="Q529" i="1"/>
  <c r="R528" i="1"/>
  <c r="W528" i="1" s="1"/>
  <c r="Q528" i="1"/>
  <c r="R527" i="1"/>
  <c r="Q527" i="1"/>
  <c r="R526" i="1"/>
  <c r="Q526" i="1"/>
  <c r="R525" i="1"/>
  <c r="Q525" i="1"/>
  <c r="R524" i="1"/>
  <c r="U524" i="1" s="1"/>
  <c r="Q524" i="1"/>
  <c r="R523" i="1"/>
  <c r="W523" i="1" s="1"/>
  <c r="Q523" i="1"/>
  <c r="R522" i="1"/>
  <c r="W522" i="1" s="1"/>
  <c r="Q522" i="1"/>
  <c r="R521" i="1"/>
  <c r="W521" i="1" s="1"/>
  <c r="Q521" i="1"/>
  <c r="R520" i="1"/>
  <c r="U520" i="1" s="1"/>
  <c r="Q520" i="1"/>
  <c r="R519" i="1"/>
  <c r="Q519" i="1"/>
  <c r="R518" i="1"/>
  <c r="W518" i="1" s="1"/>
  <c r="Q518" i="1"/>
  <c r="R517" i="1"/>
  <c r="W517" i="1" s="1"/>
  <c r="Q517" i="1"/>
  <c r="R516" i="1"/>
  <c r="W516" i="1" s="1"/>
  <c r="Q516" i="1"/>
  <c r="R515" i="1"/>
  <c r="Q515" i="1"/>
  <c r="R514" i="1"/>
  <c r="W514" i="1" s="1"/>
  <c r="Q514" i="1"/>
  <c r="R513" i="1"/>
  <c r="W513" i="1" s="1"/>
  <c r="Q513" i="1"/>
  <c r="R512" i="1"/>
  <c r="U512" i="1" s="1"/>
  <c r="Q512" i="1"/>
  <c r="R511" i="1"/>
  <c r="W511" i="1" s="1"/>
  <c r="Q511" i="1"/>
  <c r="R510" i="1"/>
  <c r="Q510" i="1"/>
  <c r="R509" i="1"/>
  <c r="W509" i="1" s="1"/>
  <c r="Q509" i="1"/>
  <c r="R508" i="1"/>
  <c r="W508" i="1" s="1"/>
  <c r="Q508" i="1"/>
  <c r="R507" i="1"/>
  <c r="Q507" i="1"/>
  <c r="R506" i="1"/>
  <c r="W506" i="1" s="1"/>
  <c r="Q506" i="1"/>
  <c r="R505" i="1"/>
  <c r="Q505" i="1"/>
  <c r="R504" i="1"/>
  <c r="W504" i="1" s="1"/>
  <c r="Q504" i="1"/>
  <c r="R503" i="1"/>
  <c r="Q503" i="1"/>
  <c r="R502" i="1"/>
  <c r="Q502" i="1"/>
  <c r="R501" i="1"/>
  <c r="Q501" i="1"/>
  <c r="R500" i="1"/>
  <c r="W500" i="1" s="1"/>
  <c r="Q500" i="1"/>
  <c r="R499" i="1"/>
  <c r="W499" i="1" s="1"/>
  <c r="Q499" i="1"/>
  <c r="R498" i="1"/>
  <c r="Q498" i="1"/>
  <c r="R497" i="1"/>
  <c r="W497" i="1" s="1"/>
  <c r="Q497" i="1"/>
  <c r="R496" i="1"/>
  <c r="U496" i="1" s="1"/>
  <c r="Q496" i="1"/>
  <c r="R495" i="1"/>
  <c r="W495" i="1" s="1"/>
  <c r="Q495" i="1"/>
  <c r="R494" i="1"/>
  <c r="W494" i="1" s="1"/>
  <c r="Q494" i="1"/>
  <c r="R493" i="1"/>
  <c r="W493" i="1" s="1"/>
  <c r="Q493" i="1"/>
  <c r="R492" i="1"/>
  <c r="U492" i="1" s="1"/>
  <c r="Q492" i="1"/>
  <c r="R491" i="1"/>
  <c r="Q491" i="1"/>
  <c r="R490" i="1"/>
  <c r="W490" i="1" s="1"/>
  <c r="Q490" i="1"/>
  <c r="R489" i="1"/>
  <c r="W489" i="1" s="1"/>
  <c r="Q489" i="1"/>
  <c r="R488" i="1"/>
  <c r="W488" i="1" s="1"/>
  <c r="Q488" i="1"/>
  <c r="R487" i="1"/>
  <c r="Q487" i="1"/>
  <c r="R486" i="1"/>
  <c r="Q486" i="1"/>
  <c r="R485" i="1"/>
  <c r="W485" i="1" s="1"/>
  <c r="Q485" i="1"/>
  <c r="R484" i="1"/>
  <c r="U484" i="1" s="1"/>
  <c r="Q484" i="1"/>
  <c r="R483" i="1"/>
  <c r="Q483" i="1"/>
  <c r="R482" i="1"/>
  <c r="Q482" i="1"/>
  <c r="R481" i="1"/>
  <c r="W481" i="1" s="1"/>
  <c r="Q481" i="1"/>
  <c r="R480" i="1"/>
  <c r="W480" i="1" s="1"/>
  <c r="Q480" i="1"/>
  <c r="R479" i="1"/>
  <c r="W479" i="1" s="1"/>
  <c r="Q479" i="1"/>
  <c r="R478" i="1"/>
  <c r="W478" i="1" s="1"/>
  <c r="Q478" i="1"/>
  <c r="R477" i="1"/>
  <c r="W477" i="1" s="1"/>
  <c r="Q477" i="1"/>
  <c r="R476" i="1"/>
  <c r="W476" i="1" s="1"/>
  <c r="Q476" i="1"/>
  <c r="R475" i="1"/>
  <c r="Q475" i="1"/>
  <c r="R474" i="1"/>
  <c r="W474" i="1" s="1"/>
  <c r="Q474" i="1"/>
  <c r="R473" i="1"/>
  <c r="Q473" i="1"/>
  <c r="R472" i="1"/>
  <c r="W472" i="1" s="1"/>
  <c r="Q472" i="1"/>
  <c r="R471" i="1"/>
  <c r="W471" i="1" s="1"/>
  <c r="Q471" i="1"/>
  <c r="R470" i="1"/>
  <c r="W470" i="1" s="1"/>
  <c r="Q470" i="1"/>
  <c r="R469" i="1"/>
  <c r="W469" i="1" s="1"/>
  <c r="Q469" i="1"/>
  <c r="R468" i="1"/>
  <c r="W468" i="1" s="1"/>
  <c r="Q468" i="1"/>
  <c r="R467" i="1"/>
  <c r="W467" i="1" s="1"/>
  <c r="Q467" i="1"/>
  <c r="R466" i="1"/>
  <c r="W466" i="1" s="1"/>
  <c r="Q466" i="1"/>
  <c r="R465" i="1"/>
  <c r="W465" i="1" s="1"/>
  <c r="Q465" i="1"/>
  <c r="R464" i="1"/>
  <c r="W464" i="1" s="1"/>
  <c r="Q464" i="1"/>
  <c r="R463" i="1"/>
  <c r="Q463" i="1"/>
  <c r="R462" i="1"/>
  <c r="Q462" i="1"/>
  <c r="R461" i="1"/>
  <c r="W461" i="1" s="1"/>
  <c r="Q461" i="1"/>
  <c r="R460" i="1"/>
  <c r="U460" i="1" s="1"/>
  <c r="Q460" i="1"/>
  <c r="R459" i="1"/>
  <c r="W459" i="1" s="1"/>
  <c r="Q459" i="1"/>
  <c r="R458" i="1"/>
  <c r="W458" i="1" s="1"/>
  <c r="Q458" i="1"/>
  <c r="R457" i="1"/>
  <c r="Q457" i="1"/>
  <c r="R456" i="1"/>
  <c r="W456" i="1" s="1"/>
  <c r="Q456" i="1"/>
  <c r="R455" i="1"/>
  <c r="W455" i="1" s="1"/>
  <c r="Q455" i="1"/>
  <c r="R454" i="1"/>
  <c r="W454" i="1" s="1"/>
  <c r="Q454" i="1"/>
  <c r="R453" i="1"/>
  <c r="W453" i="1" s="1"/>
  <c r="Q453" i="1"/>
  <c r="R452" i="1"/>
  <c r="Q452" i="1"/>
  <c r="R451" i="1"/>
  <c r="W451" i="1" s="1"/>
  <c r="Q451" i="1"/>
  <c r="R450" i="1"/>
  <c r="W450" i="1" s="1"/>
  <c r="Q450" i="1"/>
  <c r="R449" i="1"/>
  <c r="Q449" i="1"/>
  <c r="R448" i="1"/>
  <c r="W448" i="1" s="1"/>
  <c r="Q448" i="1"/>
  <c r="R447" i="1"/>
  <c r="W447" i="1" s="1"/>
  <c r="Q447" i="1"/>
  <c r="R446" i="1"/>
  <c r="W446" i="1" s="1"/>
  <c r="Q446" i="1"/>
  <c r="R445" i="1"/>
  <c r="Q445" i="1"/>
  <c r="R444" i="1"/>
  <c r="Q444" i="1"/>
  <c r="R443" i="1"/>
  <c r="W443" i="1" s="1"/>
  <c r="Q443" i="1"/>
  <c r="R442" i="1"/>
  <c r="W442" i="1" s="1"/>
  <c r="Q442" i="1"/>
  <c r="R441" i="1"/>
  <c r="W441" i="1" s="1"/>
  <c r="Q441" i="1"/>
  <c r="R440" i="1"/>
  <c r="W440" i="1" s="1"/>
  <c r="Q440" i="1"/>
  <c r="R439" i="1"/>
  <c r="Q439" i="1"/>
  <c r="R438" i="1"/>
  <c r="W438" i="1" s="1"/>
  <c r="Q438" i="1"/>
  <c r="R437" i="1"/>
  <c r="W437" i="1" s="1"/>
  <c r="Q437" i="1"/>
  <c r="R436" i="1"/>
  <c r="W436" i="1" s="1"/>
  <c r="Q436" i="1"/>
  <c r="R435" i="1"/>
  <c r="W435" i="1" s="1"/>
  <c r="Q435" i="1"/>
  <c r="R434" i="1"/>
  <c r="Q434" i="1"/>
  <c r="R433" i="1"/>
  <c r="W433" i="1" s="1"/>
  <c r="Q433" i="1"/>
  <c r="R432" i="1"/>
  <c r="Q432" i="1"/>
  <c r="R431" i="1"/>
  <c r="W431" i="1" s="1"/>
  <c r="Q431" i="1"/>
  <c r="R430" i="1"/>
  <c r="W430" i="1" s="1"/>
  <c r="Q430" i="1"/>
  <c r="R429" i="1"/>
  <c r="Q429" i="1"/>
  <c r="R428" i="1"/>
  <c r="Q428" i="1"/>
  <c r="R427" i="1"/>
  <c r="W427" i="1" s="1"/>
  <c r="Q427" i="1"/>
  <c r="R426" i="1"/>
  <c r="W426" i="1" s="1"/>
  <c r="Q426" i="1"/>
  <c r="R425" i="1"/>
  <c r="W425" i="1" s="1"/>
  <c r="Q425" i="1"/>
  <c r="R424" i="1"/>
  <c r="W424" i="1" s="1"/>
  <c r="Q424" i="1"/>
  <c r="R423" i="1"/>
  <c r="Q423" i="1"/>
  <c r="R422" i="1"/>
  <c r="W422" i="1" s="1"/>
  <c r="Q422" i="1"/>
  <c r="R421" i="1"/>
  <c r="Q421" i="1"/>
  <c r="R420" i="1"/>
  <c r="Q420" i="1"/>
  <c r="R419" i="1"/>
  <c r="W419" i="1" s="1"/>
  <c r="Q419" i="1"/>
  <c r="R418" i="1"/>
  <c r="W418" i="1" s="1"/>
  <c r="Q418" i="1"/>
  <c r="R417" i="1"/>
  <c r="W417" i="1" s="1"/>
  <c r="Q417" i="1"/>
  <c r="R416" i="1"/>
  <c r="Q416" i="1"/>
  <c r="R415" i="1"/>
  <c r="Q415" i="1"/>
  <c r="R414" i="1"/>
  <c r="W414" i="1" s="1"/>
  <c r="Q414" i="1"/>
  <c r="R413" i="1"/>
  <c r="W413" i="1" s="1"/>
  <c r="Q413" i="1"/>
  <c r="R412" i="1"/>
  <c r="Q412" i="1"/>
  <c r="R411" i="1"/>
  <c r="Q411" i="1"/>
  <c r="R410" i="1"/>
  <c r="Q410" i="1"/>
  <c r="R409" i="1"/>
  <c r="W409" i="1" s="1"/>
  <c r="Q409" i="1"/>
  <c r="R408" i="1"/>
  <c r="W408" i="1" s="1"/>
  <c r="Q408" i="1"/>
  <c r="R407" i="1"/>
  <c r="Q407" i="1"/>
  <c r="R406" i="1"/>
  <c r="W406" i="1" s="1"/>
  <c r="Q406" i="1"/>
  <c r="R405" i="1"/>
  <c r="W405" i="1" s="1"/>
  <c r="Q405" i="1"/>
  <c r="R404" i="1"/>
  <c r="W404" i="1" s="1"/>
  <c r="Q404" i="1"/>
  <c r="R403" i="1"/>
  <c r="W403" i="1" s="1"/>
  <c r="Q403" i="1"/>
  <c r="R402" i="1"/>
  <c r="Q402" i="1"/>
  <c r="R401" i="1"/>
  <c r="Q401" i="1"/>
  <c r="R400" i="1"/>
  <c r="Q400" i="1"/>
  <c r="R399" i="1"/>
  <c r="Q399" i="1"/>
  <c r="R398" i="1"/>
  <c r="W398" i="1" s="1"/>
  <c r="Q398" i="1"/>
  <c r="R397" i="1"/>
  <c r="W397" i="1" s="1"/>
  <c r="Q397" i="1"/>
  <c r="R396" i="1"/>
  <c r="W396" i="1" s="1"/>
  <c r="Q396" i="1"/>
  <c r="R395" i="1"/>
  <c r="W395" i="1" s="1"/>
  <c r="Q395" i="1"/>
  <c r="R394" i="1"/>
  <c r="W394" i="1" s="1"/>
  <c r="Q394" i="1"/>
  <c r="R393" i="1"/>
  <c r="Q393" i="1"/>
  <c r="R392" i="1"/>
  <c r="Q392" i="1"/>
  <c r="R391" i="1"/>
  <c r="Q391" i="1"/>
  <c r="R390" i="1"/>
  <c r="W390" i="1" s="1"/>
  <c r="Q390" i="1"/>
  <c r="R389" i="1"/>
  <c r="W389" i="1" s="1"/>
  <c r="Q389" i="1"/>
  <c r="R388" i="1"/>
  <c r="Q388" i="1"/>
  <c r="R387" i="1"/>
  <c r="Q387" i="1"/>
  <c r="R386" i="1"/>
  <c r="Q386" i="1"/>
  <c r="R385" i="1"/>
  <c r="W385" i="1" s="1"/>
  <c r="Q385" i="1"/>
  <c r="R384" i="1"/>
  <c r="U384" i="1" s="1"/>
  <c r="Q384" i="1"/>
  <c r="R383" i="1"/>
  <c r="W383" i="1" s="1"/>
  <c r="Q383" i="1"/>
  <c r="R382" i="1"/>
  <c r="Q382" i="1"/>
  <c r="R381" i="1"/>
  <c r="Q381" i="1"/>
  <c r="R380" i="1"/>
  <c r="W380" i="1" s="1"/>
  <c r="Q380" i="1"/>
  <c r="R379" i="1"/>
  <c r="W379" i="1" s="1"/>
  <c r="Q379" i="1"/>
  <c r="R378" i="1"/>
  <c r="Q378" i="1"/>
  <c r="R377" i="1"/>
  <c r="Q377" i="1"/>
  <c r="R376" i="1"/>
  <c r="Q376" i="1"/>
  <c r="R375" i="1"/>
  <c r="Q375" i="1"/>
  <c r="R374" i="1"/>
  <c r="Q374" i="1"/>
  <c r="R373" i="1"/>
  <c r="Q373" i="1"/>
  <c r="R372" i="1"/>
  <c r="Q372" i="1"/>
  <c r="R371" i="1"/>
  <c r="Q371" i="1"/>
  <c r="R370" i="1"/>
  <c r="Q370" i="1"/>
  <c r="R369" i="1"/>
  <c r="W369" i="1" s="1"/>
  <c r="Q369" i="1"/>
  <c r="R368" i="1"/>
  <c r="U368" i="1" s="1"/>
  <c r="Q368" i="1"/>
  <c r="R367" i="1"/>
  <c r="W367" i="1" s="1"/>
  <c r="Q367" i="1"/>
  <c r="R366" i="1"/>
  <c r="W366" i="1" s="1"/>
  <c r="Q366" i="1"/>
  <c r="R365" i="1"/>
  <c r="Q365" i="1"/>
  <c r="R364" i="1"/>
  <c r="W364" i="1" s="1"/>
  <c r="Q364" i="1"/>
  <c r="R363" i="1"/>
  <c r="W363" i="1" s="1"/>
  <c r="Q363" i="1"/>
  <c r="R362" i="1"/>
  <c r="U362" i="1" s="1"/>
  <c r="Q362" i="1"/>
  <c r="R361" i="1"/>
  <c r="Q361" i="1"/>
  <c r="R360" i="1"/>
  <c r="W360" i="1" s="1"/>
  <c r="Q360" i="1"/>
  <c r="R359" i="1"/>
  <c r="Q359" i="1"/>
  <c r="R358" i="1"/>
  <c r="U358" i="1" s="1"/>
  <c r="Q358" i="1"/>
  <c r="R357" i="1"/>
  <c r="W357" i="1" s="1"/>
  <c r="Q357" i="1"/>
  <c r="R356" i="1"/>
  <c r="U356" i="1" s="1"/>
  <c r="Q356" i="1"/>
  <c r="R355" i="1"/>
  <c r="Q355" i="1"/>
  <c r="R354" i="1"/>
  <c r="W354" i="1" s="1"/>
  <c r="Q354" i="1"/>
  <c r="R353" i="1"/>
  <c r="W353" i="1" s="1"/>
  <c r="Q353" i="1"/>
  <c r="R352" i="1"/>
  <c r="U352" i="1" s="1"/>
  <c r="Q352" i="1"/>
  <c r="R351" i="1"/>
  <c r="W351" i="1" s="1"/>
  <c r="Q351" i="1"/>
  <c r="R350" i="1"/>
  <c r="U350" i="1" s="1"/>
  <c r="Q350" i="1"/>
  <c r="R349" i="1"/>
  <c r="W349" i="1" s="1"/>
  <c r="Q349" i="1"/>
  <c r="R348" i="1"/>
  <c r="W348" i="1" s="1"/>
  <c r="Q348" i="1"/>
  <c r="R347" i="1"/>
  <c r="W347" i="1" s="1"/>
  <c r="Q347" i="1"/>
  <c r="R346" i="1"/>
  <c r="U346" i="1" s="1"/>
  <c r="Q346" i="1"/>
  <c r="R345" i="1"/>
  <c r="W345" i="1" s="1"/>
  <c r="Q345" i="1"/>
  <c r="R344" i="1"/>
  <c r="U344" i="1" s="1"/>
  <c r="Q344" i="1"/>
  <c r="R343" i="1"/>
  <c r="W343" i="1" s="1"/>
  <c r="Q343" i="1"/>
  <c r="R342" i="1"/>
  <c r="W342" i="1" s="1"/>
  <c r="Q342" i="1"/>
  <c r="R341" i="1"/>
  <c r="W341" i="1" s="1"/>
  <c r="Q341" i="1"/>
  <c r="R340" i="1"/>
  <c r="U340" i="1" s="1"/>
  <c r="Q340" i="1"/>
  <c r="R339" i="1"/>
  <c r="W339" i="1" s="1"/>
  <c r="Q339" i="1"/>
  <c r="R338" i="1"/>
  <c r="U338" i="1" s="1"/>
  <c r="Q338" i="1"/>
  <c r="R337" i="1"/>
  <c r="Q337" i="1"/>
  <c r="R336" i="1"/>
  <c r="W336" i="1" s="1"/>
  <c r="Q336" i="1"/>
  <c r="R335" i="1"/>
  <c r="W335" i="1" s="1"/>
  <c r="Q335" i="1"/>
  <c r="R334" i="1"/>
  <c r="W334" i="1" s="1"/>
  <c r="Q334" i="1"/>
  <c r="R333" i="1"/>
  <c r="Q333" i="1"/>
  <c r="R332" i="1"/>
  <c r="W332" i="1" s="1"/>
  <c r="Q332" i="1"/>
  <c r="R331" i="1"/>
  <c r="U331" i="1" s="1"/>
  <c r="Q331" i="1"/>
  <c r="R330" i="1"/>
  <c r="U330" i="1" s="1"/>
  <c r="Q330" i="1"/>
  <c r="R329" i="1"/>
  <c r="U329" i="1" s="1"/>
  <c r="Q329" i="1"/>
  <c r="R328" i="1"/>
  <c r="W328" i="1" s="1"/>
  <c r="Q328" i="1"/>
  <c r="R327" i="1"/>
  <c r="U327" i="1" s="1"/>
  <c r="Q327" i="1"/>
  <c r="R326" i="1"/>
  <c r="W326" i="1" s="1"/>
  <c r="Q326" i="1"/>
  <c r="R325" i="1"/>
  <c r="U325" i="1" s="1"/>
  <c r="Q325" i="1"/>
  <c r="R324" i="1"/>
  <c r="W324" i="1" s="1"/>
  <c r="Q324" i="1"/>
  <c r="R323" i="1"/>
  <c r="U323" i="1" s="1"/>
  <c r="Q323" i="1"/>
  <c r="R322" i="1"/>
  <c r="W322" i="1" s="1"/>
  <c r="Q322" i="1"/>
  <c r="R321" i="1"/>
  <c r="U321" i="1" s="1"/>
  <c r="Q321" i="1"/>
  <c r="R320" i="1"/>
  <c r="W320" i="1" s="1"/>
  <c r="Q320" i="1"/>
  <c r="R319" i="1"/>
  <c r="W319" i="1" s="1"/>
  <c r="Q319" i="1"/>
  <c r="R318" i="1"/>
  <c r="W318" i="1" s="1"/>
  <c r="Q318" i="1"/>
  <c r="R317" i="1"/>
  <c r="W317" i="1" s="1"/>
  <c r="Q317" i="1"/>
  <c r="R316" i="1"/>
  <c r="W316" i="1" s="1"/>
  <c r="Q316" i="1"/>
  <c r="R315" i="1"/>
  <c r="W315" i="1" s="1"/>
  <c r="Q315" i="1"/>
  <c r="R314" i="1"/>
  <c r="Q314" i="1"/>
  <c r="R313" i="1"/>
  <c r="W313" i="1" s="1"/>
  <c r="Q313" i="1"/>
  <c r="R312" i="1"/>
  <c r="Q312" i="1"/>
  <c r="R311" i="1"/>
  <c r="W311" i="1" s="1"/>
  <c r="Q311" i="1"/>
  <c r="R310" i="1"/>
  <c r="W310" i="1" s="1"/>
  <c r="Q310" i="1"/>
  <c r="R309" i="1"/>
  <c r="U309" i="1" s="1"/>
  <c r="Q309" i="1"/>
  <c r="R308" i="1"/>
  <c r="W308" i="1" s="1"/>
  <c r="Q308" i="1"/>
  <c r="R307" i="1"/>
  <c r="W307" i="1" s="1"/>
  <c r="Q307" i="1"/>
  <c r="R306" i="1"/>
  <c r="Q306" i="1"/>
  <c r="R305" i="1"/>
  <c r="W305" i="1" s="1"/>
  <c r="Q305" i="1"/>
  <c r="R304" i="1"/>
  <c r="W304" i="1" s="1"/>
  <c r="Q304" i="1"/>
  <c r="R303" i="1"/>
  <c r="W303" i="1" s="1"/>
  <c r="Q303" i="1"/>
  <c r="R302" i="1"/>
  <c r="W302" i="1" s="1"/>
  <c r="Q302" i="1"/>
  <c r="R301" i="1"/>
  <c r="W301" i="1" s="1"/>
  <c r="Q301" i="1"/>
  <c r="R300" i="1"/>
  <c r="W300" i="1" s="1"/>
  <c r="Q300" i="1"/>
  <c r="R299" i="1"/>
  <c r="W299" i="1" s="1"/>
  <c r="Q299" i="1"/>
  <c r="R298" i="1"/>
  <c r="W298" i="1" s="1"/>
  <c r="Q298" i="1"/>
  <c r="R297" i="1"/>
  <c r="Q297" i="1"/>
  <c r="R296" i="1"/>
  <c r="Q296" i="1"/>
  <c r="R295" i="1"/>
  <c r="W295" i="1" s="1"/>
  <c r="Q295" i="1"/>
  <c r="R294" i="1"/>
  <c r="W294" i="1" s="1"/>
  <c r="Q294" i="1"/>
  <c r="R293" i="1"/>
  <c r="W293" i="1" s="1"/>
  <c r="Q293" i="1"/>
  <c r="R292" i="1"/>
  <c r="W292" i="1" s="1"/>
  <c r="Q292" i="1"/>
  <c r="R291" i="1"/>
  <c r="Q291" i="1"/>
  <c r="R290" i="1"/>
  <c r="Q290" i="1"/>
  <c r="R289" i="1"/>
  <c r="Q289" i="1"/>
  <c r="R288" i="1"/>
  <c r="W288" i="1" s="1"/>
  <c r="Q288" i="1"/>
  <c r="R287" i="1"/>
  <c r="W287" i="1" s="1"/>
  <c r="Q287" i="1"/>
  <c r="R286" i="1"/>
  <c r="Q286" i="1"/>
  <c r="R285" i="1"/>
  <c r="W285" i="1" s="1"/>
  <c r="Q285" i="1"/>
  <c r="R284" i="1"/>
  <c r="W284" i="1" s="1"/>
  <c r="Q284" i="1"/>
  <c r="R283" i="1"/>
  <c r="W283" i="1" s="1"/>
  <c r="Q283" i="1"/>
  <c r="R282" i="1"/>
  <c r="Q282" i="1"/>
  <c r="R281" i="1"/>
  <c r="W281" i="1" s="1"/>
  <c r="Q281" i="1"/>
  <c r="R280" i="1"/>
  <c r="Q280" i="1"/>
  <c r="R279" i="1"/>
  <c r="Q279" i="1"/>
  <c r="R278" i="1"/>
  <c r="W278" i="1" s="1"/>
  <c r="Q278" i="1"/>
  <c r="R277" i="1"/>
  <c r="Q277" i="1"/>
  <c r="R276" i="1"/>
  <c r="Q276" i="1"/>
  <c r="R275" i="1"/>
  <c r="W275" i="1" s="1"/>
  <c r="Q275" i="1"/>
  <c r="R274" i="1"/>
  <c r="W274" i="1" s="1"/>
  <c r="Q274" i="1"/>
  <c r="R273" i="1"/>
  <c r="W273" i="1" s="1"/>
  <c r="Q273" i="1"/>
  <c r="R272" i="1"/>
  <c r="W272" i="1" s="1"/>
  <c r="Q272" i="1"/>
  <c r="R271" i="1"/>
  <c r="W271" i="1" s="1"/>
  <c r="Q271" i="1"/>
  <c r="R270" i="1"/>
  <c r="Q270" i="1"/>
  <c r="R269" i="1"/>
  <c r="Q269" i="1"/>
  <c r="R268" i="1"/>
  <c r="Q268" i="1"/>
  <c r="R267" i="1"/>
  <c r="Q267" i="1"/>
  <c r="R266" i="1"/>
  <c r="Q266" i="1"/>
  <c r="R265" i="1"/>
  <c r="W265" i="1" s="1"/>
  <c r="Q265" i="1"/>
  <c r="R264" i="1"/>
  <c r="W264" i="1" s="1"/>
  <c r="Q264" i="1"/>
  <c r="R263" i="1"/>
  <c r="U263" i="1" s="1"/>
  <c r="Q263" i="1"/>
  <c r="R262" i="1"/>
  <c r="Q262" i="1"/>
  <c r="R261" i="1"/>
  <c r="U261" i="1" s="1"/>
  <c r="Q261" i="1"/>
  <c r="R260" i="1"/>
  <c r="Q260" i="1"/>
  <c r="R259" i="1"/>
  <c r="U259" i="1" s="1"/>
  <c r="Q259" i="1"/>
  <c r="R258" i="1"/>
  <c r="W258" i="1" s="1"/>
  <c r="Q258" i="1"/>
  <c r="R257" i="1"/>
  <c r="U257" i="1" s="1"/>
  <c r="Q257" i="1"/>
  <c r="R256" i="1"/>
  <c r="W256" i="1" s="1"/>
  <c r="Q256" i="1"/>
  <c r="R255" i="1"/>
  <c r="W255" i="1" s="1"/>
  <c r="Q255" i="1"/>
  <c r="R254" i="1"/>
  <c r="W254" i="1" s="1"/>
  <c r="Q254" i="1"/>
  <c r="R253" i="1"/>
  <c r="W253" i="1" s="1"/>
  <c r="Q253" i="1"/>
  <c r="R252" i="1"/>
  <c r="W252" i="1" s="1"/>
  <c r="Q252" i="1"/>
  <c r="R251" i="1"/>
  <c r="U251" i="1" s="1"/>
  <c r="Q251" i="1"/>
  <c r="R250" i="1"/>
  <c r="W250" i="1" s="1"/>
  <c r="Q250" i="1"/>
  <c r="R249" i="1"/>
  <c r="W249" i="1" s="1"/>
  <c r="Q249" i="1"/>
  <c r="R248" i="1"/>
  <c r="W248" i="1" s="1"/>
  <c r="Q248" i="1"/>
  <c r="R247" i="1"/>
  <c r="U247" i="1" s="1"/>
  <c r="Q247" i="1"/>
  <c r="R246" i="1"/>
  <c r="W246" i="1" s="1"/>
  <c r="Q246" i="1"/>
  <c r="R245" i="1"/>
  <c r="U245" i="1" s="1"/>
  <c r="Q245" i="1"/>
  <c r="R244" i="1"/>
  <c r="W244" i="1" s="1"/>
  <c r="Q244" i="1"/>
  <c r="R243" i="1"/>
  <c r="U243" i="1" s="1"/>
  <c r="Q243" i="1"/>
  <c r="R242" i="1"/>
  <c r="Q242" i="1"/>
  <c r="R241" i="1"/>
  <c r="W241" i="1" s="1"/>
  <c r="Q241" i="1"/>
  <c r="R240" i="1"/>
  <c r="Q240" i="1"/>
  <c r="R239" i="1"/>
  <c r="W239" i="1" s="1"/>
  <c r="Q239" i="1"/>
  <c r="R238" i="1"/>
  <c r="Q238" i="1"/>
  <c r="R237" i="1"/>
  <c r="W237" i="1" s="1"/>
  <c r="Q237" i="1"/>
  <c r="R236" i="1"/>
  <c r="Q236" i="1"/>
  <c r="R235" i="1"/>
  <c r="U235" i="1" s="1"/>
  <c r="Q235" i="1"/>
  <c r="R234" i="1"/>
  <c r="W234" i="1" s="1"/>
  <c r="Q234" i="1"/>
  <c r="R233" i="1"/>
  <c r="U233" i="1" s="1"/>
  <c r="Q233" i="1"/>
  <c r="R232" i="1"/>
  <c r="Q232" i="1"/>
  <c r="R231" i="1"/>
  <c r="W231" i="1" s="1"/>
  <c r="Q231" i="1"/>
  <c r="R230" i="1"/>
  <c r="W230" i="1" s="1"/>
  <c r="Q230" i="1"/>
  <c r="R229" i="1"/>
  <c r="U229" i="1" s="1"/>
  <c r="Q229" i="1"/>
  <c r="R228" i="1"/>
  <c r="W228" i="1" s="1"/>
  <c r="Q228" i="1"/>
  <c r="R227" i="1"/>
  <c r="W227" i="1" s="1"/>
  <c r="Q227" i="1"/>
  <c r="R226" i="1"/>
  <c r="W226" i="1" s="1"/>
  <c r="Q226" i="1"/>
  <c r="R225" i="1"/>
  <c r="W225" i="1" s="1"/>
  <c r="Q225" i="1"/>
  <c r="R224" i="1"/>
  <c r="Q224" i="1"/>
  <c r="R223" i="1"/>
  <c r="U223" i="1" s="1"/>
  <c r="Q223" i="1"/>
  <c r="R222" i="1"/>
  <c r="Q222" i="1"/>
  <c r="R221" i="1"/>
  <c r="U221" i="1" s="1"/>
  <c r="Q221" i="1"/>
  <c r="R220" i="1"/>
  <c r="W220" i="1" s="1"/>
  <c r="Q220" i="1"/>
  <c r="R219" i="1"/>
  <c r="W219" i="1" s="1"/>
  <c r="Q219" i="1"/>
  <c r="R218" i="1"/>
  <c r="W218" i="1" s="1"/>
  <c r="Q218" i="1"/>
  <c r="R217" i="1"/>
  <c r="W217" i="1" s="1"/>
  <c r="Q217" i="1"/>
  <c r="R216" i="1"/>
  <c r="Q216" i="1"/>
  <c r="R215" i="1"/>
  <c r="W215" i="1" s="1"/>
  <c r="Q215" i="1"/>
  <c r="R214" i="1"/>
  <c r="W214" i="1" s="1"/>
  <c r="Q214" i="1"/>
  <c r="R213" i="1"/>
  <c r="U213" i="1" s="1"/>
  <c r="Q213" i="1"/>
  <c r="R212" i="1"/>
  <c r="Q212" i="1"/>
  <c r="R211" i="1"/>
  <c r="U211" i="1" s="1"/>
  <c r="Q211" i="1"/>
  <c r="R210" i="1"/>
  <c r="Q210" i="1"/>
  <c r="R209" i="1"/>
  <c r="U209" i="1" s="1"/>
  <c r="Q209" i="1"/>
  <c r="R208" i="1"/>
  <c r="W208" i="1" s="1"/>
  <c r="Q208" i="1"/>
  <c r="R207" i="1"/>
  <c r="W207" i="1" s="1"/>
  <c r="Q207" i="1"/>
  <c r="R206" i="1"/>
  <c r="W206" i="1" s="1"/>
  <c r="Q206" i="1"/>
  <c r="R205" i="1"/>
  <c r="W205" i="1" s="1"/>
  <c r="Q205" i="1"/>
  <c r="R204" i="1"/>
  <c r="Q204" i="1"/>
  <c r="R203" i="1"/>
  <c r="W203" i="1" s="1"/>
  <c r="Q203" i="1"/>
  <c r="R202" i="1"/>
  <c r="W202" i="1" s="1"/>
  <c r="Q202" i="1"/>
  <c r="R201" i="1"/>
  <c r="U201" i="1" s="1"/>
  <c r="Q201" i="1"/>
  <c r="R200" i="1"/>
  <c r="W200" i="1" s="1"/>
  <c r="Q200" i="1"/>
  <c r="R199" i="1"/>
  <c r="W199" i="1" s="1"/>
  <c r="Q199" i="1"/>
  <c r="R198" i="1"/>
  <c r="Q198" i="1"/>
  <c r="R197" i="1"/>
  <c r="W197" i="1" s="1"/>
  <c r="Q197" i="1"/>
  <c r="R196" i="1"/>
  <c r="W196" i="1" s="1"/>
  <c r="Q196" i="1"/>
  <c r="R195" i="1"/>
  <c r="U195" i="1" s="1"/>
  <c r="Q195" i="1"/>
  <c r="R194" i="1"/>
  <c r="W194" i="1" s="1"/>
  <c r="Q194" i="1"/>
  <c r="R193" i="1"/>
  <c r="U193" i="1" s="1"/>
  <c r="Q193" i="1"/>
  <c r="R192" i="1"/>
  <c r="W192" i="1" s="1"/>
  <c r="Q192" i="1"/>
  <c r="R191" i="1"/>
  <c r="W191" i="1" s="1"/>
  <c r="Q191" i="1"/>
  <c r="R190" i="1"/>
  <c r="Q190" i="1"/>
  <c r="R189" i="1"/>
  <c r="W189" i="1" s="1"/>
  <c r="Q189" i="1"/>
  <c r="R188" i="1"/>
  <c r="W188" i="1" s="1"/>
  <c r="Q188" i="1"/>
  <c r="R187" i="1"/>
  <c r="W187" i="1" s="1"/>
  <c r="Q187" i="1"/>
  <c r="R186" i="1"/>
  <c r="Q186" i="1"/>
  <c r="R185" i="1"/>
  <c r="W185" i="1" s="1"/>
  <c r="Q185" i="1"/>
  <c r="R184" i="1"/>
  <c r="Q184" i="1"/>
  <c r="R183" i="1"/>
  <c r="U183" i="1" s="1"/>
  <c r="Q183" i="1"/>
  <c r="R182" i="1"/>
  <c r="W182" i="1" s="1"/>
  <c r="Q182" i="1"/>
  <c r="R181" i="1"/>
  <c r="W181" i="1" s="1"/>
  <c r="Q181" i="1"/>
  <c r="R180" i="1"/>
  <c r="W180" i="1" s="1"/>
  <c r="Q180" i="1"/>
  <c r="R179" i="1"/>
  <c r="W179" i="1" s="1"/>
  <c r="Q179" i="1"/>
  <c r="R178" i="1"/>
  <c r="W178" i="1" s="1"/>
  <c r="Q178" i="1"/>
  <c r="R177" i="1"/>
  <c r="W177" i="1" s="1"/>
  <c r="Q177" i="1"/>
  <c r="R176" i="1"/>
  <c r="Q176" i="1"/>
  <c r="R175" i="1"/>
  <c r="U175" i="1" s="1"/>
  <c r="Q175" i="1"/>
  <c r="R174" i="1"/>
  <c r="Q174" i="1"/>
  <c r="R173" i="1"/>
  <c r="W173" i="1" s="1"/>
  <c r="Q173" i="1"/>
  <c r="R172" i="1"/>
  <c r="W172" i="1" s="1"/>
  <c r="Q172" i="1"/>
  <c r="R171" i="1"/>
  <c r="U171" i="1" s="1"/>
  <c r="Q171" i="1"/>
  <c r="R170" i="1"/>
  <c r="Q170" i="1"/>
  <c r="R169" i="1"/>
  <c r="W169" i="1" s="1"/>
  <c r="Q169" i="1"/>
  <c r="R168" i="1"/>
  <c r="W168" i="1" s="1"/>
  <c r="Q168" i="1"/>
  <c r="R167" i="1"/>
  <c r="W167" i="1" s="1"/>
  <c r="Q167" i="1"/>
  <c r="R166" i="1"/>
  <c r="Q166" i="1"/>
  <c r="R165" i="1"/>
  <c r="W165" i="1" s="1"/>
  <c r="Q165" i="1"/>
  <c r="R164" i="1"/>
  <c r="Q164" i="1"/>
  <c r="R163" i="1"/>
  <c r="U163" i="1" s="1"/>
  <c r="Q163" i="1"/>
  <c r="R162" i="1"/>
  <c r="W162" i="1" s="1"/>
  <c r="Q162" i="1"/>
  <c r="R161" i="1"/>
  <c r="W161" i="1" s="1"/>
  <c r="Q161" i="1"/>
  <c r="R160" i="1"/>
  <c r="W160" i="1" s="1"/>
  <c r="Q160" i="1"/>
  <c r="R159" i="1"/>
  <c r="W159" i="1" s="1"/>
  <c r="Q159" i="1"/>
  <c r="R158" i="1"/>
  <c r="W158" i="1" s="1"/>
  <c r="Q158" i="1"/>
  <c r="R157" i="1"/>
  <c r="W157" i="1" s="1"/>
  <c r="Q157" i="1"/>
  <c r="R156" i="1"/>
  <c r="Q156" i="1"/>
  <c r="R155" i="1"/>
  <c r="U155" i="1" s="1"/>
  <c r="Q155" i="1"/>
  <c r="R154" i="1"/>
  <c r="W154" i="1" s="1"/>
  <c r="Q154" i="1"/>
  <c r="R153" i="1"/>
  <c r="U153" i="1" s="1"/>
  <c r="Q153" i="1"/>
  <c r="R152" i="1"/>
  <c r="W152" i="1" s="1"/>
  <c r="Q152" i="1"/>
  <c r="R151" i="1"/>
  <c r="U151" i="1" s="1"/>
  <c r="Q151" i="1"/>
  <c r="R150" i="1"/>
  <c r="U150" i="1" s="1"/>
  <c r="Q150" i="1"/>
  <c r="R149" i="1"/>
  <c r="U149" i="1" s="1"/>
  <c r="Q149" i="1"/>
  <c r="R148" i="1"/>
  <c r="W148" i="1" s="1"/>
  <c r="Q148" i="1"/>
  <c r="R147" i="1"/>
  <c r="U147" i="1" s="1"/>
  <c r="Q147" i="1"/>
  <c r="R146" i="1"/>
  <c r="W146" i="1" s="1"/>
  <c r="Q146" i="1"/>
  <c r="R145" i="1"/>
  <c r="U145" i="1" s="1"/>
  <c r="Q145" i="1"/>
  <c r="R144" i="1"/>
  <c r="W144" i="1" s="1"/>
  <c r="Q144" i="1"/>
  <c r="R143" i="1"/>
  <c r="U143" i="1" s="1"/>
  <c r="Q143" i="1"/>
  <c r="R142" i="1"/>
  <c r="U142" i="1" s="1"/>
  <c r="Q142" i="1"/>
  <c r="R141" i="1"/>
  <c r="U141" i="1" s="1"/>
  <c r="Q141" i="1"/>
  <c r="R140" i="1"/>
  <c r="W140" i="1" s="1"/>
  <c r="Q140" i="1"/>
  <c r="R139" i="1"/>
  <c r="U139" i="1" s="1"/>
  <c r="Q139" i="1"/>
  <c r="R138" i="1"/>
  <c r="U138" i="1" s="1"/>
  <c r="Q138" i="1"/>
  <c r="R137" i="1"/>
  <c r="U137" i="1" s="1"/>
  <c r="Q137" i="1"/>
  <c r="R136" i="1"/>
  <c r="U136" i="1" s="1"/>
  <c r="Q136" i="1"/>
  <c r="R135" i="1"/>
  <c r="U135" i="1" s="1"/>
  <c r="Q135" i="1"/>
  <c r="R134" i="1"/>
  <c r="W134" i="1" s="1"/>
  <c r="Q134" i="1"/>
  <c r="R133" i="1"/>
  <c r="U133" i="1" s="1"/>
  <c r="Q133" i="1"/>
  <c r="R132" i="1"/>
  <c r="W132" i="1" s="1"/>
  <c r="Q132" i="1"/>
  <c r="R131" i="1"/>
  <c r="U131" i="1" s="1"/>
  <c r="Q131" i="1"/>
  <c r="R130" i="1"/>
  <c r="W130" i="1" s="1"/>
  <c r="Q130" i="1"/>
  <c r="R129" i="1"/>
  <c r="U129" i="1" s="1"/>
  <c r="Q129" i="1"/>
  <c r="R128" i="1"/>
  <c r="Q128" i="1"/>
  <c r="R127" i="1"/>
  <c r="U127" i="1" s="1"/>
  <c r="Q127" i="1"/>
  <c r="R126" i="1"/>
  <c r="Q126" i="1"/>
  <c r="R125" i="1"/>
  <c r="U125" i="1" s="1"/>
  <c r="Q125" i="1"/>
  <c r="R124" i="1"/>
  <c r="W124" i="1" s="1"/>
  <c r="Q124" i="1"/>
  <c r="R123" i="1"/>
  <c r="U123" i="1" s="1"/>
  <c r="Q123" i="1"/>
  <c r="R122" i="1"/>
  <c r="Q122" i="1"/>
  <c r="R121" i="1"/>
  <c r="U121" i="1" s="1"/>
  <c r="Q121" i="1"/>
  <c r="R120" i="1"/>
  <c r="Q120" i="1"/>
  <c r="R119" i="1"/>
  <c r="U119" i="1" s="1"/>
  <c r="Q119" i="1"/>
  <c r="R118" i="1"/>
  <c r="U118" i="1" s="1"/>
  <c r="Q118" i="1"/>
  <c r="R117" i="1"/>
  <c r="U117" i="1" s="1"/>
  <c r="Q117" i="1"/>
  <c r="R116" i="1"/>
  <c r="U116" i="1" s="1"/>
  <c r="Q116" i="1"/>
  <c r="R115" i="1"/>
  <c r="U115" i="1" s="1"/>
  <c r="Q115" i="1"/>
  <c r="R114" i="1"/>
  <c r="W114" i="1" s="1"/>
  <c r="Q114" i="1"/>
  <c r="R113" i="1"/>
  <c r="U113" i="1" s="1"/>
  <c r="Q113" i="1"/>
  <c r="R112" i="1"/>
  <c r="U112" i="1" s="1"/>
  <c r="Q112" i="1"/>
  <c r="R111" i="1"/>
  <c r="U111" i="1" s="1"/>
  <c r="Q111" i="1"/>
  <c r="R110" i="1"/>
  <c r="W110" i="1" s="1"/>
  <c r="Q110" i="1"/>
  <c r="R109" i="1"/>
  <c r="U109" i="1" s="1"/>
  <c r="Q109" i="1"/>
  <c r="R108" i="1"/>
  <c r="U108" i="1" s="1"/>
  <c r="Q108" i="1"/>
  <c r="R107" i="1"/>
  <c r="U107" i="1" s="1"/>
  <c r="Q107" i="1"/>
  <c r="R106" i="1"/>
  <c r="W106" i="1" s="1"/>
  <c r="Q106" i="1"/>
  <c r="R105" i="1"/>
  <c r="U105" i="1" s="1"/>
  <c r="Q105" i="1"/>
  <c r="R104" i="1"/>
  <c r="W104" i="1" s="1"/>
  <c r="Q104" i="1"/>
  <c r="R103" i="1"/>
  <c r="U103" i="1" s="1"/>
  <c r="Q103" i="1"/>
  <c r="R102" i="1"/>
  <c r="U102" i="1" s="1"/>
  <c r="Q102" i="1"/>
  <c r="R101" i="1"/>
  <c r="U101" i="1" s="1"/>
  <c r="Q101" i="1"/>
  <c r="R100" i="1"/>
  <c r="W100" i="1" s="1"/>
  <c r="Q100" i="1"/>
  <c r="R99" i="1"/>
  <c r="U99" i="1" s="1"/>
  <c r="Q99" i="1"/>
  <c r="R98" i="1"/>
  <c r="U98" i="1" s="1"/>
  <c r="Q98" i="1"/>
  <c r="R97" i="1"/>
  <c r="U97" i="1" s="1"/>
  <c r="Q97" i="1"/>
  <c r="R96" i="1"/>
  <c r="W96" i="1" s="1"/>
  <c r="Q96" i="1"/>
  <c r="R95" i="1"/>
  <c r="U95" i="1" s="1"/>
  <c r="Q95" i="1"/>
  <c r="R94" i="1"/>
  <c r="W94" i="1" s="1"/>
  <c r="Q94" i="1"/>
  <c r="R93" i="1"/>
  <c r="U93" i="1" s="1"/>
  <c r="Q93" i="1"/>
  <c r="R92" i="1"/>
  <c r="Q92" i="1"/>
  <c r="R91" i="1"/>
  <c r="U91" i="1" s="1"/>
  <c r="Q91" i="1"/>
  <c r="R90" i="1"/>
  <c r="Q90" i="1"/>
  <c r="R89" i="1"/>
  <c r="U89" i="1" s="1"/>
  <c r="Q89" i="1"/>
  <c r="R88" i="1"/>
  <c r="Q88" i="1"/>
  <c r="R87" i="1"/>
  <c r="U87" i="1" s="1"/>
  <c r="Q87" i="1"/>
  <c r="R86" i="1"/>
  <c r="U86" i="1" s="1"/>
  <c r="Q86" i="1"/>
  <c r="R85" i="1"/>
  <c r="U85" i="1" s="1"/>
  <c r="Q85" i="1"/>
  <c r="R84" i="1"/>
  <c r="W84" i="1" s="1"/>
  <c r="Q84" i="1"/>
  <c r="R83" i="1"/>
  <c r="U83" i="1" s="1"/>
  <c r="Q83" i="1"/>
  <c r="R82" i="1"/>
  <c r="W82" i="1" s="1"/>
  <c r="Q82" i="1"/>
  <c r="R81" i="1"/>
  <c r="U81" i="1" s="1"/>
  <c r="Q81" i="1"/>
  <c r="R80" i="1"/>
  <c r="W80" i="1" s="1"/>
  <c r="Q80" i="1"/>
  <c r="R79" i="1"/>
  <c r="U79" i="1" s="1"/>
  <c r="Q79" i="1"/>
  <c r="R78" i="1"/>
  <c r="U78" i="1" s="1"/>
  <c r="Q78" i="1"/>
  <c r="R77" i="1"/>
  <c r="U77" i="1" s="1"/>
  <c r="Q77" i="1"/>
  <c r="R76" i="1"/>
  <c r="W76" i="1" s="1"/>
  <c r="Q76" i="1"/>
  <c r="R75" i="1"/>
  <c r="U75" i="1" s="1"/>
  <c r="Q75" i="1"/>
  <c r="R74" i="1"/>
  <c r="W74" i="1" s="1"/>
  <c r="Q74" i="1"/>
  <c r="R73" i="1"/>
  <c r="U73" i="1" s="1"/>
  <c r="Q73" i="1"/>
  <c r="R72" i="1"/>
  <c r="W72" i="1" s="1"/>
  <c r="Q72" i="1"/>
  <c r="R71" i="1"/>
  <c r="U71" i="1" s="1"/>
  <c r="Q71" i="1"/>
  <c r="R70" i="1"/>
  <c r="U70" i="1" s="1"/>
  <c r="Q70" i="1"/>
  <c r="R69" i="1"/>
  <c r="U69" i="1" s="1"/>
  <c r="Q69" i="1"/>
  <c r="R68" i="1"/>
  <c r="W68" i="1" s="1"/>
  <c r="Q68" i="1"/>
  <c r="R67" i="1"/>
  <c r="U67" i="1" s="1"/>
  <c r="Q67" i="1"/>
  <c r="R66" i="1"/>
  <c r="U66" i="1" s="1"/>
  <c r="Q66" i="1"/>
  <c r="R65" i="1"/>
  <c r="U65" i="1" s="1"/>
  <c r="Q65" i="1"/>
  <c r="R64" i="1"/>
  <c r="W64" i="1" s="1"/>
  <c r="Q64" i="1"/>
  <c r="R63" i="1"/>
  <c r="U63" i="1" s="1"/>
  <c r="Q63" i="1"/>
  <c r="R62" i="1"/>
  <c r="W62" i="1" s="1"/>
  <c r="Q62" i="1"/>
  <c r="R61" i="1"/>
  <c r="U61" i="1" s="1"/>
  <c r="Q61" i="1"/>
  <c r="R60" i="1"/>
  <c r="W60" i="1" s="1"/>
  <c r="Q60" i="1"/>
  <c r="R59" i="1"/>
  <c r="U59" i="1" s="1"/>
  <c r="Q59" i="1"/>
  <c r="R58" i="1"/>
  <c r="W58" i="1" s="1"/>
  <c r="Q58" i="1"/>
  <c r="R57" i="1"/>
  <c r="U57" i="1" s="1"/>
  <c r="Q57" i="1"/>
  <c r="R56" i="1"/>
  <c r="W56" i="1" s="1"/>
  <c r="Q56" i="1"/>
  <c r="R55" i="1"/>
  <c r="U55" i="1" s="1"/>
  <c r="Q55" i="1"/>
  <c r="R54" i="1"/>
  <c r="U54" i="1" s="1"/>
  <c r="Q54" i="1"/>
  <c r="R53" i="1"/>
  <c r="U53" i="1" s="1"/>
  <c r="Q53" i="1"/>
  <c r="R52" i="1"/>
  <c r="W52" i="1" s="1"/>
  <c r="Q52" i="1"/>
  <c r="R51" i="1"/>
  <c r="U51" i="1" s="1"/>
  <c r="Q51" i="1"/>
  <c r="R50" i="1"/>
  <c r="W50" i="1" s="1"/>
  <c r="Q50" i="1"/>
  <c r="R49" i="1"/>
  <c r="U49" i="1" s="1"/>
  <c r="Q49" i="1"/>
  <c r="R48" i="1"/>
  <c r="W48" i="1" s="1"/>
  <c r="Q48" i="1"/>
  <c r="R47" i="1"/>
  <c r="U47" i="1" s="1"/>
  <c r="Q47" i="1"/>
  <c r="R46" i="1"/>
  <c r="U46" i="1" s="1"/>
  <c r="Q46" i="1"/>
  <c r="R45" i="1"/>
  <c r="U45" i="1" s="1"/>
  <c r="Q45" i="1"/>
  <c r="R44" i="1"/>
  <c r="U44" i="1" s="1"/>
  <c r="Q44" i="1"/>
  <c r="R43" i="1"/>
  <c r="U43" i="1" s="1"/>
  <c r="Q43" i="1"/>
  <c r="R42" i="1"/>
  <c r="U42" i="1" s="1"/>
  <c r="Q42" i="1"/>
  <c r="R41" i="1"/>
  <c r="U41" i="1" s="1"/>
  <c r="Q41" i="1"/>
  <c r="R40" i="1"/>
  <c r="W40" i="1" s="1"/>
  <c r="Q40" i="1"/>
  <c r="R39" i="1"/>
  <c r="U39" i="1" s="1"/>
  <c r="Q39" i="1"/>
  <c r="R38" i="1"/>
  <c r="W38" i="1" s="1"/>
  <c r="Q38" i="1"/>
  <c r="R37" i="1"/>
  <c r="U37" i="1" s="1"/>
  <c r="Q37" i="1"/>
  <c r="R36" i="1"/>
  <c r="U36" i="1" s="1"/>
  <c r="Q36" i="1"/>
  <c r="R35" i="1"/>
  <c r="U35" i="1" s="1"/>
  <c r="Q35" i="1"/>
  <c r="R34" i="1"/>
  <c r="W34" i="1" s="1"/>
  <c r="Q34" i="1"/>
  <c r="R33" i="1"/>
  <c r="U33" i="1" s="1"/>
  <c r="Q33" i="1"/>
  <c r="R32" i="1"/>
  <c r="U32" i="1" s="1"/>
  <c r="Q32" i="1"/>
  <c r="R31" i="1"/>
  <c r="U31" i="1" s="1"/>
  <c r="Q31" i="1"/>
  <c r="R30" i="1"/>
  <c r="W30" i="1" s="1"/>
  <c r="Q30" i="1"/>
  <c r="R29" i="1"/>
  <c r="U29" i="1" s="1"/>
  <c r="Q29" i="1"/>
  <c r="R28" i="1"/>
  <c r="W28" i="1" s="1"/>
  <c r="Q28" i="1"/>
  <c r="R27" i="1"/>
  <c r="U27" i="1" s="1"/>
  <c r="Q27" i="1"/>
  <c r="R26" i="1"/>
  <c r="U26" i="1" s="1"/>
  <c r="Q26" i="1"/>
  <c r="R25" i="1"/>
  <c r="U25" i="1" s="1"/>
  <c r="Q25" i="1"/>
  <c r="R24" i="1"/>
  <c r="W24" i="1" s="1"/>
  <c r="Q24" i="1"/>
  <c r="R23" i="1"/>
  <c r="U23" i="1" s="1"/>
  <c r="Q23" i="1"/>
  <c r="R22" i="1"/>
  <c r="U22" i="1" s="1"/>
  <c r="Q22" i="1"/>
  <c r="R21" i="1"/>
  <c r="U21" i="1" s="1"/>
  <c r="Q21" i="1"/>
  <c r="R20" i="1"/>
  <c r="W20" i="1" s="1"/>
  <c r="Q20" i="1"/>
  <c r="R19" i="1"/>
  <c r="U19" i="1" s="1"/>
  <c r="Q19" i="1"/>
  <c r="R18" i="1"/>
  <c r="U18" i="1" s="1"/>
  <c r="Q18" i="1"/>
  <c r="R17" i="1"/>
  <c r="U17" i="1" s="1"/>
  <c r="Q17" i="1"/>
  <c r="R16" i="1"/>
  <c r="W16" i="1" s="1"/>
  <c r="Q16" i="1"/>
  <c r="R15" i="1"/>
  <c r="U15" i="1" s="1"/>
  <c r="Q15" i="1"/>
  <c r="R14" i="1"/>
  <c r="W14" i="1" s="1"/>
  <c r="Q14" i="1"/>
  <c r="R13" i="1"/>
  <c r="U13" i="1" s="1"/>
  <c r="Q13" i="1"/>
  <c r="R12" i="1"/>
  <c r="W12" i="1" s="1"/>
  <c r="Q12" i="1"/>
  <c r="R11" i="1"/>
  <c r="Q11" i="1"/>
  <c r="R10" i="1"/>
  <c r="U10" i="1" s="1"/>
  <c r="Q10" i="1"/>
  <c r="R9" i="1"/>
  <c r="W9" i="1" s="1"/>
  <c r="Q9" i="1"/>
  <c r="R8" i="1"/>
  <c r="U8" i="1" s="1"/>
  <c r="Q8" i="1"/>
  <c r="P5" i="1"/>
  <c r="O5" i="1"/>
  <c r="N5" i="1"/>
  <c r="L5" i="1"/>
  <c r="I5" i="1"/>
  <c r="U1187" i="1" l="1"/>
  <c r="W587" i="1"/>
  <c r="W589" i="1"/>
  <c r="U468" i="1"/>
  <c r="W375" i="1"/>
  <c r="U516" i="1"/>
  <c r="V1062" i="1"/>
  <c r="U1113" i="1"/>
  <c r="W429" i="1"/>
  <c r="U500" i="1"/>
  <c r="W563" i="1"/>
  <c r="W1139" i="1"/>
  <c r="T1268" i="1"/>
  <c r="V1214" i="1"/>
  <c r="U1219" i="1"/>
  <c r="U1155" i="1"/>
  <c r="W1161" i="1"/>
  <c r="T1133" i="1"/>
  <c r="V1174" i="1"/>
  <c r="V1182" i="1"/>
  <c r="V1118" i="1"/>
  <c r="W771" i="1"/>
  <c r="W701" i="1"/>
  <c r="R5" i="1"/>
  <c r="V43" i="1"/>
  <c r="V47" i="1"/>
  <c r="V51" i="1"/>
  <c r="V55" i="1"/>
  <c r="V59" i="1"/>
  <c r="V71" i="1"/>
  <c r="V75" i="1"/>
  <c r="V103" i="1"/>
  <c r="T243" i="1"/>
  <c r="T247" i="1"/>
  <c r="T251" i="1"/>
  <c r="W267" i="1"/>
  <c r="W269" i="1"/>
  <c r="W277" i="1"/>
  <c r="W685" i="1"/>
  <c r="U104" i="1"/>
  <c r="W120" i="1"/>
  <c r="W943" i="1"/>
  <c r="V56" i="1"/>
  <c r="V60" i="1"/>
  <c r="V64" i="1"/>
  <c r="V68" i="1"/>
  <c r="V76" i="1"/>
  <c r="V104" i="1"/>
  <c r="W757" i="1"/>
  <c r="V990" i="1"/>
  <c r="V998" i="1"/>
  <c r="V1006" i="1"/>
  <c r="T199" i="1"/>
  <c r="T203" i="1"/>
  <c r="T314" i="1"/>
  <c r="T316" i="1"/>
  <c r="W641" i="1"/>
  <c r="U14" i="1"/>
  <c r="U203" i="1"/>
  <c r="V35" i="1"/>
  <c r="V39" i="1"/>
  <c r="U336" i="1"/>
  <c r="T422" i="1"/>
  <c r="W444" i="1"/>
  <c r="T195" i="1"/>
  <c r="W212" i="1"/>
  <c r="T740" i="1"/>
  <c r="T352" i="1"/>
  <c r="W361" i="1"/>
  <c r="W452" i="1"/>
  <c r="T708" i="1"/>
  <c r="T712" i="1"/>
  <c r="W751" i="1"/>
  <c r="T227" i="1"/>
  <c r="T231" i="1"/>
  <c r="W613" i="1"/>
  <c r="W633" i="1"/>
  <c r="T8" i="1"/>
  <c r="W176" i="1"/>
  <c r="U231" i="1"/>
  <c r="T478" i="1"/>
  <c r="T482" i="1"/>
  <c r="T490" i="1"/>
  <c r="T494" i="1"/>
  <c r="T498" i="1"/>
  <c r="W505" i="1"/>
  <c r="W577" i="1"/>
  <c r="U1145" i="1"/>
  <c r="V145" i="1"/>
  <c r="V149" i="1"/>
  <c r="U154" i="1"/>
  <c r="T156" i="1"/>
  <c r="W164" i="1"/>
  <c r="U187" i="1"/>
  <c r="W224" i="1"/>
  <c r="W388" i="1"/>
  <c r="W412" i="1"/>
  <c r="T724" i="1"/>
  <c r="T728" i="1"/>
  <c r="T1069" i="1"/>
  <c r="U1167" i="1"/>
  <c r="V150" i="1"/>
  <c r="V154" i="1"/>
  <c r="V187" i="1"/>
  <c r="U219" i="1"/>
  <c r="T272" i="1"/>
  <c r="T274" i="1"/>
  <c r="T280" i="1"/>
  <c r="T282" i="1"/>
  <c r="T288" i="1"/>
  <c r="T290" i="1"/>
  <c r="T296" i="1"/>
  <c r="T298" i="1"/>
  <c r="W449" i="1"/>
  <c r="T506" i="1"/>
  <c r="T510" i="1"/>
  <c r="W669" i="1"/>
  <c r="W677" i="1"/>
  <c r="W725" i="1"/>
  <c r="W809" i="1"/>
  <c r="V24" i="1"/>
  <c r="V36" i="1"/>
  <c r="V79" i="1"/>
  <c r="V83" i="1"/>
  <c r="U100" i="1"/>
  <c r="V112" i="1"/>
  <c r="V116" i="1"/>
  <c r="V138" i="1"/>
  <c r="V142" i="1"/>
  <c r="T163" i="1"/>
  <c r="T167" i="1"/>
  <c r="W240" i="1"/>
  <c r="W457" i="1"/>
  <c r="U532" i="1"/>
  <c r="W569" i="1"/>
  <c r="W603" i="1"/>
  <c r="W615" i="1"/>
  <c r="W619" i="1"/>
  <c r="W679" i="1"/>
  <c r="W715" i="1"/>
  <c r="V1150" i="1"/>
  <c r="U1209" i="1"/>
  <c r="W1267" i="1"/>
  <c r="V211" i="1"/>
  <c r="V215" i="1"/>
  <c r="W260" i="1"/>
  <c r="T266" i="1"/>
  <c r="T286" i="1"/>
  <c r="U307" i="1"/>
  <c r="T344" i="1"/>
  <c r="T348" i="1"/>
  <c r="U364" i="1"/>
  <c r="T378" i="1"/>
  <c r="W381" i="1"/>
  <c r="W387" i="1"/>
  <c r="W393" i="1"/>
  <c r="W401" i="1"/>
  <c r="T430" i="1"/>
  <c r="T438" i="1"/>
  <c r="T458" i="1"/>
  <c r="T462" i="1"/>
  <c r="T466" i="1"/>
  <c r="W525" i="1"/>
  <c r="W549" i="1"/>
  <c r="W553" i="1"/>
  <c r="W625" i="1"/>
  <c r="T744" i="1"/>
  <c r="T748" i="1"/>
  <c r="T1141" i="1"/>
  <c r="V19" i="1"/>
  <c r="V23" i="1"/>
  <c r="T36" i="1"/>
  <c r="V100" i="1"/>
  <c r="V107" i="1"/>
  <c r="V111" i="1"/>
  <c r="V141" i="1"/>
  <c r="U167" i="1"/>
  <c r="V179" i="1"/>
  <c r="V183" i="1"/>
  <c r="V259" i="1"/>
  <c r="V263" i="1"/>
  <c r="T474" i="1"/>
  <c r="T522" i="1"/>
  <c r="T526" i="1"/>
  <c r="W657" i="1"/>
  <c r="W745" i="1"/>
  <c r="W749" i="1"/>
  <c r="T760" i="1"/>
  <c r="T764" i="1"/>
  <c r="W775" i="1"/>
  <c r="W841" i="1"/>
  <c r="W959" i="1"/>
  <c r="T977" i="1"/>
  <c r="T979" i="1"/>
  <c r="T1085" i="1"/>
  <c r="U1177" i="1"/>
  <c r="T1197" i="1"/>
  <c r="T1205" i="1"/>
  <c r="T76" i="1"/>
  <c r="U215" i="1"/>
  <c r="V307" i="1"/>
  <c r="T312" i="1"/>
  <c r="U348" i="1"/>
  <c r="T360" i="1"/>
  <c r="T364" i="1"/>
  <c r="W371" i="1"/>
  <c r="T406" i="1"/>
  <c r="T1061" i="1"/>
  <c r="U24" i="1"/>
  <c r="T60" i="1"/>
  <c r="V72" i="1"/>
  <c r="U94" i="1"/>
  <c r="V119" i="1"/>
  <c r="U132" i="1"/>
  <c r="V158" i="1"/>
  <c r="V160" i="1"/>
  <c r="V171" i="1"/>
  <c r="U179" i="1"/>
  <c r="W204" i="1"/>
  <c r="T219" i="1"/>
  <c r="U227" i="1"/>
  <c r="T235" i="1"/>
  <c r="W236" i="1"/>
  <c r="T270" i="1"/>
  <c r="U326" i="1"/>
  <c r="W337" i="1"/>
  <c r="U360" i="1"/>
  <c r="W377" i="1"/>
  <c r="T386" i="1"/>
  <c r="T390" i="1"/>
  <c r="T398" i="1"/>
  <c r="W411" i="1"/>
  <c r="W428" i="1"/>
  <c r="W445" i="1"/>
  <c r="U476" i="1"/>
  <c r="W501" i="1"/>
  <c r="U508" i="1"/>
  <c r="T514" i="1"/>
  <c r="T530" i="1"/>
  <c r="W533" i="1"/>
  <c r="W617" i="1"/>
  <c r="W631" i="1"/>
  <c r="W635" i="1"/>
  <c r="W655" i="1"/>
  <c r="W697" i="1"/>
  <c r="T704" i="1"/>
  <c r="T720" i="1"/>
  <c r="W727" i="1"/>
  <c r="T736" i="1"/>
  <c r="W747" i="1"/>
  <c r="T756" i="1"/>
  <c r="W763" i="1"/>
  <c r="W769" i="1"/>
  <c r="T776" i="1"/>
  <c r="W801" i="1"/>
  <c r="W833" i="1"/>
  <c r="V20" i="1"/>
  <c r="V27" i="1"/>
  <c r="V40" i="1"/>
  <c r="V44" i="1"/>
  <c r="V48" i="1"/>
  <c r="V52" i="1"/>
  <c r="V63" i="1"/>
  <c r="V67" i="1"/>
  <c r="T68" i="1"/>
  <c r="V80" i="1"/>
  <c r="V99" i="1"/>
  <c r="V108" i="1"/>
  <c r="V115" i="1"/>
  <c r="V137" i="1"/>
  <c r="V146" i="1"/>
  <c r="V153" i="1"/>
  <c r="V175" i="1"/>
  <c r="T191" i="1"/>
  <c r="U199" i="1"/>
  <c r="T207" i="1"/>
  <c r="T223" i="1"/>
  <c r="T239" i="1"/>
  <c r="T255" i="1"/>
  <c r="V303" i="1"/>
  <c r="T311" i="1"/>
  <c r="T340" i="1"/>
  <c r="T356" i="1"/>
  <c r="T370" i="1"/>
  <c r="T414" i="1"/>
  <c r="W421" i="1"/>
  <c r="T446" i="1"/>
  <c r="T454" i="1"/>
  <c r="U464" i="1"/>
  <c r="T470" i="1"/>
  <c r="W473" i="1"/>
  <c r="U480" i="1"/>
  <c r="T486" i="1"/>
  <c r="T502" i="1"/>
  <c r="T518" i="1"/>
  <c r="U528" i="1"/>
  <c r="W645" i="1"/>
  <c r="U20" i="1"/>
  <c r="T52" i="1"/>
  <c r="W88" i="1"/>
  <c r="W90" i="1"/>
  <c r="U124" i="1"/>
  <c r="W126" i="1"/>
  <c r="W128" i="1"/>
  <c r="U146" i="1"/>
  <c r="W184" i="1"/>
  <c r="U191" i="1"/>
  <c r="U207" i="1"/>
  <c r="W216" i="1"/>
  <c r="W232" i="1"/>
  <c r="U239" i="1"/>
  <c r="U255" i="1"/>
  <c r="W291" i="1"/>
  <c r="U311" i="1"/>
  <c r="U322" i="1"/>
  <c r="W365" i="1"/>
  <c r="W372" i="1"/>
  <c r="W376" i="1"/>
  <c r="W420" i="1"/>
  <c r="U456" i="1"/>
  <c r="U472" i="1"/>
  <c r="U488" i="1"/>
  <c r="U504" i="1"/>
  <c r="W529" i="1"/>
  <c r="W627" i="1"/>
  <c r="W667" i="1"/>
  <c r="W707" i="1"/>
  <c r="T716" i="1"/>
  <c r="W723" i="1"/>
  <c r="T732" i="1"/>
  <c r="T752" i="1"/>
  <c r="T768" i="1"/>
  <c r="T772" i="1"/>
  <c r="W845" i="1"/>
  <c r="W853" i="1"/>
  <c r="W917" i="1"/>
  <c r="W933" i="1"/>
  <c r="W951" i="1"/>
  <c r="T1101" i="1"/>
  <c r="T1109" i="1"/>
  <c r="U1123" i="1"/>
  <c r="T1165" i="1"/>
  <c r="T1173" i="1"/>
  <c r="U1199" i="1"/>
  <c r="W1203" i="1"/>
  <c r="T1258" i="1"/>
  <c r="V974" i="1"/>
  <c r="V976" i="1"/>
  <c r="V982" i="1"/>
  <c r="T997" i="1"/>
  <c r="T1005" i="1"/>
  <c r="T1053" i="1"/>
  <c r="V1070" i="1"/>
  <c r="V1206" i="1"/>
  <c r="V1229" i="1"/>
  <c r="T1013" i="1"/>
  <c r="T1021" i="1"/>
  <c r="V1110" i="1"/>
  <c r="V1142" i="1"/>
  <c r="W929" i="1"/>
  <c r="T1252" i="1"/>
  <c r="U9" i="1"/>
  <c r="V11" i="1"/>
  <c r="T18" i="1"/>
  <c r="V22" i="1"/>
  <c r="V25" i="1"/>
  <c r="T26" i="1"/>
  <c r="U34" i="1"/>
  <c r="V38" i="1"/>
  <c r="V41" i="1"/>
  <c r="V46" i="1"/>
  <c r="V49" i="1"/>
  <c r="U50" i="1"/>
  <c r="V54" i="1"/>
  <c r="V57" i="1"/>
  <c r="U58" i="1"/>
  <c r="V62" i="1"/>
  <c r="V65" i="1"/>
  <c r="V70" i="1"/>
  <c r="V73" i="1"/>
  <c r="U74" i="1"/>
  <c r="V78" i="1"/>
  <c r="V81" i="1"/>
  <c r="U82" i="1"/>
  <c r="W86" i="1"/>
  <c r="T98" i="1"/>
  <c r="V102" i="1"/>
  <c r="V105" i="1"/>
  <c r="T106" i="1"/>
  <c r="V110" i="1"/>
  <c r="V113" i="1"/>
  <c r="T114" i="1"/>
  <c r="V118" i="1"/>
  <c r="U120" i="1"/>
  <c r="W122" i="1"/>
  <c r="T136" i="1"/>
  <c r="V140" i="1"/>
  <c r="V143" i="1"/>
  <c r="T144" i="1"/>
  <c r="V148" i="1"/>
  <c r="V151" i="1"/>
  <c r="T152" i="1"/>
  <c r="V156" i="1"/>
  <c r="U165" i="1"/>
  <c r="V169" i="1"/>
  <c r="W170" i="1"/>
  <c r="U173" i="1"/>
  <c r="V177" i="1"/>
  <c r="U181" i="1"/>
  <c r="V185" i="1"/>
  <c r="W186" i="1"/>
  <c r="U189" i="1"/>
  <c r="T193" i="1"/>
  <c r="U197" i="1"/>
  <c r="T201" i="1"/>
  <c r="U205" i="1"/>
  <c r="T209" i="1"/>
  <c r="W210" i="1"/>
  <c r="T217" i="1"/>
  <c r="V225" i="1"/>
  <c r="T233" i="1"/>
  <c r="U237" i="1"/>
  <c r="T241" i="1"/>
  <c r="W242" i="1"/>
  <c r="T249" i="1"/>
  <c r="U253" i="1"/>
  <c r="V257" i="1"/>
  <c r="T265" i="1"/>
  <c r="T268" i="1"/>
  <c r="T278" i="1"/>
  <c r="T284" i="1"/>
  <c r="W289" i="1"/>
  <c r="T294" i="1"/>
  <c r="T300" i="1"/>
  <c r="V305" i="1"/>
  <c r="W306" i="1"/>
  <c r="T318" i="1"/>
  <c r="W321" i="1"/>
  <c r="U324" i="1"/>
  <c r="V328" i="1"/>
  <c r="U332" i="1"/>
  <c r="T338" i="1"/>
  <c r="U342" i="1"/>
  <c r="T346" i="1"/>
  <c r="T354" i="1"/>
  <c r="W355" i="1"/>
  <c r="T362" i="1"/>
  <c r="U366" i="1"/>
  <c r="W368" i="1"/>
  <c r="W373" i="1"/>
  <c r="U376" i="1"/>
  <c r="W391" i="1"/>
  <c r="W400" i="1"/>
  <c r="T402" i="1"/>
  <c r="W407" i="1"/>
  <c r="W416" i="1"/>
  <c r="T418" i="1"/>
  <c r="W423" i="1"/>
  <c r="W432" i="1"/>
  <c r="T434" i="1"/>
  <c r="W439" i="1"/>
  <c r="T450" i="1"/>
  <c r="W460" i="1"/>
  <c r="W463" i="1"/>
  <c r="W484" i="1"/>
  <c r="W487" i="1"/>
  <c r="W492" i="1"/>
  <c r="W503" i="1"/>
  <c r="W519" i="1"/>
  <c r="W524" i="1"/>
  <c r="W527" i="1"/>
  <c r="W535" i="1"/>
  <c r="T540" i="1"/>
  <c r="T548" i="1"/>
  <c r="U548" i="1"/>
  <c r="T564" i="1"/>
  <c r="U564" i="1"/>
  <c r="T580" i="1"/>
  <c r="U580" i="1"/>
  <c r="T596" i="1"/>
  <c r="U596" i="1"/>
  <c r="T612" i="1"/>
  <c r="U612" i="1"/>
  <c r="T628" i="1"/>
  <c r="U628" i="1"/>
  <c r="T644" i="1"/>
  <c r="U644" i="1"/>
  <c r="T660" i="1"/>
  <c r="U660" i="1"/>
  <c r="T676" i="1"/>
  <c r="U676" i="1"/>
  <c r="T692" i="1"/>
  <c r="U692" i="1"/>
  <c r="T44" i="1"/>
  <c r="T552" i="1"/>
  <c r="U552" i="1"/>
  <c r="T568" i="1"/>
  <c r="U568" i="1"/>
  <c r="T584" i="1"/>
  <c r="U584" i="1"/>
  <c r="T600" i="1"/>
  <c r="U600" i="1"/>
  <c r="T616" i="1"/>
  <c r="U616" i="1"/>
  <c r="T632" i="1"/>
  <c r="U632" i="1"/>
  <c r="T648" i="1"/>
  <c r="U648" i="1"/>
  <c r="T664" i="1"/>
  <c r="U664" i="1"/>
  <c r="T680" i="1"/>
  <c r="U680" i="1"/>
  <c r="T696" i="1"/>
  <c r="U696" i="1"/>
  <c r="T9" i="1"/>
  <c r="V18" i="1"/>
  <c r="V21" i="1"/>
  <c r="T22" i="1"/>
  <c r="V26" i="1"/>
  <c r="U28" i="1"/>
  <c r="W32" i="1"/>
  <c r="V34" i="1"/>
  <c r="V37" i="1"/>
  <c r="U38" i="1"/>
  <c r="V42" i="1"/>
  <c r="V45" i="1"/>
  <c r="V50" i="1"/>
  <c r="V53" i="1"/>
  <c r="V58" i="1"/>
  <c r="V61" i="1"/>
  <c r="U62" i="1"/>
  <c r="V66" i="1"/>
  <c r="V69" i="1"/>
  <c r="V74" i="1"/>
  <c r="V77" i="1"/>
  <c r="V82" i="1"/>
  <c r="U90" i="1"/>
  <c r="W92" i="1"/>
  <c r="V98" i="1"/>
  <c r="V101" i="1"/>
  <c r="T102" i="1"/>
  <c r="V106" i="1"/>
  <c r="V109" i="1"/>
  <c r="T110" i="1"/>
  <c r="V114" i="1"/>
  <c r="V117" i="1"/>
  <c r="T118" i="1"/>
  <c r="U128" i="1"/>
  <c r="V136" i="1"/>
  <c r="V139" i="1"/>
  <c r="T140" i="1"/>
  <c r="V144" i="1"/>
  <c r="V147" i="1"/>
  <c r="T148" i="1"/>
  <c r="V152" i="1"/>
  <c r="V155" i="1"/>
  <c r="V161" i="1"/>
  <c r="T165" i="1"/>
  <c r="W166" i="1"/>
  <c r="U169" i="1"/>
  <c r="V173" i="1"/>
  <c r="W174" i="1"/>
  <c r="U177" i="1"/>
  <c r="V181" i="1"/>
  <c r="U185" i="1"/>
  <c r="V189" i="1"/>
  <c r="W190" i="1"/>
  <c r="T197" i="1"/>
  <c r="W198" i="1"/>
  <c r="T205" i="1"/>
  <c r="V213" i="1"/>
  <c r="U217" i="1"/>
  <c r="V221" i="1"/>
  <c r="W222" i="1"/>
  <c r="U225" i="1"/>
  <c r="T229" i="1"/>
  <c r="T237" i="1"/>
  <c r="W238" i="1"/>
  <c r="U241" i="1"/>
  <c r="T245" i="1"/>
  <c r="U249" i="1"/>
  <c r="T253" i="1"/>
  <c r="T261" i="1"/>
  <c r="W262" i="1"/>
  <c r="U265" i="1"/>
  <c r="T276" i="1"/>
  <c r="W279" i="1"/>
  <c r="T292" i="1"/>
  <c r="W297" i="1"/>
  <c r="T302" i="1"/>
  <c r="U305" i="1"/>
  <c r="V309" i="1"/>
  <c r="V321" i="1"/>
  <c r="V324" i="1"/>
  <c r="U328" i="1"/>
  <c r="W330" i="1"/>
  <c r="T332" i="1"/>
  <c r="T342" i="1"/>
  <c r="T350" i="1"/>
  <c r="U354" i="1"/>
  <c r="T358" i="1"/>
  <c r="W359" i="1"/>
  <c r="T366" i="1"/>
  <c r="W384" i="1"/>
  <c r="W392" i="1"/>
  <c r="T394" i="1"/>
  <c r="W399" i="1"/>
  <c r="T410" i="1"/>
  <c r="W415" i="1"/>
  <c r="T426" i="1"/>
  <c r="T442" i="1"/>
  <c r="W475" i="1"/>
  <c r="W483" i="1"/>
  <c r="W491" i="1"/>
  <c r="W496" i="1"/>
  <c r="W507" i="1"/>
  <c r="W512" i="1"/>
  <c r="W515" i="1"/>
  <c r="W520" i="1"/>
  <c r="W531" i="1"/>
  <c r="T536" i="1"/>
  <c r="W539" i="1"/>
  <c r="T544" i="1"/>
  <c r="W547" i="1"/>
  <c r="T556" i="1"/>
  <c r="U556" i="1"/>
  <c r="T572" i="1"/>
  <c r="U572" i="1"/>
  <c r="T588" i="1"/>
  <c r="U588" i="1"/>
  <c r="T604" i="1"/>
  <c r="U604" i="1"/>
  <c r="T620" i="1"/>
  <c r="U620" i="1"/>
  <c r="T636" i="1"/>
  <c r="U636" i="1"/>
  <c r="T652" i="1"/>
  <c r="U652" i="1"/>
  <c r="T668" i="1"/>
  <c r="U668" i="1"/>
  <c r="T684" i="1"/>
  <c r="U684" i="1"/>
  <c r="T700" i="1"/>
  <c r="U700" i="1"/>
  <c r="T40" i="1"/>
  <c r="T48" i="1"/>
  <c r="T56" i="1"/>
  <c r="T64" i="1"/>
  <c r="T72" i="1"/>
  <c r="T80" i="1"/>
  <c r="T160" i="1"/>
  <c r="T560" i="1"/>
  <c r="U560" i="1"/>
  <c r="T576" i="1"/>
  <c r="U576" i="1"/>
  <c r="T592" i="1"/>
  <c r="U592" i="1"/>
  <c r="T608" i="1"/>
  <c r="U608" i="1"/>
  <c r="T624" i="1"/>
  <c r="U624" i="1"/>
  <c r="T640" i="1"/>
  <c r="U640" i="1"/>
  <c r="T656" i="1"/>
  <c r="U656" i="1"/>
  <c r="T672" i="1"/>
  <c r="U672" i="1"/>
  <c r="T688" i="1"/>
  <c r="U688" i="1"/>
  <c r="U704" i="1"/>
  <c r="U712" i="1"/>
  <c r="U720" i="1"/>
  <c r="U728" i="1"/>
  <c r="U736" i="1"/>
  <c r="U744" i="1"/>
  <c r="U752" i="1"/>
  <c r="U760" i="1"/>
  <c r="U768" i="1"/>
  <c r="U776" i="1"/>
  <c r="T780" i="1"/>
  <c r="W799" i="1"/>
  <c r="W839" i="1"/>
  <c r="W855" i="1"/>
  <c r="W911" i="1"/>
  <c r="W919" i="1"/>
  <c r="W927" i="1"/>
  <c r="W935" i="1"/>
  <c r="V968" i="1"/>
  <c r="T971" i="1"/>
  <c r="V1022" i="1"/>
  <c r="T1029" i="1"/>
  <c r="V1030" i="1"/>
  <c r="V1038" i="1"/>
  <c r="T1045" i="1"/>
  <c r="V1054" i="1"/>
  <c r="V1078" i="1"/>
  <c r="V1094" i="1"/>
  <c r="U1097" i="1"/>
  <c r="V1102" i="1"/>
  <c r="U1107" i="1"/>
  <c r="U1119" i="1"/>
  <c r="T1125" i="1"/>
  <c r="W1135" i="1"/>
  <c r="T1149" i="1"/>
  <c r="V1158" i="1"/>
  <c r="U1161" i="1"/>
  <c r="V1166" i="1"/>
  <c r="U1171" i="1"/>
  <c r="U1183" i="1"/>
  <c r="T1189" i="1"/>
  <c r="T1213" i="1"/>
  <c r="V1222" i="1"/>
  <c r="U1225" i="1"/>
  <c r="V1230" i="1"/>
  <c r="T1229" i="1"/>
  <c r="U708" i="1"/>
  <c r="U716" i="1"/>
  <c r="U724" i="1"/>
  <c r="U732" i="1"/>
  <c r="U740" i="1"/>
  <c r="U748" i="1"/>
  <c r="U756" i="1"/>
  <c r="U764" i="1"/>
  <c r="U772" i="1"/>
  <c r="W835" i="1"/>
  <c r="W851" i="1"/>
  <c r="W899" i="1"/>
  <c r="W907" i="1"/>
  <c r="W915" i="1"/>
  <c r="W939" i="1"/>
  <c r="T969" i="1"/>
  <c r="T989" i="1"/>
  <c r="V1014" i="1"/>
  <c r="T1037" i="1"/>
  <c r="V1046" i="1"/>
  <c r="T1077" i="1"/>
  <c r="V1086" i="1"/>
  <c r="T1093" i="1"/>
  <c r="W1103" i="1"/>
  <c r="T1117" i="1"/>
  <c r="V1126" i="1"/>
  <c r="U1129" i="1"/>
  <c r="V1134" i="1"/>
  <c r="U1139" i="1"/>
  <c r="U1151" i="1"/>
  <c r="T1157" i="1"/>
  <c r="T1181" i="1"/>
  <c r="V1190" i="1"/>
  <c r="U1193" i="1"/>
  <c r="V1198" i="1"/>
  <c r="U1203" i="1"/>
  <c r="V1213" i="1"/>
  <c r="U1215" i="1"/>
  <c r="T1231" i="1"/>
  <c r="W1271" i="1"/>
  <c r="W374" i="1"/>
  <c r="U374" i="1"/>
  <c r="W1009" i="1"/>
  <c r="T1009" i="1"/>
  <c r="U1009" i="1"/>
  <c r="W1035" i="1"/>
  <c r="T1035" i="1"/>
  <c r="U1035" i="1"/>
  <c r="U1044" i="1"/>
  <c r="V1044" i="1"/>
  <c r="W1079" i="1"/>
  <c r="T1079" i="1"/>
  <c r="U1079" i="1"/>
  <c r="W1095" i="1"/>
  <c r="U1095" i="1"/>
  <c r="T1095" i="1"/>
  <c r="W1105" i="1"/>
  <c r="U1105" i="1"/>
  <c r="T1105" i="1"/>
  <c r="U1116" i="1"/>
  <c r="V1116" i="1"/>
  <c r="W1147" i="1"/>
  <c r="U1147" i="1"/>
  <c r="T1147" i="1"/>
  <c r="W1159" i="1"/>
  <c r="U1159" i="1"/>
  <c r="T1159" i="1"/>
  <c r="W1169" i="1"/>
  <c r="U1169" i="1"/>
  <c r="T1169" i="1"/>
  <c r="U1180" i="1"/>
  <c r="V1180" i="1"/>
  <c r="W1211" i="1"/>
  <c r="U1211" i="1"/>
  <c r="T1211" i="1"/>
  <c r="W1223" i="1"/>
  <c r="U1223" i="1"/>
  <c r="T1223" i="1"/>
  <c r="W8" i="1"/>
  <c r="T12" i="1"/>
  <c r="V14" i="1"/>
  <c r="V15" i="1"/>
  <c r="T16" i="1"/>
  <c r="V17" i="1"/>
  <c r="V28" i="1"/>
  <c r="V29" i="1"/>
  <c r="T30" i="1"/>
  <c r="V32" i="1"/>
  <c r="V33" i="1"/>
  <c r="U40" i="1"/>
  <c r="W42" i="1"/>
  <c r="W46" i="1"/>
  <c r="U48" i="1"/>
  <c r="U52" i="1"/>
  <c r="W54" i="1"/>
  <c r="U56" i="1"/>
  <c r="U60" i="1"/>
  <c r="U64" i="1"/>
  <c r="W66" i="1"/>
  <c r="U68" i="1"/>
  <c r="W70" i="1"/>
  <c r="U72" i="1"/>
  <c r="U76" i="1"/>
  <c r="W78" i="1"/>
  <c r="U80" i="1"/>
  <c r="T84" i="1"/>
  <c r="V86" i="1"/>
  <c r="V87" i="1"/>
  <c r="T88" i="1"/>
  <c r="V90" i="1"/>
  <c r="V91" i="1"/>
  <c r="T92" i="1"/>
  <c r="V94" i="1"/>
  <c r="V95" i="1"/>
  <c r="T96" i="1"/>
  <c r="V97" i="1"/>
  <c r="U106" i="1"/>
  <c r="W108" i="1"/>
  <c r="U110" i="1"/>
  <c r="W112" i="1"/>
  <c r="U114" i="1"/>
  <c r="W116" i="1"/>
  <c r="V120" i="1"/>
  <c r="V121" i="1"/>
  <c r="T122" i="1"/>
  <c r="V124" i="1"/>
  <c r="V125" i="1"/>
  <c r="T126" i="1"/>
  <c r="V128" i="1"/>
  <c r="V129" i="1"/>
  <c r="T130" i="1"/>
  <c r="V132" i="1"/>
  <c r="V133" i="1"/>
  <c r="T134" i="1"/>
  <c r="V135" i="1"/>
  <c r="W138" i="1"/>
  <c r="U140" i="1"/>
  <c r="W142" i="1"/>
  <c r="U144" i="1"/>
  <c r="U148" i="1"/>
  <c r="W150" i="1"/>
  <c r="U152" i="1"/>
  <c r="T157" i="1"/>
  <c r="U159" i="1"/>
  <c r="T161" i="1"/>
  <c r="V162" i="1"/>
  <c r="W163" i="1"/>
  <c r="T164" i="1"/>
  <c r="V166" i="1"/>
  <c r="T168" i="1"/>
  <c r="V170" i="1"/>
  <c r="W171" i="1"/>
  <c r="T172" i="1"/>
  <c r="V174" i="1"/>
  <c r="W175" i="1"/>
  <c r="T176" i="1"/>
  <c r="V178" i="1"/>
  <c r="T180" i="1"/>
  <c r="V182" i="1"/>
  <c r="W183" i="1"/>
  <c r="T184" i="1"/>
  <c r="V186" i="1"/>
  <c r="T188" i="1"/>
  <c r="V190" i="1"/>
  <c r="T192" i="1"/>
  <c r="V194" i="1"/>
  <c r="W195" i="1"/>
  <c r="T196" i="1"/>
  <c r="V198" i="1"/>
  <c r="T200" i="1"/>
  <c r="V202" i="1"/>
  <c r="T204" i="1"/>
  <c r="V206" i="1"/>
  <c r="T208" i="1"/>
  <c r="V210" i="1"/>
  <c r="W211" i="1"/>
  <c r="T212" i="1"/>
  <c r="V214" i="1"/>
  <c r="T216" i="1"/>
  <c r="V218" i="1"/>
  <c r="T220" i="1"/>
  <c r="V222" i="1"/>
  <c r="W223" i="1"/>
  <c r="T224" i="1"/>
  <c r="V226" i="1"/>
  <c r="T228" i="1"/>
  <c r="V230" i="1"/>
  <c r="T232" i="1"/>
  <c r="V234" i="1"/>
  <c r="W235" i="1"/>
  <c r="T236" i="1"/>
  <c r="V238" i="1"/>
  <c r="T240" i="1"/>
  <c r="V242" i="1"/>
  <c r="W243" i="1"/>
  <c r="T244" i="1"/>
  <c r="V246" i="1"/>
  <c r="W247" i="1"/>
  <c r="T248" i="1"/>
  <c r="V250" i="1"/>
  <c r="W251" i="1"/>
  <c r="T252" i="1"/>
  <c r="V254" i="1"/>
  <c r="T256" i="1"/>
  <c r="V258" i="1"/>
  <c r="W259" i="1"/>
  <c r="T260" i="1"/>
  <c r="W263" i="1"/>
  <c r="T264" i="1"/>
  <c r="V265" i="1"/>
  <c r="V267" i="1"/>
  <c r="W268" i="1"/>
  <c r="U269" i="1"/>
  <c r="V271" i="1"/>
  <c r="U273" i="1"/>
  <c r="T275" i="1"/>
  <c r="W276" i="1"/>
  <c r="U277" i="1"/>
  <c r="V279" i="1"/>
  <c r="W280" i="1"/>
  <c r="U281" i="1"/>
  <c r="V283" i="1"/>
  <c r="U285" i="1"/>
  <c r="V287" i="1"/>
  <c r="U289" i="1"/>
  <c r="T291" i="1"/>
  <c r="U293" i="1"/>
  <c r="T295" i="1"/>
  <c r="W296" i="1"/>
  <c r="U297" i="1"/>
  <c r="T299" i="1"/>
  <c r="U301" i="1"/>
  <c r="T303" i="1"/>
  <c r="T306" i="1"/>
  <c r="W309" i="1"/>
  <c r="T310" i="1"/>
  <c r="V311" i="1"/>
  <c r="T313" i="1"/>
  <c r="W314" i="1"/>
  <c r="U315" i="1"/>
  <c r="V317" i="1"/>
  <c r="U319" i="1"/>
  <c r="T320" i="1"/>
  <c r="V322" i="1"/>
  <c r="V326" i="1"/>
  <c r="V330" i="1"/>
  <c r="T334" i="1"/>
  <c r="W338" i="1"/>
  <c r="W346" i="1"/>
  <c r="W350" i="1"/>
  <c r="W358" i="1"/>
  <c r="W362" i="1"/>
  <c r="W370" i="1"/>
  <c r="U370" i="1"/>
  <c r="U380" i="1"/>
  <c r="T382" i="1"/>
  <c r="W386" i="1"/>
  <c r="U386" i="1"/>
  <c r="U392" i="1"/>
  <c r="U400" i="1"/>
  <c r="U408" i="1"/>
  <c r="U416" i="1"/>
  <c r="U424" i="1"/>
  <c r="U432" i="1"/>
  <c r="U440" i="1"/>
  <c r="U448" i="1"/>
  <c r="W973" i="1"/>
  <c r="T973" i="1"/>
  <c r="W983" i="1"/>
  <c r="T983" i="1"/>
  <c r="U983" i="1"/>
  <c r="W1041" i="1"/>
  <c r="T1041" i="1"/>
  <c r="U1041" i="1"/>
  <c r="W1067" i="1"/>
  <c r="T1067" i="1"/>
  <c r="U1067" i="1"/>
  <c r="Q5" i="1"/>
  <c r="S5" i="1" s="1"/>
  <c r="U12" i="1"/>
  <c r="U16" i="1"/>
  <c r="T20" i="1"/>
  <c r="T24" i="1"/>
  <c r="U30" i="1"/>
  <c r="T34" i="1"/>
  <c r="T38" i="1"/>
  <c r="T42" i="1"/>
  <c r="T46" i="1"/>
  <c r="T50" i="1"/>
  <c r="T54" i="1"/>
  <c r="T58" i="1"/>
  <c r="T62" i="1"/>
  <c r="T66" i="1"/>
  <c r="T70" i="1"/>
  <c r="T74" i="1"/>
  <c r="T78" i="1"/>
  <c r="T82" i="1"/>
  <c r="U84" i="1"/>
  <c r="U88" i="1"/>
  <c r="U92" i="1"/>
  <c r="U96" i="1"/>
  <c r="T100" i="1"/>
  <c r="T104" i="1"/>
  <c r="T108" i="1"/>
  <c r="T112" i="1"/>
  <c r="T116" i="1"/>
  <c r="U122" i="1"/>
  <c r="U126" i="1"/>
  <c r="U130" i="1"/>
  <c r="U134" i="1"/>
  <c r="T138" i="1"/>
  <c r="T142" i="1"/>
  <c r="T146" i="1"/>
  <c r="T150" i="1"/>
  <c r="T154" i="1"/>
  <c r="T158" i="1"/>
  <c r="V319" i="1"/>
  <c r="W382" i="1"/>
  <c r="U382" i="1"/>
  <c r="T942" i="1"/>
  <c r="U942" i="1"/>
  <c r="T950" i="1"/>
  <c r="U950" i="1"/>
  <c r="T958" i="1"/>
  <c r="U958" i="1"/>
  <c r="T966" i="1"/>
  <c r="U966" i="1"/>
  <c r="W1015" i="1"/>
  <c r="T1015" i="1"/>
  <c r="U1015" i="1"/>
  <c r="W1047" i="1"/>
  <c r="T1047" i="1"/>
  <c r="U1047" i="1"/>
  <c r="U1076" i="1"/>
  <c r="V1076" i="1"/>
  <c r="V10" i="1"/>
  <c r="V12" i="1"/>
  <c r="V13" i="1"/>
  <c r="T14" i="1"/>
  <c r="V16" i="1"/>
  <c r="W18" i="1"/>
  <c r="W22" i="1"/>
  <c r="W26" i="1"/>
  <c r="T28" i="1"/>
  <c r="V30" i="1"/>
  <c r="V31" i="1"/>
  <c r="T32" i="1"/>
  <c r="W33" i="1"/>
  <c r="W36" i="1"/>
  <c r="W44" i="1"/>
  <c r="V84" i="1"/>
  <c r="V85" i="1"/>
  <c r="T86" i="1"/>
  <c r="V88" i="1"/>
  <c r="V89" i="1"/>
  <c r="T90" i="1"/>
  <c r="V92" i="1"/>
  <c r="V93" i="1"/>
  <c r="T94" i="1"/>
  <c r="V96" i="1"/>
  <c r="W98" i="1"/>
  <c r="W102" i="1"/>
  <c r="W118" i="1"/>
  <c r="T120" i="1"/>
  <c r="V122" i="1"/>
  <c r="V123" i="1"/>
  <c r="T124" i="1"/>
  <c r="V126" i="1"/>
  <c r="V127" i="1"/>
  <c r="T128" i="1"/>
  <c r="V130" i="1"/>
  <c r="V131" i="1"/>
  <c r="T132" i="1"/>
  <c r="V134" i="1"/>
  <c r="W136" i="1"/>
  <c r="W156" i="1"/>
  <c r="U157" i="1"/>
  <c r="T159" i="1"/>
  <c r="U161" i="1"/>
  <c r="T162" i="1"/>
  <c r="V164" i="1"/>
  <c r="T166" i="1"/>
  <c r="V168" i="1"/>
  <c r="T170" i="1"/>
  <c r="V172" i="1"/>
  <c r="T174" i="1"/>
  <c r="V176" i="1"/>
  <c r="T178" i="1"/>
  <c r="V180" i="1"/>
  <c r="T182" i="1"/>
  <c r="V184" i="1"/>
  <c r="T186" i="1"/>
  <c r="V188" i="1"/>
  <c r="T190" i="1"/>
  <c r="V192" i="1"/>
  <c r="W193" i="1"/>
  <c r="T194" i="1"/>
  <c r="V196" i="1"/>
  <c r="T198" i="1"/>
  <c r="V200" i="1"/>
  <c r="W201" i="1"/>
  <c r="T202" i="1"/>
  <c r="V204" i="1"/>
  <c r="T206" i="1"/>
  <c r="V208" i="1"/>
  <c r="W209" i="1"/>
  <c r="T210" i="1"/>
  <c r="V212" i="1"/>
  <c r="W213" i="1"/>
  <c r="T214" i="1"/>
  <c r="V216" i="1"/>
  <c r="T218" i="1"/>
  <c r="V220" i="1"/>
  <c r="W221" i="1"/>
  <c r="T222" i="1"/>
  <c r="V224" i="1"/>
  <c r="T226" i="1"/>
  <c r="V228" i="1"/>
  <c r="W229" i="1"/>
  <c r="T230" i="1"/>
  <c r="V232" i="1"/>
  <c r="W233" i="1"/>
  <c r="T234" i="1"/>
  <c r="V236" i="1"/>
  <c r="T238" i="1"/>
  <c r="V240" i="1"/>
  <c r="T242" i="1"/>
  <c r="V244" i="1"/>
  <c r="W245" i="1"/>
  <c r="T246" i="1"/>
  <c r="V248" i="1"/>
  <c r="T250" i="1"/>
  <c r="V252" i="1"/>
  <c r="T254" i="1"/>
  <c r="V256" i="1"/>
  <c r="W257" i="1"/>
  <c r="T258" i="1"/>
  <c r="V260" i="1"/>
  <c r="W261" i="1"/>
  <c r="T262" i="1"/>
  <c r="W266" i="1"/>
  <c r="U267" i="1"/>
  <c r="V269" i="1"/>
  <c r="W270" i="1"/>
  <c r="U271" i="1"/>
  <c r="V273" i="1"/>
  <c r="U275" i="1"/>
  <c r="V277" i="1"/>
  <c r="U279" i="1"/>
  <c r="V281" i="1"/>
  <c r="W282" i="1"/>
  <c r="U283" i="1"/>
  <c r="V285" i="1"/>
  <c r="W286" i="1"/>
  <c r="U287" i="1"/>
  <c r="T289" i="1"/>
  <c r="W290" i="1"/>
  <c r="U291" i="1"/>
  <c r="T293" i="1"/>
  <c r="U295" i="1"/>
  <c r="T297" i="1"/>
  <c r="U299" i="1"/>
  <c r="T301" i="1"/>
  <c r="U303" i="1"/>
  <c r="T304" i="1"/>
  <c r="T308" i="1"/>
  <c r="W312" i="1"/>
  <c r="U313" i="1"/>
  <c r="V315" i="1"/>
  <c r="U317" i="1"/>
  <c r="T319" i="1"/>
  <c r="T322" i="1"/>
  <c r="T323" i="1"/>
  <c r="V325" i="1"/>
  <c r="T326" i="1"/>
  <c r="T327" i="1"/>
  <c r="V329" i="1"/>
  <c r="T330" i="1"/>
  <c r="T331" i="1"/>
  <c r="U334" i="1"/>
  <c r="W340" i="1"/>
  <c r="W344" i="1"/>
  <c r="W352" i="1"/>
  <c r="W356" i="1"/>
  <c r="U372" i="1"/>
  <c r="T374" i="1"/>
  <c r="W378" i="1"/>
  <c r="U378" i="1"/>
  <c r="U388" i="1"/>
  <c r="U396" i="1"/>
  <c r="U404" i="1"/>
  <c r="U412" i="1"/>
  <c r="U420" i="1"/>
  <c r="U428" i="1"/>
  <c r="U436" i="1"/>
  <c r="U444" i="1"/>
  <c r="U452" i="1"/>
  <c r="U978" i="1"/>
  <c r="V978" i="1"/>
  <c r="W1003" i="1"/>
  <c r="T1003" i="1"/>
  <c r="U1003" i="1"/>
  <c r="U1012" i="1"/>
  <c r="V1012" i="1"/>
  <c r="W1073" i="1"/>
  <c r="T1073" i="1"/>
  <c r="U1073" i="1"/>
  <c r="W402" i="1"/>
  <c r="W410" i="1"/>
  <c r="W434" i="1"/>
  <c r="W462" i="1"/>
  <c r="W482" i="1"/>
  <c r="W486" i="1"/>
  <c r="W498" i="1"/>
  <c r="W502" i="1"/>
  <c r="W510" i="1"/>
  <c r="W526" i="1"/>
  <c r="W530" i="1"/>
  <c r="T534" i="1"/>
  <c r="T538" i="1"/>
  <c r="T542" i="1"/>
  <c r="T546" i="1"/>
  <c r="T550" i="1"/>
  <c r="T554" i="1"/>
  <c r="T558" i="1"/>
  <c r="T562" i="1"/>
  <c r="T566" i="1"/>
  <c r="T570" i="1"/>
  <c r="T574" i="1"/>
  <c r="T578" i="1"/>
  <c r="T582" i="1"/>
  <c r="T586" i="1"/>
  <c r="T590" i="1"/>
  <c r="T594" i="1"/>
  <c r="T598" i="1"/>
  <c r="T602" i="1"/>
  <c r="T606" i="1"/>
  <c r="T610" i="1"/>
  <c r="T614" i="1"/>
  <c r="T618" i="1"/>
  <c r="T622" i="1"/>
  <c r="T626" i="1"/>
  <c r="T630" i="1"/>
  <c r="T634" i="1"/>
  <c r="T638" i="1"/>
  <c r="T642" i="1"/>
  <c r="T646" i="1"/>
  <c r="T650" i="1"/>
  <c r="T654" i="1"/>
  <c r="T658" i="1"/>
  <c r="T662" i="1"/>
  <c r="T666" i="1"/>
  <c r="T670" i="1"/>
  <c r="T674" i="1"/>
  <c r="T678" i="1"/>
  <c r="T682" i="1"/>
  <c r="T686" i="1"/>
  <c r="T690" i="1"/>
  <c r="T694" i="1"/>
  <c r="T698" i="1"/>
  <c r="T702" i="1"/>
  <c r="T706" i="1"/>
  <c r="T710" i="1"/>
  <c r="T714" i="1"/>
  <c r="T718" i="1"/>
  <c r="T722" i="1"/>
  <c r="T726" i="1"/>
  <c r="T730" i="1"/>
  <c r="T734" i="1"/>
  <c r="T738" i="1"/>
  <c r="T742" i="1"/>
  <c r="T746" i="1"/>
  <c r="T750" i="1"/>
  <c r="T754" i="1"/>
  <c r="T758" i="1"/>
  <c r="T762" i="1"/>
  <c r="T766" i="1"/>
  <c r="T770" i="1"/>
  <c r="T774" i="1"/>
  <c r="T778" i="1"/>
  <c r="T782" i="1"/>
  <c r="T786" i="1"/>
  <c r="T790" i="1"/>
  <c r="T794" i="1"/>
  <c r="T798" i="1"/>
  <c r="T802" i="1"/>
  <c r="T806" i="1"/>
  <c r="T810" i="1"/>
  <c r="T814" i="1"/>
  <c r="T818" i="1"/>
  <c r="T822" i="1"/>
  <c r="T826" i="1"/>
  <c r="T830" i="1"/>
  <c r="T834" i="1"/>
  <c r="T838" i="1"/>
  <c r="T842" i="1"/>
  <c r="T846" i="1"/>
  <c r="T850" i="1"/>
  <c r="T854" i="1"/>
  <c r="T858" i="1"/>
  <c r="T862" i="1"/>
  <c r="T866" i="1"/>
  <c r="T870" i="1"/>
  <c r="T874" i="1"/>
  <c r="T878" i="1"/>
  <c r="T882" i="1"/>
  <c r="T886" i="1"/>
  <c r="T890" i="1"/>
  <c r="T894" i="1"/>
  <c r="T898" i="1"/>
  <c r="T902" i="1"/>
  <c r="T906" i="1"/>
  <c r="T910" i="1"/>
  <c r="T914" i="1"/>
  <c r="T918" i="1"/>
  <c r="T922" i="1"/>
  <c r="T926" i="1"/>
  <c r="T930" i="1"/>
  <c r="T934" i="1"/>
  <c r="T938" i="1"/>
  <c r="T944" i="1"/>
  <c r="U944" i="1"/>
  <c r="T952" i="1"/>
  <c r="U952" i="1"/>
  <c r="T960" i="1"/>
  <c r="U960" i="1"/>
  <c r="U970" i="1"/>
  <c r="V970" i="1"/>
  <c r="W975" i="1"/>
  <c r="T975" i="1"/>
  <c r="W985" i="1"/>
  <c r="T985" i="1"/>
  <c r="U988" i="1"/>
  <c r="V988" i="1"/>
  <c r="W991" i="1"/>
  <c r="T991" i="1"/>
  <c r="W1011" i="1"/>
  <c r="T1011" i="1"/>
  <c r="W1017" i="1"/>
  <c r="T1017" i="1"/>
  <c r="U1020" i="1"/>
  <c r="V1020" i="1"/>
  <c r="W1023" i="1"/>
  <c r="T1023" i="1"/>
  <c r="W1043" i="1"/>
  <c r="T1043" i="1"/>
  <c r="W1049" i="1"/>
  <c r="T1049" i="1"/>
  <c r="U1052" i="1"/>
  <c r="V1052" i="1"/>
  <c r="W1055" i="1"/>
  <c r="T1055" i="1"/>
  <c r="W1075" i="1"/>
  <c r="T1075" i="1"/>
  <c r="W1081" i="1"/>
  <c r="T1081" i="1"/>
  <c r="U1084" i="1"/>
  <c r="V1084" i="1"/>
  <c r="W1087" i="1"/>
  <c r="T1087" i="1"/>
  <c r="W1099" i="1"/>
  <c r="U1099" i="1"/>
  <c r="T1099" i="1"/>
  <c r="W1111" i="1"/>
  <c r="U1111" i="1"/>
  <c r="T1111" i="1"/>
  <c r="W1121" i="1"/>
  <c r="U1121" i="1"/>
  <c r="T1121" i="1"/>
  <c r="U1132" i="1"/>
  <c r="V1132" i="1"/>
  <c r="W1163" i="1"/>
  <c r="U1163" i="1"/>
  <c r="T1163" i="1"/>
  <c r="W1175" i="1"/>
  <c r="U1175" i="1"/>
  <c r="T1175" i="1"/>
  <c r="W1185" i="1"/>
  <c r="U1185" i="1"/>
  <c r="T1185" i="1"/>
  <c r="U1196" i="1"/>
  <c r="V1196" i="1"/>
  <c r="W1227" i="1"/>
  <c r="U1227" i="1"/>
  <c r="T1227" i="1"/>
  <c r="T1250" i="1"/>
  <c r="U1250" i="1"/>
  <c r="T1260" i="1"/>
  <c r="U1260" i="1"/>
  <c r="T368" i="1"/>
  <c r="T372" i="1"/>
  <c r="T376" i="1"/>
  <c r="T380" i="1"/>
  <c r="T384" i="1"/>
  <c r="T388" i="1"/>
  <c r="U390" i="1"/>
  <c r="T392" i="1"/>
  <c r="U394" i="1"/>
  <c r="T396" i="1"/>
  <c r="U398" i="1"/>
  <c r="T400" i="1"/>
  <c r="U402" i="1"/>
  <c r="T404" i="1"/>
  <c r="U406" i="1"/>
  <c r="T408" i="1"/>
  <c r="U410" i="1"/>
  <c r="T412" i="1"/>
  <c r="U414" i="1"/>
  <c r="T416" i="1"/>
  <c r="U418" i="1"/>
  <c r="T420" i="1"/>
  <c r="U422" i="1"/>
  <c r="T424" i="1"/>
  <c r="U426" i="1"/>
  <c r="T428" i="1"/>
  <c r="U430" i="1"/>
  <c r="T432" i="1"/>
  <c r="U434" i="1"/>
  <c r="T436" i="1"/>
  <c r="U438" i="1"/>
  <c r="T440" i="1"/>
  <c r="U442" i="1"/>
  <c r="T444" i="1"/>
  <c r="U446" i="1"/>
  <c r="T448" i="1"/>
  <c r="U450" i="1"/>
  <c r="T452" i="1"/>
  <c r="U454" i="1"/>
  <c r="T456" i="1"/>
  <c r="U458" i="1"/>
  <c r="T460" i="1"/>
  <c r="U462" i="1"/>
  <c r="T464" i="1"/>
  <c r="U466" i="1"/>
  <c r="T468" i="1"/>
  <c r="U470" i="1"/>
  <c r="T472" i="1"/>
  <c r="U474" i="1"/>
  <c r="T476" i="1"/>
  <c r="U478" i="1"/>
  <c r="T480" i="1"/>
  <c r="U482" i="1"/>
  <c r="T484" i="1"/>
  <c r="U486" i="1"/>
  <c r="T488" i="1"/>
  <c r="U490" i="1"/>
  <c r="T492" i="1"/>
  <c r="U494" i="1"/>
  <c r="T496" i="1"/>
  <c r="U498" i="1"/>
  <c r="T500" i="1"/>
  <c r="U502" i="1"/>
  <c r="T504" i="1"/>
  <c r="U506" i="1"/>
  <c r="T508" i="1"/>
  <c r="U510" i="1"/>
  <c r="T512" i="1"/>
  <c r="U514" i="1"/>
  <c r="T516" i="1"/>
  <c r="U518" i="1"/>
  <c r="T520" i="1"/>
  <c r="U522" i="1"/>
  <c r="T524" i="1"/>
  <c r="U526" i="1"/>
  <c r="T528" i="1"/>
  <c r="U530" i="1"/>
  <c r="T532" i="1"/>
  <c r="U534" i="1"/>
  <c r="U538" i="1"/>
  <c r="U542" i="1"/>
  <c r="U546" i="1"/>
  <c r="U550" i="1"/>
  <c r="U554" i="1"/>
  <c r="U558" i="1"/>
  <c r="U562" i="1"/>
  <c r="U566" i="1"/>
  <c r="U570" i="1"/>
  <c r="U574" i="1"/>
  <c r="U578" i="1"/>
  <c r="U582" i="1"/>
  <c r="U586" i="1"/>
  <c r="U590" i="1"/>
  <c r="U594" i="1"/>
  <c r="U598" i="1"/>
  <c r="U602" i="1"/>
  <c r="U606" i="1"/>
  <c r="U610" i="1"/>
  <c r="U614" i="1"/>
  <c r="U618" i="1"/>
  <c r="U622" i="1"/>
  <c r="U626" i="1"/>
  <c r="U630" i="1"/>
  <c r="U634" i="1"/>
  <c r="U638" i="1"/>
  <c r="U642" i="1"/>
  <c r="U646" i="1"/>
  <c r="U650" i="1"/>
  <c r="U654" i="1"/>
  <c r="U658" i="1"/>
  <c r="U662" i="1"/>
  <c r="U666" i="1"/>
  <c r="U670" i="1"/>
  <c r="U674" i="1"/>
  <c r="U678" i="1"/>
  <c r="U682" i="1"/>
  <c r="U686" i="1"/>
  <c r="U690" i="1"/>
  <c r="U694" i="1"/>
  <c r="U698" i="1"/>
  <c r="U702" i="1"/>
  <c r="U706" i="1"/>
  <c r="U710" i="1"/>
  <c r="U714" i="1"/>
  <c r="U718" i="1"/>
  <c r="U722" i="1"/>
  <c r="U726" i="1"/>
  <c r="U730" i="1"/>
  <c r="U734" i="1"/>
  <c r="U738" i="1"/>
  <c r="U742" i="1"/>
  <c r="U746" i="1"/>
  <c r="U750" i="1"/>
  <c r="U754" i="1"/>
  <c r="U758" i="1"/>
  <c r="U762" i="1"/>
  <c r="U766" i="1"/>
  <c r="U770" i="1"/>
  <c r="U774" i="1"/>
  <c r="U778" i="1"/>
  <c r="T946" i="1"/>
  <c r="U946" i="1"/>
  <c r="T954" i="1"/>
  <c r="U954" i="1"/>
  <c r="T962" i="1"/>
  <c r="U962" i="1"/>
  <c r="W987" i="1"/>
  <c r="T987" i="1"/>
  <c r="W993" i="1"/>
  <c r="T993" i="1"/>
  <c r="U996" i="1"/>
  <c r="V996" i="1"/>
  <c r="W999" i="1"/>
  <c r="T999" i="1"/>
  <c r="W1019" i="1"/>
  <c r="T1019" i="1"/>
  <c r="W1025" i="1"/>
  <c r="T1025" i="1"/>
  <c r="U1028" i="1"/>
  <c r="V1028" i="1"/>
  <c r="W1031" i="1"/>
  <c r="T1031" i="1"/>
  <c r="W1051" i="1"/>
  <c r="T1051" i="1"/>
  <c r="W1057" i="1"/>
  <c r="T1057" i="1"/>
  <c r="U1060" i="1"/>
  <c r="V1060" i="1"/>
  <c r="W1063" i="1"/>
  <c r="T1063" i="1"/>
  <c r="W1083" i="1"/>
  <c r="T1083" i="1"/>
  <c r="W1089" i="1"/>
  <c r="T1089" i="1"/>
  <c r="W1115" i="1"/>
  <c r="U1115" i="1"/>
  <c r="T1115" i="1"/>
  <c r="W1127" i="1"/>
  <c r="U1127" i="1"/>
  <c r="T1127" i="1"/>
  <c r="W1137" i="1"/>
  <c r="U1137" i="1"/>
  <c r="T1137" i="1"/>
  <c r="U1148" i="1"/>
  <c r="V1148" i="1"/>
  <c r="W1179" i="1"/>
  <c r="U1179" i="1"/>
  <c r="T1179" i="1"/>
  <c r="W1191" i="1"/>
  <c r="U1191" i="1"/>
  <c r="T1191" i="1"/>
  <c r="W1201" i="1"/>
  <c r="U1201" i="1"/>
  <c r="T1201" i="1"/>
  <c r="U1212" i="1"/>
  <c r="V1212" i="1"/>
  <c r="T784" i="1"/>
  <c r="T788" i="1"/>
  <c r="T792" i="1"/>
  <c r="T796" i="1"/>
  <c r="T800" i="1"/>
  <c r="T804" i="1"/>
  <c r="T808" i="1"/>
  <c r="T812" i="1"/>
  <c r="T816" i="1"/>
  <c r="T820" i="1"/>
  <c r="T824" i="1"/>
  <c r="T828" i="1"/>
  <c r="T832" i="1"/>
  <c r="T836" i="1"/>
  <c r="T840" i="1"/>
  <c r="T844" i="1"/>
  <c r="T848" i="1"/>
  <c r="T852" i="1"/>
  <c r="T856" i="1"/>
  <c r="T860" i="1"/>
  <c r="T864" i="1"/>
  <c r="T868" i="1"/>
  <c r="T872" i="1"/>
  <c r="T876" i="1"/>
  <c r="T880" i="1"/>
  <c r="T884" i="1"/>
  <c r="T888" i="1"/>
  <c r="T892" i="1"/>
  <c r="T896" i="1"/>
  <c r="T900" i="1"/>
  <c r="T904" i="1"/>
  <c r="T908" i="1"/>
  <c r="T912" i="1"/>
  <c r="T916" i="1"/>
  <c r="T920" i="1"/>
  <c r="T924" i="1"/>
  <c r="T928" i="1"/>
  <c r="T932" i="1"/>
  <c r="T936" i="1"/>
  <c r="T940" i="1"/>
  <c r="U940" i="1"/>
  <c r="T948" i="1"/>
  <c r="U948" i="1"/>
  <c r="T956" i="1"/>
  <c r="U956" i="1"/>
  <c r="T964" i="1"/>
  <c r="U964" i="1"/>
  <c r="W981" i="1"/>
  <c r="T981" i="1"/>
  <c r="U987" i="1"/>
  <c r="U993" i="1"/>
  <c r="W995" i="1"/>
  <c r="T995" i="1"/>
  <c r="U999" i="1"/>
  <c r="W1001" i="1"/>
  <c r="T1001" i="1"/>
  <c r="U1004" i="1"/>
  <c r="V1004" i="1"/>
  <c r="W1007" i="1"/>
  <c r="T1007" i="1"/>
  <c r="U1019" i="1"/>
  <c r="U1025" i="1"/>
  <c r="W1027" i="1"/>
  <c r="T1027" i="1"/>
  <c r="U1031" i="1"/>
  <c r="W1033" i="1"/>
  <c r="T1033" i="1"/>
  <c r="U1036" i="1"/>
  <c r="V1036" i="1"/>
  <c r="W1039" i="1"/>
  <c r="T1039" i="1"/>
  <c r="U1051" i="1"/>
  <c r="U1057" i="1"/>
  <c r="W1059" i="1"/>
  <c r="T1059" i="1"/>
  <c r="U1063" i="1"/>
  <c r="W1065" i="1"/>
  <c r="T1065" i="1"/>
  <c r="U1068" i="1"/>
  <c r="V1068" i="1"/>
  <c r="W1071" i="1"/>
  <c r="T1071" i="1"/>
  <c r="U1083" i="1"/>
  <c r="U1089" i="1"/>
  <c r="W1091" i="1"/>
  <c r="T1091" i="1"/>
  <c r="U1100" i="1"/>
  <c r="V1100" i="1"/>
  <c r="W1131" i="1"/>
  <c r="U1131" i="1"/>
  <c r="T1131" i="1"/>
  <c r="W1143" i="1"/>
  <c r="U1143" i="1"/>
  <c r="T1143" i="1"/>
  <c r="W1153" i="1"/>
  <c r="U1153" i="1"/>
  <c r="T1153" i="1"/>
  <c r="U1164" i="1"/>
  <c r="V1164" i="1"/>
  <c r="W1195" i="1"/>
  <c r="U1195" i="1"/>
  <c r="T1195" i="1"/>
  <c r="W1207" i="1"/>
  <c r="U1207" i="1"/>
  <c r="T1207" i="1"/>
  <c r="W1217" i="1"/>
  <c r="U1217" i="1"/>
  <c r="T1217" i="1"/>
  <c r="V1221" i="1"/>
  <c r="T1221" i="1"/>
  <c r="U1228" i="1"/>
  <c r="V1228" i="1"/>
  <c r="T1244" i="1"/>
  <c r="U1244" i="1"/>
  <c r="T1266" i="1"/>
  <c r="U1266" i="1"/>
  <c r="W969" i="1"/>
  <c r="V972" i="1"/>
  <c r="V986" i="1"/>
  <c r="U989" i="1"/>
  <c r="V992" i="1"/>
  <c r="V1002" i="1"/>
  <c r="V1008" i="1"/>
  <c r="W1013" i="1"/>
  <c r="V1018" i="1"/>
  <c r="V1024" i="1"/>
  <c r="W1029" i="1"/>
  <c r="V1034" i="1"/>
  <c r="V1040" i="1"/>
  <c r="W1045" i="1"/>
  <c r="V1050" i="1"/>
  <c r="V1056" i="1"/>
  <c r="W1061" i="1"/>
  <c r="V1066" i="1"/>
  <c r="V1072" i="1"/>
  <c r="W1077" i="1"/>
  <c r="V1082" i="1"/>
  <c r="V1088" i="1"/>
  <c r="V1098" i="1"/>
  <c r="U1101" i="1"/>
  <c r="V1104" i="1"/>
  <c r="V1114" i="1"/>
  <c r="V1120" i="1"/>
  <c r="V1130" i="1"/>
  <c r="U1133" i="1"/>
  <c r="V1136" i="1"/>
  <c r="W1141" i="1"/>
  <c r="V1146" i="1"/>
  <c r="U1149" i="1"/>
  <c r="V1152" i="1"/>
  <c r="W1157" i="1"/>
  <c r="V1162" i="1"/>
  <c r="U1165" i="1"/>
  <c r="V1168" i="1"/>
  <c r="V1178" i="1"/>
  <c r="U1181" i="1"/>
  <c r="V1184" i="1"/>
  <c r="V1194" i="1"/>
  <c r="U1197" i="1"/>
  <c r="V1200" i="1"/>
  <c r="W1205" i="1"/>
  <c r="V1209" i="1"/>
  <c r="V1210" i="1"/>
  <c r="U1213" i="1"/>
  <c r="V1215" i="1"/>
  <c r="V1216" i="1"/>
  <c r="V1219" i="1"/>
  <c r="V1225" i="1"/>
  <c r="V1226" i="1"/>
  <c r="U1229" i="1"/>
  <c r="W1231" i="1"/>
  <c r="T1246" i="1"/>
  <c r="T1256" i="1"/>
  <c r="T1262" i="1"/>
  <c r="V980" i="1"/>
  <c r="V984" i="1"/>
  <c r="V994" i="1"/>
  <c r="U997" i="1"/>
  <c r="V1000" i="1"/>
  <c r="W1005" i="1"/>
  <c r="V1010" i="1"/>
  <c r="U1013" i="1"/>
  <c r="V1016" i="1"/>
  <c r="W1021" i="1"/>
  <c r="V1026" i="1"/>
  <c r="U1029" i="1"/>
  <c r="V1032" i="1"/>
  <c r="W1037" i="1"/>
  <c r="V1042" i="1"/>
  <c r="U1045" i="1"/>
  <c r="V1048" i="1"/>
  <c r="W1053" i="1"/>
  <c r="V1058" i="1"/>
  <c r="U1061" i="1"/>
  <c r="V1064" i="1"/>
  <c r="W1069" i="1"/>
  <c r="V1074" i="1"/>
  <c r="U1077" i="1"/>
  <c r="V1080" i="1"/>
  <c r="W1085" i="1"/>
  <c r="V1090" i="1"/>
  <c r="V1092" i="1"/>
  <c r="U1093" i="1"/>
  <c r="V1096" i="1"/>
  <c r="T1097" i="1"/>
  <c r="T1103" i="1"/>
  <c r="V1106" i="1"/>
  <c r="T1107" i="1"/>
  <c r="V1108" i="1"/>
  <c r="U1109" i="1"/>
  <c r="V1112" i="1"/>
  <c r="T1113" i="1"/>
  <c r="W1117" i="1"/>
  <c r="T1119" i="1"/>
  <c r="V1122" i="1"/>
  <c r="T1123" i="1"/>
  <c r="V1124" i="1"/>
  <c r="U1125" i="1"/>
  <c r="V1128" i="1"/>
  <c r="T1129" i="1"/>
  <c r="T1135" i="1"/>
  <c r="V1138" i="1"/>
  <c r="T1139" i="1"/>
  <c r="V1140" i="1"/>
  <c r="U1141" i="1"/>
  <c r="V1144" i="1"/>
  <c r="T1145" i="1"/>
  <c r="T1151" i="1"/>
  <c r="V1154" i="1"/>
  <c r="T1155" i="1"/>
  <c r="V1156" i="1"/>
  <c r="U1157" i="1"/>
  <c r="V1160" i="1"/>
  <c r="T1161" i="1"/>
  <c r="T1167" i="1"/>
  <c r="V1170" i="1"/>
  <c r="T1171" i="1"/>
  <c r="V1172" i="1"/>
  <c r="U1173" i="1"/>
  <c r="V1176" i="1"/>
  <c r="T1177" i="1"/>
  <c r="T1183" i="1"/>
  <c r="V1186" i="1"/>
  <c r="T1187" i="1"/>
  <c r="V1188" i="1"/>
  <c r="U1189" i="1"/>
  <c r="V1192" i="1"/>
  <c r="T1193" i="1"/>
  <c r="T1199" i="1"/>
  <c r="V1202" i="1"/>
  <c r="T1203" i="1"/>
  <c r="V1204" i="1"/>
  <c r="U1205" i="1"/>
  <c r="V1208" i="1"/>
  <c r="T1209" i="1"/>
  <c r="V1211" i="1"/>
  <c r="T1215" i="1"/>
  <c r="V1217" i="1"/>
  <c r="V1218" i="1"/>
  <c r="T1219" i="1"/>
  <c r="V1220" i="1"/>
  <c r="U1221" i="1"/>
  <c r="V1223" i="1"/>
  <c r="V1224" i="1"/>
  <c r="T1225" i="1"/>
  <c r="V1227" i="1"/>
  <c r="T1248" i="1"/>
  <c r="U1252" i="1"/>
  <c r="T1254" i="1"/>
  <c r="U1258" i="1"/>
  <c r="T1264" i="1"/>
  <c r="U1268" i="1"/>
  <c r="T1270" i="1"/>
  <c r="V163" i="1"/>
  <c r="V165" i="1"/>
  <c r="V167" i="1"/>
  <c r="V193" i="1"/>
  <c r="V195" i="1"/>
  <c r="V197" i="1"/>
  <c r="V199" i="1"/>
  <c r="V201" i="1"/>
  <c r="V203" i="1"/>
  <c r="V205" i="1"/>
  <c r="V207" i="1"/>
  <c r="V209" i="1"/>
  <c r="V217" i="1"/>
  <c r="V219" i="1"/>
  <c r="V223" i="1"/>
  <c r="V229" i="1"/>
  <c r="V231" i="1"/>
  <c r="V233" i="1"/>
  <c r="V235" i="1"/>
  <c r="V237" i="1"/>
  <c r="V239" i="1"/>
  <c r="V241" i="1"/>
  <c r="V243" i="1"/>
  <c r="V245" i="1"/>
  <c r="V247" i="1"/>
  <c r="V249" i="1"/>
  <c r="V251" i="1"/>
  <c r="V253" i="1"/>
  <c r="V261" i="1"/>
  <c r="V275" i="1"/>
  <c r="V289" i="1"/>
  <c r="V291" i="1"/>
  <c r="V293" i="1"/>
  <c r="V295" i="1"/>
  <c r="V297" i="1"/>
  <c r="V299" i="1"/>
  <c r="V301" i="1"/>
  <c r="V313" i="1"/>
  <c r="W325" i="1"/>
  <c r="V333" i="1"/>
  <c r="U333" i="1"/>
  <c r="W10" i="1"/>
  <c r="T11" i="1"/>
  <c r="W15" i="1"/>
  <c r="W19" i="1"/>
  <c r="W23" i="1"/>
  <c r="W27" i="1"/>
  <c r="W29" i="1"/>
  <c r="W31" i="1"/>
  <c r="W35" i="1"/>
  <c r="W37" i="1"/>
  <c r="W39" i="1"/>
  <c r="W41" i="1"/>
  <c r="W43" i="1"/>
  <c r="W45" i="1"/>
  <c r="W47" i="1"/>
  <c r="W49" i="1"/>
  <c r="W51" i="1"/>
  <c r="W53" i="1"/>
  <c r="W55" i="1"/>
  <c r="W57" i="1"/>
  <c r="W59" i="1"/>
  <c r="W61" i="1"/>
  <c r="W63" i="1"/>
  <c r="W65" i="1"/>
  <c r="W67" i="1"/>
  <c r="W69" i="1"/>
  <c r="W71" i="1"/>
  <c r="W73" i="1"/>
  <c r="W75" i="1"/>
  <c r="W77" i="1"/>
  <c r="W79" i="1"/>
  <c r="W81" i="1"/>
  <c r="W83" i="1"/>
  <c r="W85" i="1"/>
  <c r="W87" i="1"/>
  <c r="W89" i="1"/>
  <c r="W91" i="1"/>
  <c r="W93" i="1"/>
  <c r="W95" i="1"/>
  <c r="W97" i="1"/>
  <c r="W99" i="1"/>
  <c r="W101" i="1"/>
  <c r="W103" i="1"/>
  <c r="W105" i="1"/>
  <c r="W107" i="1"/>
  <c r="W109" i="1"/>
  <c r="W111" i="1"/>
  <c r="W113" i="1"/>
  <c r="W115" i="1"/>
  <c r="W117" i="1"/>
  <c r="W119" i="1"/>
  <c r="W121" i="1"/>
  <c r="W123" i="1"/>
  <c r="W125" i="1"/>
  <c r="W127" i="1"/>
  <c r="W129" i="1"/>
  <c r="W131" i="1"/>
  <c r="W133" i="1"/>
  <c r="W135" i="1"/>
  <c r="W137" i="1"/>
  <c r="W139" i="1"/>
  <c r="W141" i="1"/>
  <c r="W143" i="1"/>
  <c r="W145" i="1"/>
  <c r="W147" i="1"/>
  <c r="W149" i="1"/>
  <c r="W151" i="1"/>
  <c r="W153" i="1"/>
  <c r="W155" i="1"/>
  <c r="U156" i="1"/>
  <c r="U158" i="1"/>
  <c r="U160" i="1"/>
  <c r="U162" i="1"/>
  <c r="U164" i="1"/>
  <c r="U166" i="1"/>
  <c r="U168" i="1"/>
  <c r="U170" i="1"/>
  <c r="U172" i="1"/>
  <c r="U174" i="1"/>
  <c r="U176" i="1"/>
  <c r="U178" i="1"/>
  <c r="U180" i="1"/>
  <c r="U182" i="1"/>
  <c r="U184" i="1"/>
  <c r="U186" i="1"/>
  <c r="U188" i="1"/>
  <c r="U190" i="1"/>
  <c r="U192" i="1"/>
  <c r="U194" i="1"/>
  <c r="U196" i="1"/>
  <c r="U198" i="1"/>
  <c r="U200" i="1"/>
  <c r="U202" i="1"/>
  <c r="U204" i="1"/>
  <c r="U206" i="1"/>
  <c r="U208" i="1"/>
  <c r="U210" i="1"/>
  <c r="U212" i="1"/>
  <c r="U214" i="1"/>
  <c r="U216" i="1"/>
  <c r="U218" i="1"/>
  <c r="U220" i="1"/>
  <c r="U222" i="1"/>
  <c r="U224" i="1"/>
  <c r="U226" i="1"/>
  <c r="U228" i="1"/>
  <c r="U230" i="1"/>
  <c r="U232" i="1"/>
  <c r="U234" i="1"/>
  <c r="U236" i="1"/>
  <c r="U238" i="1"/>
  <c r="U240" i="1"/>
  <c r="U242" i="1"/>
  <c r="U244" i="1"/>
  <c r="U246" i="1"/>
  <c r="U248" i="1"/>
  <c r="U250" i="1"/>
  <c r="U252" i="1"/>
  <c r="U254" i="1"/>
  <c r="U256" i="1"/>
  <c r="U258" i="1"/>
  <c r="U260" i="1"/>
  <c r="U262" i="1"/>
  <c r="U264" i="1"/>
  <c r="U266" i="1"/>
  <c r="U268" i="1"/>
  <c r="U270" i="1"/>
  <c r="U272" i="1"/>
  <c r="U274" i="1"/>
  <c r="U276" i="1"/>
  <c r="U278" i="1"/>
  <c r="U280" i="1"/>
  <c r="U282" i="1"/>
  <c r="U284" i="1"/>
  <c r="U286" i="1"/>
  <c r="U288" i="1"/>
  <c r="U290" i="1"/>
  <c r="U292" i="1"/>
  <c r="U294" i="1"/>
  <c r="U296" i="1"/>
  <c r="U298" i="1"/>
  <c r="U300" i="1"/>
  <c r="U302" i="1"/>
  <c r="U304" i="1"/>
  <c r="U306" i="1"/>
  <c r="U308" i="1"/>
  <c r="U310" i="1"/>
  <c r="U312" i="1"/>
  <c r="U314" i="1"/>
  <c r="U316" i="1"/>
  <c r="U318" i="1"/>
  <c r="U320" i="1"/>
  <c r="V323" i="1"/>
  <c r="T324" i="1"/>
  <c r="V327" i="1"/>
  <c r="T328" i="1"/>
  <c r="V331" i="1"/>
  <c r="T333" i="1"/>
  <c r="T335" i="1"/>
  <c r="V339" i="1"/>
  <c r="U339" i="1"/>
  <c r="T339" i="1"/>
  <c r="V343" i="1"/>
  <c r="U343" i="1"/>
  <c r="T343" i="1"/>
  <c r="V347" i="1"/>
  <c r="U347" i="1"/>
  <c r="T347" i="1"/>
  <c r="V351" i="1"/>
  <c r="U351" i="1"/>
  <c r="T351" i="1"/>
  <c r="V355" i="1"/>
  <c r="U355" i="1"/>
  <c r="T355" i="1"/>
  <c r="V359" i="1"/>
  <c r="U359" i="1"/>
  <c r="T359" i="1"/>
  <c r="V363" i="1"/>
  <c r="U363" i="1"/>
  <c r="T363" i="1"/>
  <c r="V367" i="1"/>
  <c r="U367" i="1"/>
  <c r="T367" i="1"/>
  <c r="V371" i="1"/>
  <c r="U371" i="1"/>
  <c r="T371" i="1"/>
  <c r="V375" i="1"/>
  <c r="U375" i="1"/>
  <c r="T375" i="1"/>
  <c r="V379" i="1"/>
  <c r="U379" i="1"/>
  <c r="T379" i="1"/>
  <c r="V383" i="1"/>
  <c r="U383" i="1"/>
  <c r="T383" i="1"/>
  <c r="V387" i="1"/>
  <c r="U387" i="1"/>
  <c r="T387" i="1"/>
  <c r="V391" i="1"/>
  <c r="U391" i="1"/>
  <c r="T391" i="1"/>
  <c r="V395" i="1"/>
  <c r="U395" i="1"/>
  <c r="T395" i="1"/>
  <c r="V399" i="1"/>
  <c r="U399" i="1"/>
  <c r="T399" i="1"/>
  <c r="V403" i="1"/>
  <c r="U403" i="1"/>
  <c r="T403" i="1"/>
  <c r="V407" i="1"/>
  <c r="U407" i="1"/>
  <c r="T407" i="1"/>
  <c r="V411" i="1"/>
  <c r="U411" i="1"/>
  <c r="T411" i="1"/>
  <c r="V415" i="1"/>
  <c r="U415" i="1"/>
  <c r="T415" i="1"/>
  <c r="V419" i="1"/>
  <c r="U419" i="1"/>
  <c r="T419" i="1"/>
  <c r="V423" i="1"/>
  <c r="U423" i="1"/>
  <c r="T423" i="1"/>
  <c r="V427" i="1"/>
  <c r="U427" i="1"/>
  <c r="T427" i="1"/>
  <c r="V431" i="1"/>
  <c r="U431" i="1"/>
  <c r="T431" i="1"/>
  <c r="V435" i="1"/>
  <c r="U435" i="1"/>
  <c r="T435" i="1"/>
  <c r="V439" i="1"/>
  <c r="U439" i="1"/>
  <c r="T439" i="1"/>
  <c r="V443" i="1"/>
  <c r="U443" i="1"/>
  <c r="T443" i="1"/>
  <c r="V447" i="1"/>
  <c r="U447" i="1"/>
  <c r="T447" i="1"/>
  <c r="V451" i="1"/>
  <c r="U451" i="1"/>
  <c r="T451" i="1"/>
  <c r="V455" i="1"/>
  <c r="U455" i="1"/>
  <c r="T455" i="1"/>
  <c r="V459" i="1"/>
  <c r="U459" i="1"/>
  <c r="T459" i="1"/>
  <c r="V463" i="1"/>
  <c r="U463" i="1"/>
  <c r="T463" i="1"/>
  <c r="V467" i="1"/>
  <c r="U467" i="1"/>
  <c r="T467" i="1"/>
  <c r="V471" i="1"/>
  <c r="U471" i="1"/>
  <c r="T471" i="1"/>
  <c r="V475" i="1"/>
  <c r="U475" i="1"/>
  <c r="T475" i="1"/>
  <c r="V479" i="1"/>
  <c r="U479" i="1"/>
  <c r="T479" i="1"/>
  <c r="V483" i="1"/>
  <c r="U483" i="1"/>
  <c r="T483" i="1"/>
  <c r="V487" i="1"/>
  <c r="U487" i="1"/>
  <c r="T487" i="1"/>
  <c r="V491" i="1"/>
  <c r="U491" i="1"/>
  <c r="T491" i="1"/>
  <c r="V495" i="1"/>
  <c r="U495" i="1"/>
  <c r="T495" i="1"/>
  <c r="V499" i="1"/>
  <c r="U499" i="1"/>
  <c r="T499" i="1"/>
  <c r="V503" i="1"/>
  <c r="U503" i="1"/>
  <c r="T503" i="1"/>
  <c r="V507" i="1"/>
  <c r="U507" i="1"/>
  <c r="T507" i="1"/>
  <c r="V511" i="1"/>
  <c r="U511" i="1"/>
  <c r="T511" i="1"/>
  <c r="V515" i="1"/>
  <c r="U515" i="1"/>
  <c r="T515" i="1"/>
  <c r="V519" i="1"/>
  <c r="U519" i="1"/>
  <c r="T519" i="1"/>
  <c r="V523" i="1"/>
  <c r="U523" i="1"/>
  <c r="T523" i="1"/>
  <c r="V527" i="1"/>
  <c r="U527" i="1"/>
  <c r="T527" i="1"/>
  <c r="V531" i="1"/>
  <c r="U531" i="1"/>
  <c r="T531" i="1"/>
  <c r="V535" i="1"/>
  <c r="U535" i="1"/>
  <c r="T535" i="1"/>
  <c r="V539" i="1"/>
  <c r="U539" i="1"/>
  <c r="T539" i="1"/>
  <c r="V543" i="1"/>
  <c r="U543" i="1"/>
  <c r="T543" i="1"/>
  <c r="V547" i="1"/>
  <c r="U547" i="1"/>
  <c r="T547" i="1"/>
  <c r="V551" i="1"/>
  <c r="U551" i="1"/>
  <c r="T551" i="1"/>
  <c r="V555" i="1"/>
  <c r="U555" i="1"/>
  <c r="T555" i="1"/>
  <c r="V559" i="1"/>
  <c r="U559" i="1"/>
  <c r="T559" i="1"/>
  <c r="V563" i="1"/>
  <c r="U563" i="1"/>
  <c r="T563" i="1"/>
  <c r="V567" i="1"/>
  <c r="U567" i="1"/>
  <c r="T567" i="1"/>
  <c r="V571" i="1"/>
  <c r="U571" i="1"/>
  <c r="T571" i="1"/>
  <c r="V575" i="1"/>
  <c r="U575" i="1"/>
  <c r="T575" i="1"/>
  <c r="V579" i="1"/>
  <c r="U579" i="1"/>
  <c r="T579" i="1"/>
  <c r="V583" i="1"/>
  <c r="U583" i="1"/>
  <c r="T583" i="1"/>
  <c r="V587" i="1"/>
  <c r="U587" i="1"/>
  <c r="T587" i="1"/>
  <c r="V591" i="1"/>
  <c r="U591" i="1"/>
  <c r="T591" i="1"/>
  <c r="V595" i="1"/>
  <c r="U595" i="1"/>
  <c r="T595" i="1"/>
  <c r="V599" i="1"/>
  <c r="U599" i="1"/>
  <c r="T599" i="1"/>
  <c r="V603" i="1"/>
  <c r="U603" i="1"/>
  <c r="T603" i="1"/>
  <c r="V607" i="1"/>
  <c r="U607" i="1"/>
  <c r="T607" i="1"/>
  <c r="V611" i="1"/>
  <c r="U611" i="1"/>
  <c r="T611" i="1"/>
  <c r="V615" i="1"/>
  <c r="U615" i="1"/>
  <c r="T615" i="1"/>
  <c r="V619" i="1"/>
  <c r="U619" i="1"/>
  <c r="T619" i="1"/>
  <c r="V623" i="1"/>
  <c r="U623" i="1"/>
  <c r="T623" i="1"/>
  <c r="V627" i="1"/>
  <c r="U627" i="1"/>
  <c r="T627" i="1"/>
  <c r="V631" i="1"/>
  <c r="U631" i="1"/>
  <c r="T631" i="1"/>
  <c r="V635" i="1"/>
  <c r="U635" i="1"/>
  <c r="T635" i="1"/>
  <c r="V639" i="1"/>
  <c r="U639" i="1"/>
  <c r="T639" i="1"/>
  <c r="V643" i="1"/>
  <c r="U643" i="1"/>
  <c r="T643" i="1"/>
  <c r="V647" i="1"/>
  <c r="U647" i="1"/>
  <c r="T647" i="1"/>
  <c r="V651" i="1"/>
  <c r="U651" i="1"/>
  <c r="T651" i="1"/>
  <c r="V655" i="1"/>
  <c r="U655" i="1"/>
  <c r="T655" i="1"/>
  <c r="V659" i="1"/>
  <c r="U659" i="1"/>
  <c r="T659" i="1"/>
  <c r="V663" i="1"/>
  <c r="U663" i="1"/>
  <c r="T663" i="1"/>
  <c r="V667" i="1"/>
  <c r="U667" i="1"/>
  <c r="T667" i="1"/>
  <c r="V671" i="1"/>
  <c r="U671" i="1"/>
  <c r="T671" i="1"/>
  <c r="V675" i="1"/>
  <c r="U675" i="1"/>
  <c r="T675" i="1"/>
  <c r="V679" i="1"/>
  <c r="U679" i="1"/>
  <c r="T679" i="1"/>
  <c r="V683" i="1"/>
  <c r="U683" i="1"/>
  <c r="T683" i="1"/>
  <c r="V687" i="1"/>
  <c r="U687" i="1"/>
  <c r="T687" i="1"/>
  <c r="V691" i="1"/>
  <c r="U691" i="1"/>
  <c r="T691" i="1"/>
  <c r="V695" i="1"/>
  <c r="U695" i="1"/>
  <c r="T695" i="1"/>
  <c r="V699" i="1"/>
  <c r="U699" i="1"/>
  <c r="T699" i="1"/>
  <c r="V703" i="1"/>
  <c r="U703" i="1"/>
  <c r="T703" i="1"/>
  <c r="V707" i="1"/>
  <c r="U707" i="1"/>
  <c r="T707" i="1"/>
  <c r="V711" i="1"/>
  <c r="U711" i="1"/>
  <c r="T711" i="1"/>
  <c r="V715" i="1"/>
  <c r="U715" i="1"/>
  <c r="T715" i="1"/>
  <c r="V719" i="1"/>
  <c r="U719" i="1"/>
  <c r="T719" i="1"/>
  <c r="V723" i="1"/>
  <c r="U723" i="1"/>
  <c r="T723" i="1"/>
  <c r="V727" i="1"/>
  <c r="U727" i="1"/>
  <c r="T727" i="1"/>
  <c r="V731" i="1"/>
  <c r="U731" i="1"/>
  <c r="T731" i="1"/>
  <c r="V735" i="1"/>
  <c r="U735" i="1"/>
  <c r="T735" i="1"/>
  <c r="V739" i="1"/>
  <c r="U739" i="1"/>
  <c r="T739" i="1"/>
  <c r="V743" i="1"/>
  <c r="U743" i="1"/>
  <c r="T743" i="1"/>
  <c r="V747" i="1"/>
  <c r="U747" i="1"/>
  <c r="T747" i="1"/>
  <c r="V751" i="1"/>
  <c r="U751" i="1"/>
  <c r="T751" i="1"/>
  <c r="V755" i="1"/>
  <c r="U755" i="1"/>
  <c r="T755" i="1"/>
  <c r="V759" i="1"/>
  <c r="U759" i="1"/>
  <c r="T759" i="1"/>
  <c r="V763" i="1"/>
  <c r="U763" i="1"/>
  <c r="T763" i="1"/>
  <c r="V767" i="1"/>
  <c r="U767" i="1"/>
  <c r="T767" i="1"/>
  <c r="V771" i="1"/>
  <c r="U771" i="1"/>
  <c r="T771" i="1"/>
  <c r="V775" i="1"/>
  <c r="U775" i="1"/>
  <c r="T775" i="1"/>
  <c r="V779" i="1"/>
  <c r="U779" i="1"/>
  <c r="T779" i="1"/>
  <c r="V783" i="1"/>
  <c r="U783" i="1"/>
  <c r="T783" i="1"/>
  <c r="V787" i="1"/>
  <c r="U787" i="1"/>
  <c r="T787" i="1"/>
  <c r="V791" i="1"/>
  <c r="U791" i="1"/>
  <c r="T791" i="1"/>
  <c r="V795" i="1"/>
  <c r="U795" i="1"/>
  <c r="T795" i="1"/>
  <c r="V799" i="1"/>
  <c r="U799" i="1"/>
  <c r="T799" i="1"/>
  <c r="V803" i="1"/>
  <c r="U803" i="1"/>
  <c r="T803" i="1"/>
  <c r="V807" i="1"/>
  <c r="U807" i="1"/>
  <c r="T807" i="1"/>
  <c r="V811" i="1"/>
  <c r="U811" i="1"/>
  <c r="T811" i="1"/>
  <c r="V815" i="1"/>
  <c r="U815" i="1"/>
  <c r="T815" i="1"/>
  <c r="V819" i="1"/>
  <c r="U819" i="1"/>
  <c r="T819" i="1"/>
  <c r="V823" i="1"/>
  <c r="U823" i="1"/>
  <c r="T823" i="1"/>
  <c r="V827" i="1"/>
  <c r="U827" i="1"/>
  <c r="T827" i="1"/>
  <c r="V831" i="1"/>
  <c r="U831" i="1"/>
  <c r="T831" i="1"/>
  <c r="V835" i="1"/>
  <c r="U835" i="1"/>
  <c r="T835" i="1"/>
  <c r="V839" i="1"/>
  <c r="U839" i="1"/>
  <c r="T839" i="1"/>
  <c r="V843" i="1"/>
  <c r="U843" i="1"/>
  <c r="T843" i="1"/>
  <c r="V847" i="1"/>
  <c r="U847" i="1"/>
  <c r="T847" i="1"/>
  <c r="V851" i="1"/>
  <c r="U851" i="1"/>
  <c r="T851" i="1"/>
  <c r="V855" i="1"/>
  <c r="U855" i="1"/>
  <c r="T855" i="1"/>
  <c r="V859" i="1"/>
  <c r="U859" i="1"/>
  <c r="T859" i="1"/>
  <c r="V863" i="1"/>
  <c r="U863" i="1"/>
  <c r="T863" i="1"/>
  <c r="V867" i="1"/>
  <c r="U867" i="1"/>
  <c r="T867" i="1"/>
  <c r="V871" i="1"/>
  <c r="U871" i="1"/>
  <c r="T871" i="1"/>
  <c r="V875" i="1"/>
  <c r="U875" i="1"/>
  <c r="T875" i="1"/>
  <c r="V879" i="1"/>
  <c r="U879" i="1"/>
  <c r="T879" i="1"/>
  <c r="V883" i="1"/>
  <c r="U883" i="1"/>
  <c r="T883" i="1"/>
  <c r="V887" i="1"/>
  <c r="U887" i="1"/>
  <c r="T887" i="1"/>
  <c r="V891" i="1"/>
  <c r="U891" i="1"/>
  <c r="T891" i="1"/>
  <c r="V895" i="1"/>
  <c r="U895" i="1"/>
  <c r="T895" i="1"/>
  <c r="V899" i="1"/>
  <c r="U899" i="1"/>
  <c r="T899" i="1"/>
  <c r="V903" i="1"/>
  <c r="U903" i="1"/>
  <c r="T903" i="1"/>
  <c r="V907" i="1"/>
  <c r="U907" i="1"/>
  <c r="T907" i="1"/>
  <c r="V911" i="1"/>
  <c r="U911" i="1"/>
  <c r="T911" i="1"/>
  <c r="V915" i="1"/>
  <c r="U915" i="1"/>
  <c r="T915" i="1"/>
  <c r="V919" i="1"/>
  <c r="U919" i="1"/>
  <c r="T919" i="1"/>
  <c r="V923" i="1"/>
  <c r="U923" i="1"/>
  <c r="T923" i="1"/>
  <c r="V927" i="1"/>
  <c r="U927" i="1"/>
  <c r="T927" i="1"/>
  <c r="V931" i="1"/>
  <c r="U931" i="1"/>
  <c r="T931" i="1"/>
  <c r="V935" i="1"/>
  <c r="U935" i="1"/>
  <c r="T935" i="1"/>
  <c r="V939" i="1"/>
  <c r="U939" i="1"/>
  <c r="T939" i="1"/>
  <c r="V943" i="1"/>
  <c r="U943" i="1"/>
  <c r="T943" i="1"/>
  <c r="V947" i="1"/>
  <c r="U947" i="1"/>
  <c r="T947" i="1"/>
  <c r="V951" i="1"/>
  <c r="U951" i="1"/>
  <c r="T951" i="1"/>
  <c r="V955" i="1"/>
  <c r="U955" i="1"/>
  <c r="T955" i="1"/>
  <c r="V959" i="1"/>
  <c r="U959" i="1"/>
  <c r="T959" i="1"/>
  <c r="V963" i="1"/>
  <c r="U963" i="1"/>
  <c r="T963" i="1"/>
  <c r="W967" i="1"/>
  <c r="V967" i="1"/>
  <c r="U967" i="1"/>
  <c r="T967" i="1"/>
  <c r="V157" i="1"/>
  <c r="V159" i="1"/>
  <c r="V191" i="1"/>
  <c r="V227" i="1"/>
  <c r="V255" i="1"/>
  <c r="V9" i="1"/>
  <c r="W13" i="1"/>
  <c r="W17" i="1"/>
  <c r="W21" i="1"/>
  <c r="W25" i="1"/>
  <c r="V8" i="1"/>
  <c r="T10" i="1"/>
  <c r="U11" i="1"/>
  <c r="T13" i="1"/>
  <c r="T15" i="1"/>
  <c r="T17" i="1"/>
  <c r="T19" i="1"/>
  <c r="T21" i="1"/>
  <c r="T23" i="1"/>
  <c r="T25" i="1"/>
  <c r="T27" i="1"/>
  <c r="T29" i="1"/>
  <c r="T31" i="1"/>
  <c r="T33" i="1"/>
  <c r="T35" i="1"/>
  <c r="T37" i="1"/>
  <c r="T39" i="1"/>
  <c r="T41" i="1"/>
  <c r="T43" i="1"/>
  <c r="T45" i="1"/>
  <c r="T47" i="1"/>
  <c r="T49" i="1"/>
  <c r="T51" i="1"/>
  <c r="T53" i="1"/>
  <c r="T55" i="1"/>
  <c r="T57" i="1"/>
  <c r="T59" i="1"/>
  <c r="T61" i="1"/>
  <c r="T63" i="1"/>
  <c r="T65" i="1"/>
  <c r="T67" i="1"/>
  <c r="T69" i="1"/>
  <c r="T71" i="1"/>
  <c r="T73" i="1"/>
  <c r="T75" i="1"/>
  <c r="T77" i="1"/>
  <c r="T79" i="1"/>
  <c r="T81" i="1"/>
  <c r="T83" i="1"/>
  <c r="T85" i="1"/>
  <c r="T87" i="1"/>
  <c r="T89" i="1"/>
  <c r="T91" i="1"/>
  <c r="T93" i="1"/>
  <c r="T95" i="1"/>
  <c r="T97" i="1"/>
  <c r="T99" i="1"/>
  <c r="T101" i="1"/>
  <c r="T103" i="1"/>
  <c r="T105" i="1"/>
  <c r="T107" i="1"/>
  <c r="T109" i="1"/>
  <c r="T111" i="1"/>
  <c r="T113" i="1"/>
  <c r="T115" i="1"/>
  <c r="T117" i="1"/>
  <c r="T119" i="1"/>
  <c r="T121" i="1"/>
  <c r="T123" i="1"/>
  <c r="T125" i="1"/>
  <c r="T127" i="1"/>
  <c r="T129" i="1"/>
  <c r="T131" i="1"/>
  <c r="T133" i="1"/>
  <c r="T135" i="1"/>
  <c r="T137" i="1"/>
  <c r="T139" i="1"/>
  <c r="T141" i="1"/>
  <c r="T143" i="1"/>
  <c r="T145" i="1"/>
  <c r="T147" i="1"/>
  <c r="T149" i="1"/>
  <c r="T151" i="1"/>
  <c r="T153" i="1"/>
  <c r="T155" i="1"/>
  <c r="T169" i="1"/>
  <c r="T171" i="1"/>
  <c r="T173" i="1"/>
  <c r="T175" i="1"/>
  <c r="T177" i="1"/>
  <c r="T179" i="1"/>
  <c r="T181" i="1"/>
  <c r="T183" i="1"/>
  <c r="T185" i="1"/>
  <c r="T187" i="1"/>
  <c r="T189" i="1"/>
  <c r="T211" i="1"/>
  <c r="T213" i="1"/>
  <c r="T215" i="1"/>
  <c r="T221" i="1"/>
  <c r="T225" i="1"/>
  <c r="T257" i="1"/>
  <c r="T259" i="1"/>
  <c r="V262" i="1"/>
  <c r="T263" i="1"/>
  <c r="V264" i="1"/>
  <c r="V266" i="1"/>
  <c r="T267" i="1"/>
  <c r="V268" i="1"/>
  <c r="T269" i="1"/>
  <c r="V270" i="1"/>
  <c r="T271" i="1"/>
  <c r="V272" i="1"/>
  <c r="T273" i="1"/>
  <c r="V274" i="1"/>
  <c r="V276" i="1"/>
  <c r="T277" i="1"/>
  <c r="V278" i="1"/>
  <c r="T279" i="1"/>
  <c r="V280" i="1"/>
  <c r="T281" i="1"/>
  <c r="V282" i="1"/>
  <c r="T283" i="1"/>
  <c r="V284" i="1"/>
  <c r="T285" i="1"/>
  <c r="V286" i="1"/>
  <c r="T287" i="1"/>
  <c r="V288" i="1"/>
  <c r="V290" i="1"/>
  <c r="V292" i="1"/>
  <c r="V294" i="1"/>
  <c r="V296" i="1"/>
  <c r="V298" i="1"/>
  <c r="V300" i="1"/>
  <c r="V302" i="1"/>
  <c r="V304" i="1"/>
  <c r="T305" i="1"/>
  <c r="V306" i="1"/>
  <c r="T307" i="1"/>
  <c r="V308" i="1"/>
  <c r="T309" i="1"/>
  <c r="V310" i="1"/>
  <c r="V312" i="1"/>
  <c r="V314" i="1"/>
  <c r="T315" i="1"/>
  <c r="V316" i="1"/>
  <c r="T317" i="1"/>
  <c r="V318" i="1"/>
  <c r="V320" i="1"/>
  <c r="T321" i="1"/>
  <c r="W323" i="1"/>
  <c r="T325" i="1"/>
  <c r="W327" i="1"/>
  <c r="T329" i="1"/>
  <c r="W331" i="1"/>
  <c r="V332" i="1"/>
  <c r="W333" i="1"/>
  <c r="V334" i="1"/>
  <c r="W11" i="1"/>
  <c r="W329" i="1"/>
  <c r="V335" i="1"/>
  <c r="U335" i="1"/>
  <c r="T336" i="1"/>
  <c r="V336" i="1"/>
  <c r="V337" i="1"/>
  <c r="U337" i="1"/>
  <c r="T337" i="1"/>
  <c r="V341" i="1"/>
  <c r="U341" i="1"/>
  <c r="T341" i="1"/>
  <c r="V345" i="1"/>
  <c r="U345" i="1"/>
  <c r="T345" i="1"/>
  <c r="V349" i="1"/>
  <c r="U349" i="1"/>
  <c r="T349" i="1"/>
  <c r="V353" i="1"/>
  <c r="U353" i="1"/>
  <c r="T353" i="1"/>
  <c r="V357" i="1"/>
  <c r="U357" i="1"/>
  <c r="T357" i="1"/>
  <c r="V361" i="1"/>
  <c r="U361" i="1"/>
  <c r="T361" i="1"/>
  <c r="V365" i="1"/>
  <c r="U365" i="1"/>
  <c r="T365" i="1"/>
  <c r="V369" i="1"/>
  <c r="U369" i="1"/>
  <c r="T369" i="1"/>
  <c r="V373" i="1"/>
  <c r="U373" i="1"/>
  <c r="T373" i="1"/>
  <c r="V377" i="1"/>
  <c r="U377" i="1"/>
  <c r="T377" i="1"/>
  <c r="V381" i="1"/>
  <c r="U381" i="1"/>
  <c r="T381" i="1"/>
  <c r="V385" i="1"/>
  <c r="U385" i="1"/>
  <c r="T385" i="1"/>
  <c r="V389" i="1"/>
  <c r="U389" i="1"/>
  <c r="T389" i="1"/>
  <c r="V393" i="1"/>
  <c r="U393" i="1"/>
  <c r="T393" i="1"/>
  <c r="V397" i="1"/>
  <c r="U397" i="1"/>
  <c r="T397" i="1"/>
  <c r="V401" i="1"/>
  <c r="U401" i="1"/>
  <c r="T401" i="1"/>
  <c r="V405" i="1"/>
  <c r="U405" i="1"/>
  <c r="T405" i="1"/>
  <c r="V409" i="1"/>
  <c r="U409" i="1"/>
  <c r="T409" i="1"/>
  <c r="V413" i="1"/>
  <c r="U413" i="1"/>
  <c r="T413" i="1"/>
  <c r="V417" i="1"/>
  <c r="U417" i="1"/>
  <c r="T417" i="1"/>
  <c r="V421" i="1"/>
  <c r="U421" i="1"/>
  <c r="T421" i="1"/>
  <c r="V425" i="1"/>
  <c r="U425" i="1"/>
  <c r="T425" i="1"/>
  <c r="V429" i="1"/>
  <c r="U429" i="1"/>
  <c r="T429" i="1"/>
  <c r="V433" i="1"/>
  <c r="U433" i="1"/>
  <c r="T433" i="1"/>
  <c r="V437" i="1"/>
  <c r="U437" i="1"/>
  <c r="T437" i="1"/>
  <c r="V441" i="1"/>
  <c r="U441" i="1"/>
  <c r="T441" i="1"/>
  <c r="V445" i="1"/>
  <c r="U445" i="1"/>
  <c r="T445" i="1"/>
  <c r="V449" i="1"/>
  <c r="U449" i="1"/>
  <c r="T449" i="1"/>
  <c r="V453" i="1"/>
  <c r="U453" i="1"/>
  <c r="T453" i="1"/>
  <c r="V457" i="1"/>
  <c r="U457" i="1"/>
  <c r="T457" i="1"/>
  <c r="V461" i="1"/>
  <c r="U461" i="1"/>
  <c r="T461" i="1"/>
  <c r="V465" i="1"/>
  <c r="U465" i="1"/>
  <c r="T465" i="1"/>
  <c r="V469" i="1"/>
  <c r="U469" i="1"/>
  <c r="T469" i="1"/>
  <c r="V473" i="1"/>
  <c r="U473" i="1"/>
  <c r="T473" i="1"/>
  <c r="V477" i="1"/>
  <c r="U477" i="1"/>
  <c r="T477" i="1"/>
  <c r="V481" i="1"/>
  <c r="U481" i="1"/>
  <c r="T481" i="1"/>
  <c r="V485" i="1"/>
  <c r="U485" i="1"/>
  <c r="T485" i="1"/>
  <c r="V489" i="1"/>
  <c r="U489" i="1"/>
  <c r="T489" i="1"/>
  <c r="V493" i="1"/>
  <c r="U493" i="1"/>
  <c r="T493" i="1"/>
  <c r="V497" i="1"/>
  <c r="U497" i="1"/>
  <c r="T497" i="1"/>
  <c r="V501" i="1"/>
  <c r="U501" i="1"/>
  <c r="T501" i="1"/>
  <c r="V505" i="1"/>
  <c r="U505" i="1"/>
  <c r="T505" i="1"/>
  <c r="V509" i="1"/>
  <c r="U509" i="1"/>
  <c r="T509" i="1"/>
  <c r="V513" i="1"/>
  <c r="U513" i="1"/>
  <c r="T513" i="1"/>
  <c r="V517" i="1"/>
  <c r="U517" i="1"/>
  <c r="T517" i="1"/>
  <c r="V521" i="1"/>
  <c r="U521" i="1"/>
  <c r="T521" i="1"/>
  <c r="V525" i="1"/>
  <c r="U525" i="1"/>
  <c r="T525" i="1"/>
  <c r="V529" i="1"/>
  <c r="U529" i="1"/>
  <c r="T529" i="1"/>
  <c r="V533" i="1"/>
  <c r="U533" i="1"/>
  <c r="T533" i="1"/>
  <c r="V537" i="1"/>
  <c r="U537" i="1"/>
  <c r="T537" i="1"/>
  <c r="V541" i="1"/>
  <c r="U541" i="1"/>
  <c r="T541" i="1"/>
  <c r="V545" i="1"/>
  <c r="U545" i="1"/>
  <c r="T545" i="1"/>
  <c r="V549" i="1"/>
  <c r="U549" i="1"/>
  <c r="T549" i="1"/>
  <c r="V553" i="1"/>
  <c r="U553" i="1"/>
  <c r="T553" i="1"/>
  <c r="V557" i="1"/>
  <c r="U557" i="1"/>
  <c r="T557" i="1"/>
  <c r="V561" i="1"/>
  <c r="U561" i="1"/>
  <c r="T561" i="1"/>
  <c r="V565" i="1"/>
  <c r="U565" i="1"/>
  <c r="T565" i="1"/>
  <c r="V569" i="1"/>
  <c r="U569" i="1"/>
  <c r="T569" i="1"/>
  <c r="V573" i="1"/>
  <c r="U573" i="1"/>
  <c r="T573" i="1"/>
  <c r="V577" i="1"/>
  <c r="U577" i="1"/>
  <c r="T577" i="1"/>
  <c r="V581" i="1"/>
  <c r="U581" i="1"/>
  <c r="T581" i="1"/>
  <c r="V585" i="1"/>
  <c r="U585" i="1"/>
  <c r="T585" i="1"/>
  <c r="V589" i="1"/>
  <c r="U589" i="1"/>
  <c r="T589" i="1"/>
  <c r="V593" i="1"/>
  <c r="U593" i="1"/>
  <c r="T593" i="1"/>
  <c r="V597" i="1"/>
  <c r="U597" i="1"/>
  <c r="T597" i="1"/>
  <c r="V601" i="1"/>
  <c r="U601" i="1"/>
  <c r="T601" i="1"/>
  <c r="V605" i="1"/>
  <c r="U605" i="1"/>
  <c r="T605" i="1"/>
  <c r="V609" i="1"/>
  <c r="U609" i="1"/>
  <c r="T609" i="1"/>
  <c r="V613" i="1"/>
  <c r="U613" i="1"/>
  <c r="T613" i="1"/>
  <c r="V617" i="1"/>
  <c r="U617" i="1"/>
  <c r="T617" i="1"/>
  <c r="V621" i="1"/>
  <c r="U621" i="1"/>
  <c r="T621" i="1"/>
  <c r="V625" i="1"/>
  <c r="U625" i="1"/>
  <c r="T625" i="1"/>
  <c r="V629" i="1"/>
  <c r="U629" i="1"/>
  <c r="T629" i="1"/>
  <c r="V633" i="1"/>
  <c r="U633" i="1"/>
  <c r="T633" i="1"/>
  <c r="V637" i="1"/>
  <c r="U637" i="1"/>
  <c r="T637" i="1"/>
  <c r="V641" i="1"/>
  <c r="U641" i="1"/>
  <c r="T641" i="1"/>
  <c r="V645" i="1"/>
  <c r="U645" i="1"/>
  <c r="T645" i="1"/>
  <c r="V649" i="1"/>
  <c r="U649" i="1"/>
  <c r="T649" i="1"/>
  <c r="V653" i="1"/>
  <c r="U653" i="1"/>
  <c r="T653" i="1"/>
  <c r="V657" i="1"/>
  <c r="U657" i="1"/>
  <c r="T657" i="1"/>
  <c r="V661" i="1"/>
  <c r="U661" i="1"/>
  <c r="T661" i="1"/>
  <c r="V665" i="1"/>
  <c r="U665" i="1"/>
  <c r="T665" i="1"/>
  <c r="V669" i="1"/>
  <c r="U669" i="1"/>
  <c r="T669" i="1"/>
  <c r="V673" i="1"/>
  <c r="U673" i="1"/>
  <c r="T673" i="1"/>
  <c r="V677" i="1"/>
  <c r="U677" i="1"/>
  <c r="T677" i="1"/>
  <c r="V681" i="1"/>
  <c r="U681" i="1"/>
  <c r="T681" i="1"/>
  <c r="V685" i="1"/>
  <c r="U685" i="1"/>
  <c r="T685" i="1"/>
  <c r="V689" i="1"/>
  <c r="U689" i="1"/>
  <c r="T689" i="1"/>
  <c r="V693" i="1"/>
  <c r="U693" i="1"/>
  <c r="T693" i="1"/>
  <c r="V697" i="1"/>
  <c r="U697" i="1"/>
  <c r="T697" i="1"/>
  <c r="V701" i="1"/>
  <c r="U701" i="1"/>
  <c r="T701" i="1"/>
  <c r="V705" i="1"/>
  <c r="U705" i="1"/>
  <c r="T705" i="1"/>
  <c r="V709" i="1"/>
  <c r="U709" i="1"/>
  <c r="T709" i="1"/>
  <c r="V713" i="1"/>
  <c r="U713" i="1"/>
  <c r="T713" i="1"/>
  <c r="V717" i="1"/>
  <c r="U717" i="1"/>
  <c r="T717" i="1"/>
  <c r="V721" i="1"/>
  <c r="U721" i="1"/>
  <c r="T721" i="1"/>
  <c r="V725" i="1"/>
  <c r="U725" i="1"/>
  <c r="T725" i="1"/>
  <c r="V729" i="1"/>
  <c r="U729" i="1"/>
  <c r="T729" i="1"/>
  <c r="V733" i="1"/>
  <c r="U733" i="1"/>
  <c r="T733" i="1"/>
  <c r="V737" i="1"/>
  <c r="U737" i="1"/>
  <c r="T737" i="1"/>
  <c r="V741" i="1"/>
  <c r="U741" i="1"/>
  <c r="T741" i="1"/>
  <c r="V745" i="1"/>
  <c r="U745" i="1"/>
  <c r="T745" i="1"/>
  <c r="V749" i="1"/>
  <c r="U749" i="1"/>
  <c r="T749" i="1"/>
  <c r="V753" i="1"/>
  <c r="U753" i="1"/>
  <c r="T753" i="1"/>
  <c r="V757" i="1"/>
  <c r="U757" i="1"/>
  <c r="T757" i="1"/>
  <c r="V761" i="1"/>
  <c r="U761" i="1"/>
  <c r="T761" i="1"/>
  <c r="V765" i="1"/>
  <c r="U765" i="1"/>
  <c r="T765" i="1"/>
  <c r="V769" i="1"/>
  <c r="U769" i="1"/>
  <c r="T769" i="1"/>
  <c r="V773" i="1"/>
  <c r="U773" i="1"/>
  <c r="T773" i="1"/>
  <c r="V777" i="1"/>
  <c r="U777" i="1"/>
  <c r="T777" i="1"/>
  <c r="V781" i="1"/>
  <c r="U781" i="1"/>
  <c r="T781" i="1"/>
  <c r="V785" i="1"/>
  <c r="U785" i="1"/>
  <c r="T785" i="1"/>
  <c r="V789" i="1"/>
  <c r="U789" i="1"/>
  <c r="T789" i="1"/>
  <c r="V793" i="1"/>
  <c r="U793" i="1"/>
  <c r="T793" i="1"/>
  <c r="V797" i="1"/>
  <c r="U797" i="1"/>
  <c r="T797" i="1"/>
  <c r="V801" i="1"/>
  <c r="U801" i="1"/>
  <c r="T801" i="1"/>
  <c r="V805" i="1"/>
  <c r="U805" i="1"/>
  <c r="T805" i="1"/>
  <c r="V809" i="1"/>
  <c r="U809" i="1"/>
  <c r="T809" i="1"/>
  <c r="V813" i="1"/>
  <c r="U813" i="1"/>
  <c r="T813" i="1"/>
  <c r="V817" i="1"/>
  <c r="U817" i="1"/>
  <c r="T817" i="1"/>
  <c r="V821" i="1"/>
  <c r="U821" i="1"/>
  <c r="T821" i="1"/>
  <c r="V825" i="1"/>
  <c r="U825" i="1"/>
  <c r="T825" i="1"/>
  <c r="V829" i="1"/>
  <c r="U829" i="1"/>
  <c r="T829" i="1"/>
  <c r="V833" i="1"/>
  <c r="U833" i="1"/>
  <c r="T833" i="1"/>
  <c r="V837" i="1"/>
  <c r="U837" i="1"/>
  <c r="T837" i="1"/>
  <c r="V841" i="1"/>
  <c r="U841" i="1"/>
  <c r="T841" i="1"/>
  <c r="V845" i="1"/>
  <c r="U845" i="1"/>
  <c r="T845" i="1"/>
  <c r="V849" i="1"/>
  <c r="U849" i="1"/>
  <c r="T849" i="1"/>
  <c r="V853" i="1"/>
  <c r="U853" i="1"/>
  <c r="T853" i="1"/>
  <c r="V857" i="1"/>
  <c r="U857" i="1"/>
  <c r="T857" i="1"/>
  <c r="V861" i="1"/>
  <c r="U861" i="1"/>
  <c r="T861" i="1"/>
  <c r="V865" i="1"/>
  <c r="U865" i="1"/>
  <c r="T865" i="1"/>
  <c r="V869" i="1"/>
  <c r="U869" i="1"/>
  <c r="T869" i="1"/>
  <c r="V873" i="1"/>
  <c r="U873" i="1"/>
  <c r="T873" i="1"/>
  <c r="V877" i="1"/>
  <c r="U877" i="1"/>
  <c r="T877" i="1"/>
  <c r="V881" i="1"/>
  <c r="U881" i="1"/>
  <c r="T881" i="1"/>
  <c r="V885" i="1"/>
  <c r="U885" i="1"/>
  <c r="T885" i="1"/>
  <c r="V889" i="1"/>
  <c r="U889" i="1"/>
  <c r="T889" i="1"/>
  <c r="V893" i="1"/>
  <c r="U893" i="1"/>
  <c r="T893" i="1"/>
  <c r="V897" i="1"/>
  <c r="U897" i="1"/>
  <c r="T897" i="1"/>
  <c r="V901" i="1"/>
  <c r="U901" i="1"/>
  <c r="T901" i="1"/>
  <c r="V905" i="1"/>
  <c r="U905" i="1"/>
  <c r="T905" i="1"/>
  <c r="V909" i="1"/>
  <c r="U909" i="1"/>
  <c r="T909" i="1"/>
  <c r="V913" i="1"/>
  <c r="U913" i="1"/>
  <c r="T913" i="1"/>
  <c r="V917" i="1"/>
  <c r="U917" i="1"/>
  <c r="T917" i="1"/>
  <c r="V921" i="1"/>
  <c r="U921" i="1"/>
  <c r="T921" i="1"/>
  <c r="V925" i="1"/>
  <c r="U925" i="1"/>
  <c r="T925" i="1"/>
  <c r="V929" i="1"/>
  <c r="U929" i="1"/>
  <c r="T929" i="1"/>
  <c r="V933" i="1"/>
  <c r="U933" i="1"/>
  <c r="T933" i="1"/>
  <c r="V937" i="1"/>
  <c r="U937" i="1"/>
  <c r="T937" i="1"/>
  <c r="V941" i="1"/>
  <c r="U941" i="1"/>
  <c r="T941" i="1"/>
  <c r="V945" i="1"/>
  <c r="U945" i="1"/>
  <c r="T945" i="1"/>
  <c r="V949" i="1"/>
  <c r="U949" i="1"/>
  <c r="T949" i="1"/>
  <c r="V953" i="1"/>
  <c r="U953" i="1"/>
  <c r="T953" i="1"/>
  <c r="V957" i="1"/>
  <c r="U957" i="1"/>
  <c r="T957" i="1"/>
  <c r="V961" i="1"/>
  <c r="U961" i="1"/>
  <c r="T961" i="1"/>
  <c r="V965" i="1"/>
  <c r="U965" i="1"/>
  <c r="T965" i="1"/>
  <c r="V338" i="1"/>
  <c r="V340" i="1"/>
  <c r="V342" i="1"/>
  <c r="V344" i="1"/>
  <c r="V346" i="1"/>
  <c r="V348" i="1"/>
  <c r="V350" i="1"/>
  <c r="V352" i="1"/>
  <c r="V354" i="1"/>
  <c r="V356" i="1"/>
  <c r="V358" i="1"/>
  <c r="V360" i="1"/>
  <c r="V362" i="1"/>
  <c r="V364" i="1"/>
  <c r="V366" i="1"/>
  <c r="V368" i="1"/>
  <c r="V370" i="1"/>
  <c r="V372" i="1"/>
  <c r="V374" i="1"/>
  <c r="V376" i="1"/>
  <c r="V378" i="1"/>
  <c r="V380" i="1"/>
  <c r="V382" i="1"/>
  <c r="V384" i="1"/>
  <c r="V386" i="1"/>
  <c r="V388" i="1"/>
  <c r="V390" i="1"/>
  <c r="V392" i="1"/>
  <c r="V394" i="1"/>
  <c r="V396" i="1"/>
  <c r="V398" i="1"/>
  <c r="V400" i="1"/>
  <c r="V402" i="1"/>
  <c r="V404" i="1"/>
  <c r="V406" i="1"/>
  <c r="V408" i="1"/>
  <c r="V410" i="1"/>
  <c r="V412" i="1"/>
  <c r="V414" i="1"/>
  <c r="V416" i="1"/>
  <c r="V418" i="1"/>
  <c r="V420" i="1"/>
  <c r="V422" i="1"/>
  <c r="V424" i="1"/>
  <c r="V426" i="1"/>
  <c r="V428" i="1"/>
  <c r="V430" i="1"/>
  <c r="V432" i="1"/>
  <c r="V434" i="1"/>
  <c r="V436" i="1"/>
  <c r="V438" i="1"/>
  <c r="V440" i="1"/>
  <c r="V442" i="1"/>
  <c r="V444" i="1"/>
  <c r="V446" i="1"/>
  <c r="V448" i="1"/>
  <c r="V450" i="1"/>
  <c r="V452" i="1"/>
  <c r="V454" i="1"/>
  <c r="V456" i="1"/>
  <c r="V458" i="1"/>
  <c r="V460" i="1"/>
  <c r="V462" i="1"/>
  <c r="V464" i="1"/>
  <c r="V466" i="1"/>
  <c r="V468" i="1"/>
  <c r="V470" i="1"/>
  <c r="V472" i="1"/>
  <c r="V474" i="1"/>
  <c r="V476" i="1"/>
  <c r="V478" i="1"/>
  <c r="V480" i="1"/>
  <c r="V482" i="1"/>
  <c r="V484" i="1"/>
  <c r="V486" i="1"/>
  <c r="V488" i="1"/>
  <c r="V490" i="1"/>
  <c r="V492" i="1"/>
  <c r="V494" i="1"/>
  <c r="V496" i="1"/>
  <c r="V498" i="1"/>
  <c r="V500" i="1"/>
  <c r="V502" i="1"/>
  <c r="V504" i="1"/>
  <c r="V506" i="1"/>
  <c r="V508" i="1"/>
  <c r="V510" i="1"/>
  <c r="V512" i="1"/>
  <c r="V514" i="1"/>
  <c r="V516" i="1"/>
  <c r="V518" i="1"/>
  <c r="V520" i="1"/>
  <c r="V522" i="1"/>
  <c r="V524" i="1"/>
  <c r="V526" i="1"/>
  <c r="V528" i="1"/>
  <c r="V530" i="1"/>
  <c r="V532" i="1"/>
  <c r="V534" i="1"/>
  <c r="V536" i="1"/>
  <c r="V538" i="1"/>
  <c r="V540" i="1"/>
  <c r="V542" i="1"/>
  <c r="V544" i="1"/>
  <c r="V546" i="1"/>
  <c r="V548" i="1"/>
  <c r="V550" i="1"/>
  <c r="V552" i="1"/>
  <c r="V554" i="1"/>
  <c r="V556" i="1"/>
  <c r="V558" i="1"/>
  <c r="V560" i="1"/>
  <c r="V562" i="1"/>
  <c r="V564" i="1"/>
  <c r="V566" i="1"/>
  <c r="V568" i="1"/>
  <c r="V570" i="1"/>
  <c r="V572" i="1"/>
  <c r="V574" i="1"/>
  <c r="V576" i="1"/>
  <c r="V578" i="1"/>
  <c r="V580" i="1"/>
  <c r="V582" i="1"/>
  <c r="V584" i="1"/>
  <c r="V586" i="1"/>
  <c r="V588" i="1"/>
  <c r="V590" i="1"/>
  <c r="V592" i="1"/>
  <c r="V594" i="1"/>
  <c r="V596" i="1"/>
  <c r="V598" i="1"/>
  <c r="V600" i="1"/>
  <c r="V602" i="1"/>
  <c r="V604" i="1"/>
  <c r="V606" i="1"/>
  <c r="V608" i="1"/>
  <c r="V610" i="1"/>
  <c r="V612" i="1"/>
  <c r="V614" i="1"/>
  <c r="V616" i="1"/>
  <c r="V618" i="1"/>
  <c r="V620" i="1"/>
  <c r="V622" i="1"/>
  <c r="V624" i="1"/>
  <c r="V626" i="1"/>
  <c r="V628" i="1"/>
  <c r="V630" i="1"/>
  <c r="V632" i="1"/>
  <c r="V634" i="1"/>
  <c r="V636" i="1"/>
  <c r="V638" i="1"/>
  <c r="V640" i="1"/>
  <c r="V642" i="1"/>
  <c r="V644" i="1"/>
  <c r="V646" i="1"/>
  <c r="V648" i="1"/>
  <c r="V650" i="1"/>
  <c r="V652" i="1"/>
  <c r="V654" i="1"/>
  <c r="V656" i="1"/>
  <c r="V658" i="1"/>
  <c r="V660" i="1"/>
  <c r="V662" i="1"/>
  <c r="V664" i="1"/>
  <c r="V666" i="1"/>
  <c r="V668" i="1"/>
  <c r="V670" i="1"/>
  <c r="V672" i="1"/>
  <c r="V674" i="1"/>
  <c r="V676" i="1"/>
  <c r="V678" i="1"/>
  <c r="V680" i="1"/>
  <c r="V682" i="1"/>
  <c r="V684" i="1"/>
  <c r="V686" i="1"/>
  <c r="V688" i="1"/>
  <c r="V690" i="1"/>
  <c r="V692" i="1"/>
  <c r="V694" i="1"/>
  <c r="V696" i="1"/>
  <c r="V698" i="1"/>
  <c r="V700" i="1"/>
  <c r="V702" i="1"/>
  <c r="V704" i="1"/>
  <c r="V706" i="1"/>
  <c r="V708" i="1"/>
  <c r="V710" i="1"/>
  <c r="V712" i="1"/>
  <c r="V714" i="1"/>
  <c r="V716" i="1"/>
  <c r="V718" i="1"/>
  <c r="V720" i="1"/>
  <c r="V722" i="1"/>
  <c r="V724" i="1"/>
  <c r="V726" i="1"/>
  <c r="V728" i="1"/>
  <c r="V730" i="1"/>
  <c r="V732" i="1"/>
  <c r="V734" i="1"/>
  <c r="V736" i="1"/>
  <c r="V738" i="1"/>
  <c r="V740" i="1"/>
  <c r="V742" i="1"/>
  <c r="V744" i="1"/>
  <c r="V746" i="1"/>
  <c r="V748" i="1"/>
  <c r="V750" i="1"/>
  <c r="V752" i="1"/>
  <c r="V754" i="1"/>
  <c r="V756" i="1"/>
  <c r="V758" i="1"/>
  <c r="V760" i="1"/>
  <c r="V762" i="1"/>
  <c r="V764" i="1"/>
  <c r="V766" i="1"/>
  <c r="V768" i="1"/>
  <c r="V770" i="1"/>
  <c r="V772" i="1"/>
  <c r="V774" i="1"/>
  <c r="V776" i="1"/>
  <c r="V778" i="1"/>
  <c r="V780" i="1"/>
  <c r="V782" i="1"/>
  <c r="V784" i="1"/>
  <c r="V786" i="1"/>
  <c r="V788" i="1"/>
  <c r="V790" i="1"/>
  <c r="V792" i="1"/>
  <c r="V794" i="1"/>
  <c r="V796" i="1"/>
  <c r="V798" i="1"/>
  <c r="V800" i="1"/>
  <c r="V802" i="1"/>
  <c r="V804" i="1"/>
  <c r="V806" i="1"/>
  <c r="V808" i="1"/>
  <c r="V810" i="1"/>
  <c r="V812" i="1"/>
  <c r="V814" i="1"/>
  <c r="V816" i="1"/>
  <c r="V818" i="1"/>
  <c r="V820" i="1"/>
  <c r="V822" i="1"/>
  <c r="V824" i="1"/>
  <c r="V826" i="1"/>
  <c r="V828" i="1"/>
  <c r="V830" i="1"/>
  <c r="V832" i="1"/>
  <c r="V834" i="1"/>
  <c r="V836" i="1"/>
  <c r="V838" i="1"/>
  <c r="V840" i="1"/>
  <c r="V842" i="1"/>
  <c r="V844" i="1"/>
  <c r="V846" i="1"/>
  <c r="V848" i="1"/>
  <c r="V850" i="1"/>
  <c r="V852" i="1"/>
  <c r="V854" i="1"/>
  <c r="V856" i="1"/>
  <c r="V858" i="1"/>
  <c r="V860" i="1"/>
  <c r="V862" i="1"/>
  <c r="V864" i="1"/>
  <c r="V866" i="1"/>
  <c r="V868" i="1"/>
  <c r="V870" i="1"/>
  <c r="V872" i="1"/>
  <c r="V874" i="1"/>
  <c r="V876" i="1"/>
  <c r="V878" i="1"/>
  <c r="V880" i="1"/>
  <c r="V882" i="1"/>
  <c r="V884" i="1"/>
  <c r="V886" i="1"/>
  <c r="V888" i="1"/>
  <c r="V890" i="1"/>
  <c r="V892" i="1"/>
  <c r="V894" i="1"/>
  <c r="V896" i="1"/>
  <c r="V898" i="1"/>
  <c r="V900" i="1"/>
  <c r="V902" i="1"/>
  <c r="V904" i="1"/>
  <c r="V906" i="1"/>
  <c r="V908" i="1"/>
  <c r="V910" i="1"/>
  <c r="V912" i="1"/>
  <c r="V914" i="1"/>
  <c r="V916" i="1"/>
  <c r="V918" i="1"/>
  <c r="V920" i="1"/>
  <c r="V922" i="1"/>
  <c r="V924" i="1"/>
  <c r="V926" i="1"/>
  <c r="V928" i="1"/>
  <c r="V930" i="1"/>
  <c r="V932" i="1"/>
  <c r="V934" i="1"/>
  <c r="V936" i="1"/>
  <c r="V938" i="1"/>
  <c r="V940" i="1"/>
  <c r="V942" i="1"/>
  <c r="V944" i="1"/>
  <c r="V946" i="1"/>
  <c r="V948" i="1"/>
  <c r="V950" i="1"/>
  <c r="V952" i="1"/>
  <c r="V954" i="1"/>
  <c r="V956" i="1"/>
  <c r="V958" i="1"/>
  <c r="V960" i="1"/>
  <c r="V962" i="1"/>
  <c r="V964" i="1"/>
  <c r="V966" i="1"/>
  <c r="V1233" i="1"/>
  <c r="T1233" i="1"/>
  <c r="W1233" i="1"/>
  <c r="U1233" i="1"/>
  <c r="V1235" i="1"/>
  <c r="T1235" i="1"/>
  <c r="W1235" i="1"/>
  <c r="U1235" i="1"/>
  <c r="V1237" i="1"/>
  <c r="T1237" i="1"/>
  <c r="W1237" i="1"/>
  <c r="U1237" i="1"/>
  <c r="V1239" i="1"/>
  <c r="T1239" i="1"/>
  <c r="W1239" i="1"/>
  <c r="U1239" i="1"/>
  <c r="V1241" i="1"/>
  <c r="T1241" i="1"/>
  <c r="W1241" i="1"/>
  <c r="U1241" i="1"/>
  <c r="W534" i="1"/>
  <c r="W536" i="1"/>
  <c r="W538" i="1"/>
  <c r="W540" i="1"/>
  <c r="W542" i="1"/>
  <c r="W544" i="1"/>
  <c r="W546" i="1"/>
  <c r="W548" i="1"/>
  <c r="W550" i="1"/>
  <c r="W552" i="1"/>
  <c r="W554" i="1"/>
  <c r="W556" i="1"/>
  <c r="W558" i="1"/>
  <c r="W560" i="1"/>
  <c r="W562" i="1"/>
  <c r="W564" i="1"/>
  <c r="W566" i="1"/>
  <c r="W568" i="1"/>
  <c r="W570" i="1"/>
  <c r="W572" i="1"/>
  <c r="W574" i="1"/>
  <c r="W576" i="1"/>
  <c r="W578" i="1"/>
  <c r="W580" i="1"/>
  <c r="W582" i="1"/>
  <c r="W584" i="1"/>
  <c r="W586" i="1"/>
  <c r="W588" i="1"/>
  <c r="W590" i="1"/>
  <c r="W592" i="1"/>
  <c r="W594" i="1"/>
  <c r="W596" i="1"/>
  <c r="W598" i="1"/>
  <c r="W600" i="1"/>
  <c r="W602" i="1"/>
  <c r="W604" i="1"/>
  <c r="W606" i="1"/>
  <c r="W608" i="1"/>
  <c r="W610" i="1"/>
  <c r="W612" i="1"/>
  <c r="W614" i="1"/>
  <c r="W616" i="1"/>
  <c r="W618" i="1"/>
  <c r="W620" i="1"/>
  <c r="W622" i="1"/>
  <c r="W624" i="1"/>
  <c r="W626" i="1"/>
  <c r="W628" i="1"/>
  <c r="W630" i="1"/>
  <c r="W632" i="1"/>
  <c r="W634" i="1"/>
  <c r="W636" i="1"/>
  <c r="W638" i="1"/>
  <c r="W640" i="1"/>
  <c r="W642" i="1"/>
  <c r="W644" i="1"/>
  <c r="W646" i="1"/>
  <c r="W648" i="1"/>
  <c r="W650" i="1"/>
  <c r="W652" i="1"/>
  <c r="W654" i="1"/>
  <c r="W656" i="1"/>
  <c r="W658" i="1"/>
  <c r="W660" i="1"/>
  <c r="W662" i="1"/>
  <c r="W664" i="1"/>
  <c r="W666" i="1"/>
  <c r="W668" i="1"/>
  <c r="W670" i="1"/>
  <c r="W672" i="1"/>
  <c r="W674" i="1"/>
  <c r="W676" i="1"/>
  <c r="W678" i="1"/>
  <c r="W680" i="1"/>
  <c r="W682" i="1"/>
  <c r="W684" i="1"/>
  <c r="W686" i="1"/>
  <c r="W688" i="1"/>
  <c r="W690" i="1"/>
  <c r="W692" i="1"/>
  <c r="W694" i="1"/>
  <c r="W696" i="1"/>
  <c r="W698" i="1"/>
  <c r="W700" i="1"/>
  <c r="W702" i="1"/>
  <c r="W704" i="1"/>
  <c r="W706" i="1"/>
  <c r="W708" i="1"/>
  <c r="W710" i="1"/>
  <c r="W712" i="1"/>
  <c r="W714" i="1"/>
  <c r="W716" i="1"/>
  <c r="W718" i="1"/>
  <c r="W720" i="1"/>
  <c r="W722" i="1"/>
  <c r="W724" i="1"/>
  <c r="W726" i="1"/>
  <c r="W728" i="1"/>
  <c r="W730" i="1"/>
  <c r="W732" i="1"/>
  <c r="W734" i="1"/>
  <c r="W736" i="1"/>
  <c r="W738" i="1"/>
  <c r="W740" i="1"/>
  <c r="W742" i="1"/>
  <c r="W744" i="1"/>
  <c r="W746" i="1"/>
  <c r="W748" i="1"/>
  <c r="W750" i="1"/>
  <c r="W752" i="1"/>
  <c r="W754" i="1"/>
  <c r="W756" i="1"/>
  <c r="W758" i="1"/>
  <c r="W760" i="1"/>
  <c r="W762" i="1"/>
  <c r="W764" i="1"/>
  <c r="W766" i="1"/>
  <c r="W768" i="1"/>
  <c r="W770" i="1"/>
  <c r="W772" i="1"/>
  <c r="W774" i="1"/>
  <c r="W776" i="1"/>
  <c r="W778" i="1"/>
  <c r="W780" i="1"/>
  <c r="W782" i="1"/>
  <c r="W784" i="1"/>
  <c r="W786" i="1"/>
  <c r="W788" i="1"/>
  <c r="W790" i="1"/>
  <c r="W792" i="1"/>
  <c r="W794" i="1"/>
  <c r="W796" i="1"/>
  <c r="W798" i="1"/>
  <c r="W800" i="1"/>
  <c r="W802" i="1"/>
  <c r="W804" i="1"/>
  <c r="W806" i="1"/>
  <c r="W808" i="1"/>
  <c r="W810" i="1"/>
  <c r="W812" i="1"/>
  <c r="W814" i="1"/>
  <c r="W816" i="1"/>
  <c r="W818" i="1"/>
  <c r="W820" i="1"/>
  <c r="W822" i="1"/>
  <c r="W824" i="1"/>
  <c r="W826" i="1"/>
  <c r="W828" i="1"/>
  <c r="W830" i="1"/>
  <c r="W832" i="1"/>
  <c r="W834" i="1"/>
  <c r="W836" i="1"/>
  <c r="W838" i="1"/>
  <c r="W840" i="1"/>
  <c r="W842" i="1"/>
  <c r="W844" i="1"/>
  <c r="W846" i="1"/>
  <c r="W848" i="1"/>
  <c r="W850" i="1"/>
  <c r="W852" i="1"/>
  <c r="W854" i="1"/>
  <c r="W856" i="1"/>
  <c r="W858" i="1"/>
  <c r="W860" i="1"/>
  <c r="W862" i="1"/>
  <c r="W864" i="1"/>
  <c r="W866" i="1"/>
  <c r="W868" i="1"/>
  <c r="W870" i="1"/>
  <c r="W872" i="1"/>
  <c r="W874" i="1"/>
  <c r="W876" i="1"/>
  <c r="W878" i="1"/>
  <c r="W880" i="1"/>
  <c r="W882" i="1"/>
  <c r="W884" i="1"/>
  <c r="W886" i="1"/>
  <c r="W888" i="1"/>
  <c r="W890" i="1"/>
  <c r="W892" i="1"/>
  <c r="W894" i="1"/>
  <c r="W896" i="1"/>
  <c r="W898" i="1"/>
  <c r="W900" i="1"/>
  <c r="W902" i="1"/>
  <c r="W904" i="1"/>
  <c r="W906" i="1"/>
  <c r="W908" i="1"/>
  <c r="W910" i="1"/>
  <c r="W912" i="1"/>
  <c r="W914" i="1"/>
  <c r="W916" i="1"/>
  <c r="W918" i="1"/>
  <c r="W920" i="1"/>
  <c r="W922" i="1"/>
  <c r="W924" i="1"/>
  <c r="W926" i="1"/>
  <c r="W928" i="1"/>
  <c r="W930" i="1"/>
  <c r="W932" i="1"/>
  <c r="W934" i="1"/>
  <c r="W936" i="1"/>
  <c r="W938" i="1"/>
  <c r="W940" i="1"/>
  <c r="W942" i="1"/>
  <c r="W944" i="1"/>
  <c r="W946" i="1"/>
  <c r="W948" i="1"/>
  <c r="W950" i="1"/>
  <c r="W952" i="1"/>
  <c r="W954" i="1"/>
  <c r="W956" i="1"/>
  <c r="W958" i="1"/>
  <c r="W960" i="1"/>
  <c r="W962" i="1"/>
  <c r="W964" i="1"/>
  <c r="W966" i="1"/>
  <c r="T1232" i="1"/>
  <c r="V1232" i="1"/>
  <c r="W1232" i="1"/>
  <c r="U1232" i="1"/>
  <c r="T1234" i="1"/>
  <c r="V1234" i="1"/>
  <c r="W1234" i="1"/>
  <c r="U1234" i="1"/>
  <c r="T1236" i="1"/>
  <c r="V1236" i="1"/>
  <c r="W1236" i="1"/>
  <c r="U1236" i="1"/>
  <c r="T1238" i="1"/>
  <c r="V1238" i="1"/>
  <c r="W1238" i="1"/>
  <c r="U1238" i="1"/>
  <c r="T1240" i="1"/>
  <c r="V1240" i="1"/>
  <c r="W1240" i="1"/>
  <c r="U1240" i="1"/>
  <c r="T1242" i="1"/>
  <c r="W1242" i="1"/>
  <c r="V1242" i="1"/>
  <c r="U1242" i="1"/>
  <c r="W968" i="1"/>
  <c r="U969" i="1"/>
  <c r="W970" i="1"/>
  <c r="U971" i="1"/>
  <c r="W972" i="1"/>
  <c r="U973" i="1"/>
  <c r="W974" i="1"/>
  <c r="U975" i="1"/>
  <c r="W976" i="1"/>
  <c r="U977" i="1"/>
  <c r="W978" i="1"/>
  <c r="U979" i="1"/>
  <c r="W980" i="1"/>
  <c r="U981" i="1"/>
  <c r="W982" i="1"/>
  <c r="W984" i="1"/>
  <c r="W986" i="1"/>
  <c r="W988" i="1"/>
  <c r="W990" i="1"/>
  <c r="W992" i="1"/>
  <c r="W994" i="1"/>
  <c r="W996" i="1"/>
  <c r="W998" i="1"/>
  <c r="W1000" i="1"/>
  <c r="W1002" i="1"/>
  <c r="W1004" i="1"/>
  <c r="W1006" i="1"/>
  <c r="W1008" i="1"/>
  <c r="W1010" i="1"/>
  <c r="W1012" i="1"/>
  <c r="W1014" i="1"/>
  <c r="W1016" i="1"/>
  <c r="W1018" i="1"/>
  <c r="W1020" i="1"/>
  <c r="W1022" i="1"/>
  <c r="W1024" i="1"/>
  <c r="W1026" i="1"/>
  <c r="W1028" i="1"/>
  <c r="W1030" i="1"/>
  <c r="W1032" i="1"/>
  <c r="W1034" i="1"/>
  <c r="W1036" i="1"/>
  <c r="W1038" i="1"/>
  <c r="W1040" i="1"/>
  <c r="W1042" i="1"/>
  <c r="W1044" i="1"/>
  <c r="W1046" i="1"/>
  <c r="W1048" i="1"/>
  <c r="W1050" i="1"/>
  <c r="W1052" i="1"/>
  <c r="W1054" i="1"/>
  <c r="W1056" i="1"/>
  <c r="W1058" i="1"/>
  <c r="W1060" i="1"/>
  <c r="W1062" i="1"/>
  <c r="W1064" i="1"/>
  <c r="W1066" i="1"/>
  <c r="W1068" i="1"/>
  <c r="W1070" i="1"/>
  <c r="W1072" i="1"/>
  <c r="W1074" i="1"/>
  <c r="W1076" i="1"/>
  <c r="W1078" i="1"/>
  <c r="W1080" i="1"/>
  <c r="W1082" i="1"/>
  <c r="W1084" i="1"/>
  <c r="W1086" i="1"/>
  <c r="W1088" i="1"/>
  <c r="W1090" i="1"/>
  <c r="W1092" i="1"/>
  <c r="W1094" i="1"/>
  <c r="W1096" i="1"/>
  <c r="W1098" i="1"/>
  <c r="W1100" i="1"/>
  <c r="W1102" i="1"/>
  <c r="W1104" i="1"/>
  <c r="W1106" i="1"/>
  <c r="W1108" i="1"/>
  <c r="W1110" i="1"/>
  <c r="W1112" i="1"/>
  <c r="W1114" i="1"/>
  <c r="W1116" i="1"/>
  <c r="W1118" i="1"/>
  <c r="W1120" i="1"/>
  <c r="W1122" i="1"/>
  <c r="W1124" i="1"/>
  <c r="W1126" i="1"/>
  <c r="W1128" i="1"/>
  <c r="W1130" i="1"/>
  <c r="W1132" i="1"/>
  <c r="W1134" i="1"/>
  <c r="W1136" i="1"/>
  <c r="W1138" i="1"/>
  <c r="W1140" i="1"/>
  <c r="W1142" i="1"/>
  <c r="W1144" i="1"/>
  <c r="W1146" i="1"/>
  <c r="W1148" i="1"/>
  <c r="W1150" i="1"/>
  <c r="W1152" i="1"/>
  <c r="W1154" i="1"/>
  <c r="W1156" i="1"/>
  <c r="W1158" i="1"/>
  <c r="W1160" i="1"/>
  <c r="W1162" i="1"/>
  <c r="W1164" i="1"/>
  <c r="W1166" i="1"/>
  <c r="W1168" i="1"/>
  <c r="W1170" i="1"/>
  <c r="W1172" i="1"/>
  <c r="W1174" i="1"/>
  <c r="W1176" i="1"/>
  <c r="W1178" i="1"/>
  <c r="W1180" i="1"/>
  <c r="W1182" i="1"/>
  <c r="W1184" i="1"/>
  <c r="W1186" i="1"/>
  <c r="W1188" i="1"/>
  <c r="W1190" i="1"/>
  <c r="W1192" i="1"/>
  <c r="W1194" i="1"/>
  <c r="W1196" i="1"/>
  <c r="W1198" i="1"/>
  <c r="W1200" i="1"/>
  <c r="W1202" i="1"/>
  <c r="W1204" i="1"/>
  <c r="W1206" i="1"/>
  <c r="W1208" i="1"/>
  <c r="W1210" i="1"/>
  <c r="W1212" i="1"/>
  <c r="W1214" i="1"/>
  <c r="W1216" i="1"/>
  <c r="W1218" i="1"/>
  <c r="W1220" i="1"/>
  <c r="W1222" i="1"/>
  <c r="W1224" i="1"/>
  <c r="W1226" i="1"/>
  <c r="W1228" i="1"/>
  <c r="W1230" i="1"/>
  <c r="V1245" i="1"/>
  <c r="U1245" i="1"/>
  <c r="T1245" i="1"/>
  <c r="V1249" i="1"/>
  <c r="U1249" i="1"/>
  <c r="T1249" i="1"/>
  <c r="V1253" i="1"/>
  <c r="U1253" i="1"/>
  <c r="T1253" i="1"/>
  <c r="V1257" i="1"/>
  <c r="U1257" i="1"/>
  <c r="T1257" i="1"/>
  <c r="V1261" i="1"/>
  <c r="U1261" i="1"/>
  <c r="T1261" i="1"/>
  <c r="V1265" i="1"/>
  <c r="U1265" i="1"/>
  <c r="T1265" i="1"/>
  <c r="V1269" i="1"/>
  <c r="U1269" i="1"/>
  <c r="T1269" i="1"/>
  <c r="T968" i="1"/>
  <c r="V969" i="1"/>
  <c r="T970" i="1"/>
  <c r="V971" i="1"/>
  <c r="T972" i="1"/>
  <c r="V973" i="1"/>
  <c r="T974" i="1"/>
  <c r="V975" i="1"/>
  <c r="T976" i="1"/>
  <c r="V977" i="1"/>
  <c r="T978" i="1"/>
  <c r="V979" i="1"/>
  <c r="T980" i="1"/>
  <c r="V981" i="1"/>
  <c r="T982" i="1"/>
  <c r="V983" i="1"/>
  <c r="T984" i="1"/>
  <c r="V985" i="1"/>
  <c r="T986" i="1"/>
  <c r="V987" i="1"/>
  <c r="T988" i="1"/>
  <c r="V989" i="1"/>
  <c r="T990" i="1"/>
  <c r="V991" i="1"/>
  <c r="T992" i="1"/>
  <c r="V993" i="1"/>
  <c r="T994" i="1"/>
  <c r="V995" i="1"/>
  <c r="T996" i="1"/>
  <c r="V997" i="1"/>
  <c r="T998" i="1"/>
  <c r="V999" i="1"/>
  <c r="T1000" i="1"/>
  <c r="V1001" i="1"/>
  <c r="T1002" i="1"/>
  <c r="V1003" i="1"/>
  <c r="T1004" i="1"/>
  <c r="V1005" i="1"/>
  <c r="T1006" i="1"/>
  <c r="V1007" i="1"/>
  <c r="T1008" i="1"/>
  <c r="V1009" i="1"/>
  <c r="T1010" i="1"/>
  <c r="V1011" i="1"/>
  <c r="T1012" i="1"/>
  <c r="V1013" i="1"/>
  <c r="T1014" i="1"/>
  <c r="V1015" i="1"/>
  <c r="T1016" i="1"/>
  <c r="V1017" i="1"/>
  <c r="T1018" i="1"/>
  <c r="V1019" i="1"/>
  <c r="T1020" i="1"/>
  <c r="V1021" i="1"/>
  <c r="T1022" i="1"/>
  <c r="V1023" i="1"/>
  <c r="T1024" i="1"/>
  <c r="V1025" i="1"/>
  <c r="T1026" i="1"/>
  <c r="V1027" i="1"/>
  <c r="T1028" i="1"/>
  <c r="V1029" i="1"/>
  <c r="T1030" i="1"/>
  <c r="V1031" i="1"/>
  <c r="T1032" i="1"/>
  <c r="V1033" i="1"/>
  <c r="T1034" i="1"/>
  <c r="V1035" i="1"/>
  <c r="T1036" i="1"/>
  <c r="V1037" i="1"/>
  <c r="T1038" i="1"/>
  <c r="V1039" i="1"/>
  <c r="T1040" i="1"/>
  <c r="V1041" i="1"/>
  <c r="T1042" i="1"/>
  <c r="V1043" i="1"/>
  <c r="T1044" i="1"/>
  <c r="V1045" i="1"/>
  <c r="T1046" i="1"/>
  <c r="V1047" i="1"/>
  <c r="T1048" i="1"/>
  <c r="V1049" i="1"/>
  <c r="T1050" i="1"/>
  <c r="V1051" i="1"/>
  <c r="T1052" i="1"/>
  <c r="V1053" i="1"/>
  <c r="T1054" i="1"/>
  <c r="V1055" i="1"/>
  <c r="T1056" i="1"/>
  <c r="V1057" i="1"/>
  <c r="T1058" i="1"/>
  <c r="V1059" i="1"/>
  <c r="T1060" i="1"/>
  <c r="V1061" i="1"/>
  <c r="T1062" i="1"/>
  <c r="V1063" i="1"/>
  <c r="T1064" i="1"/>
  <c r="V1065" i="1"/>
  <c r="T1066" i="1"/>
  <c r="V1067" i="1"/>
  <c r="T1068" i="1"/>
  <c r="V1069" i="1"/>
  <c r="T1070" i="1"/>
  <c r="V1071" i="1"/>
  <c r="T1072" i="1"/>
  <c r="V1073" i="1"/>
  <c r="T1074" i="1"/>
  <c r="V1075" i="1"/>
  <c r="T1076" i="1"/>
  <c r="V1077" i="1"/>
  <c r="T1078" i="1"/>
  <c r="V1079" i="1"/>
  <c r="T1080" i="1"/>
  <c r="V1081" i="1"/>
  <c r="T1082" i="1"/>
  <c r="V1083" i="1"/>
  <c r="T1084" i="1"/>
  <c r="V1085" i="1"/>
  <c r="T1086" i="1"/>
  <c r="V1087" i="1"/>
  <c r="T1088" i="1"/>
  <c r="V1089" i="1"/>
  <c r="T1090" i="1"/>
  <c r="V1091" i="1"/>
  <c r="T1092" i="1"/>
  <c r="V1093" i="1"/>
  <c r="T1094" i="1"/>
  <c r="V1095" i="1"/>
  <c r="T1096" i="1"/>
  <c r="V1097" i="1"/>
  <c r="T1098" i="1"/>
  <c r="V1099" i="1"/>
  <c r="T1100" i="1"/>
  <c r="V1101" i="1"/>
  <c r="T1102" i="1"/>
  <c r="V1103" i="1"/>
  <c r="T1104" i="1"/>
  <c r="V1105" i="1"/>
  <c r="T1106" i="1"/>
  <c r="V1107" i="1"/>
  <c r="T1108" i="1"/>
  <c r="V1109" i="1"/>
  <c r="T1110" i="1"/>
  <c r="V1111" i="1"/>
  <c r="T1112" i="1"/>
  <c r="V1113" i="1"/>
  <c r="T1114" i="1"/>
  <c r="V1115" i="1"/>
  <c r="T1116" i="1"/>
  <c r="V1117" i="1"/>
  <c r="T1118" i="1"/>
  <c r="V1119" i="1"/>
  <c r="T1120" i="1"/>
  <c r="V1121" i="1"/>
  <c r="T1122" i="1"/>
  <c r="V1123" i="1"/>
  <c r="T1124" i="1"/>
  <c r="V1125" i="1"/>
  <c r="T1126" i="1"/>
  <c r="V1127" i="1"/>
  <c r="T1128" i="1"/>
  <c r="V1129" i="1"/>
  <c r="T1130" i="1"/>
  <c r="V1131" i="1"/>
  <c r="T1132" i="1"/>
  <c r="V1133" i="1"/>
  <c r="T1134" i="1"/>
  <c r="V1135" i="1"/>
  <c r="T1136" i="1"/>
  <c r="V1137" i="1"/>
  <c r="T1138" i="1"/>
  <c r="V1139" i="1"/>
  <c r="T1140" i="1"/>
  <c r="V1141" i="1"/>
  <c r="T1142" i="1"/>
  <c r="V1143" i="1"/>
  <c r="T1144" i="1"/>
  <c r="V1145" i="1"/>
  <c r="T1146" i="1"/>
  <c r="V1147" i="1"/>
  <c r="T1148" i="1"/>
  <c r="V1149" i="1"/>
  <c r="T1150" i="1"/>
  <c r="V1151" i="1"/>
  <c r="T1152" i="1"/>
  <c r="V1153" i="1"/>
  <c r="T1154" i="1"/>
  <c r="V1155" i="1"/>
  <c r="T1156" i="1"/>
  <c r="V1157" i="1"/>
  <c r="T1158" i="1"/>
  <c r="V1159" i="1"/>
  <c r="T1160" i="1"/>
  <c r="V1161" i="1"/>
  <c r="T1162" i="1"/>
  <c r="V1163" i="1"/>
  <c r="T1164" i="1"/>
  <c r="V1165" i="1"/>
  <c r="T1166" i="1"/>
  <c r="V1167" i="1"/>
  <c r="T1168" i="1"/>
  <c r="V1169" i="1"/>
  <c r="T1170" i="1"/>
  <c r="V1171" i="1"/>
  <c r="T1172" i="1"/>
  <c r="V1173" i="1"/>
  <c r="T1174" i="1"/>
  <c r="V1175" i="1"/>
  <c r="T1176" i="1"/>
  <c r="V1177" i="1"/>
  <c r="T1178" i="1"/>
  <c r="V1179" i="1"/>
  <c r="T1180" i="1"/>
  <c r="V1181" i="1"/>
  <c r="T1182" i="1"/>
  <c r="V1183" i="1"/>
  <c r="T1184" i="1"/>
  <c r="V1185" i="1"/>
  <c r="T1186" i="1"/>
  <c r="V1187" i="1"/>
  <c r="T1188" i="1"/>
  <c r="V1189" i="1"/>
  <c r="T1190" i="1"/>
  <c r="V1191" i="1"/>
  <c r="T1192" i="1"/>
  <c r="V1193" i="1"/>
  <c r="T1194" i="1"/>
  <c r="V1195" i="1"/>
  <c r="T1196" i="1"/>
  <c r="V1197" i="1"/>
  <c r="T1198" i="1"/>
  <c r="V1199" i="1"/>
  <c r="T1200" i="1"/>
  <c r="V1201" i="1"/>
  <c r="T1202" i="1"/>
  <c r="V1203" i="1"/>
  <c r="T1204" i="1"/>
  <c r="V1205" i="1"/>
  <c r="T1206" i="1"/>
  <c r="V1207" i="1"/>
  <c r="T1208" i="1"/>
  <c r="T1210" i="1"/>
  <c r="T1212" i="1"/>
  <c r="T1214" i="1"/>
  <c r="T1216" i="1"/>
  <c r="T1218" i="1"/>
  <c r="T1220" i="1"/>
  <c r="T1222" i="1"/>
  <c r="T1224" i="1"/>
  <c r="T1226" i="1"/>
  <c r="T1228" i="1"/>
  <c r="T1230" i="1"/>
  <c r="W1245" i="1"/>
  <c r="W1249" i="1"/>
  <c r="W1253" i="1"/>
  <c r="W1257" i="1"/>
  <c r="W1261" i="1"/>
  <c r="W1265" i="1"/>
  <c r="W1269" i="1"/>
  <c r="V1231" i="1"/>
  <c r="V1243" i="1"/>
  <c r="U1243" i="1"/>
  <c r="T1243" i="1"/>
  <c r="V1247" i="1"/>
  <c r="U1247" i="1"/>
  <c r="T1247" i="1"/>
  <c r="V1251" i="1"/>
  <c r="U1251" i="1"/>
  <c r="T1251" i="1"/>
  <c r="V1255" i="1"/>
  <c r="U1255" i="1"/>
  <c r="T1255" i="1"/>
  <c r="V1259" i="1"/>
  <c r="U1259" i="1"/>
  <c r="T1259" i="1"/>
  <c r="V1263" i="1"/>
  <c r="U1263" i="1"/>
  <c r="T1263" i="1"/>
  <c r="V1267" i="1"/>
  <c r="U1267" i="1"/>
  <c r="T1267" i="1"/>
  <c r="V1271" i="1"/>
  <c r="U1271" i="1"/>
  <c r="T1271" i="1"/>
  <c r="V1244" i="1"/>
  <c r="V1246" i="1"/>
  <c r="V1248" i="1"/>
  <c r="V1250" i="1"/>
  <c r="V1252" i="1"/>
  <c r="V1254" i="1"/>
  <c r="V1256" i="1"/>
  <c r="V1258" i="1"/>
  <c r="V1260" i="1"/>
  <c r="V1262" i="1"/>
  <c r="V1264" i="1"/>
  <c r="V1266" i="1"/>
  <c r="V1268" i="1"/>
  <c r="V1270" i="1"/>
  <c r="W1244" i="1"/>
  <c r="W1246" i="1"/>
  <c r="W1248" i="1"/>
  <c r="W1250" i="1"/>
  <c r="W1252" i="1"/>
  <c r="W1254" i="1"/>
  <c r="W1256" i="1"/>
  <c r="W1258" i="1"/>
  <c r="W1260" i="1"/>
  <c r="W1262" i="1"/>
  <c r="W1264" i="1"/>
  <c r="W1266" i="1"/>
  <c r="W1268" i="1"/>
  <c r="W1270" i="1"/>
  <c r="H5" i="1" l="1"/>
  <c r="H6" i="1"/>
  <c r="AE5" i="1"/>
  <c r="AC9" i="1"/>
  <c r="AD7" i="1"/>
  <c r="AD8" i="1"/>
  <c r="AB8" i="1"/>
  <c r="AE8" i="1"/>
  <c r="AD9" i="1"/>
  <c r="AC6" i="1"/>
  <c r="AB5" i="1"/>
  <c r="AE9" i="1"/>
  <c r="AC5" i="1"/>
  <c r="AB9" i="1"/>
  <c r="AE10" i="1"/>
  <c r="AD5" i="1"/>
  <c r="AB7" i="1"/>
  <c r="AD6" i="1"/>
  <c r="AB10" i="1"/>
  <c r="AE6" i="1"/>
  <c r="AC10" i="1"/>
  <c r="AE7" i="1"/>
  <c r="AD10" i="1"/>
  <c r="AC8" i="1"/>
  <c r="AC7" i="1"/>
  <c r="AB6" i="1"/>
  <c r="AF6" i="1" l="1"/>
  <c r="AF9" i="1"/>
  <c r="AE11" i="1"/>
  <c r="AD11" i="1"/>
  <c r="AF10" i="1"/>
  <c r="AF5" i="1"/>
  <c r="AB11" i="1"/>
  <c r="AF8" i="1"/>
  <c r="AF7" i="1"/>
  <c r="AC11" i="1"/>
  <c r="AF11" i="1" l="1"/>
</calcChain>
</file>

<file path=xl/sharedStrings.xml><?xml version="1.0" encoding="utf-8"?>
<sst xmlns="http://schemas.openxmlformats.org/spreadsheetml/2006/main" count="10707" uniqueCount="2716">
  <si>
    <t>Total</t>
  </si>
  <si>
    <t>Representante</t>
  </si>
  <si>
    <t>CNPJ</t>
  </si>
  <si>
    <t>01324320000160</t>
  </si>
  <si>
    <t>01539975000155</t>
  </si>
  <si>
    <t>02874783000168</t>
  </si>
  <si>
    <t>03965882000118</t>
  </si>
  <si>
    <t>04562071000139</t>
  </si>
  <si>
    <t>05078468000112</t>
  </si>
  <si>
    <t>06347177000145</t>
  </si>
  <si>
    <t>06886668000164</t>
  </si>
  <si>
    <t>06959916000150</t>
  </si>
  <si>
    <t>07692054000104</t>
  </si>
  <si>
    <t>08268515000189</t>
  </si>
  <si>
    <t>09151558000142</t>
  </si>
  <si>
    <t>09176050000107</t>
  </si>
  <si>
    <t>09507994000101</t>
  </si>
  <si>
    <t>10316424000113</t>
  </si>
  <si>
    <t>11056724000173</t>
  </si>
  <si>
    <t>11189996000141</t>
  </si>
  <si>
    <t>11250975000194</t>
  </si>
  <si>
    <t>11250975000275</t>
  </si>
  <si>
    <t>11714106000173</t>
  </si>
  <si>
    <t>12442226000121</t>
  </si>
  <si>
    <t>14295408000142</t>
  </si>
  <si>
    <t>15072310000199</t>
  </si>
  <si>
    <t>15700136000181</t>
  </si>
  <si>
    <t>16835868000141</t>
  </si>
  <si>
    <t>17204925000157</t>
  </si>
  <si>
    <t>17762740000168</t>
  </si>
  <si>
    <t>18558242000160</t>
  </si>
  <si>
    <t>18792268000179</t>
  </si>
  <si>
    <t>19842638000106</t>
  </si>
  <si>
    <t>20945676000165</t>
  </si>
  <si>
    <t>21052314000108</t>
  </si>
  <si>
    <t>22314669000190</t>
  </si>
  <si>
    <t>22443506000108</t>
  </si>
  <si>
    <t>22730939000144</t>
  </si>
  <si>
    <t>26227482000100</t>
  </si>
  <si>
    <t>31767262000100</t>
  </si>
  <si>
    <t>35966662000103</t>
  </si>
  <si>
    <t>38969432000188</t>
  </si>
  <si>
    <t>51551950000145</t>
  </si>
  <si>
    <t>52974011000176</t>
  </si>
  <si>
    <t>52974011000338</t>
  </si>
  <si>
    <t>53628657000164</t>
  </si>
  <si>
    <t>58203167000130</t>
  </si>
  <si>
    <t>58291345000121</t>
  </si>
  <si>
    <t>61800025000245</t>
  </si>
  <si>
    <t>64807050000168</t>
  </si>
  <si>
    <t>66084880000130</t>
  </si>
  <si>
    <t>68096791000139</t>
  </si>
  <si>
    <t>22596880000143</t>
  </si>
  <si>
    <t>06103561000100</t>
  </si>
  <si>
    <t>Informar Representante</t>
  </si>
  <si>
    <t>00008824000108</t>
  </si>
  <si>
    <t>00012727000199</t>
  </si>
  <si>
    <t>00262500000100</t>
  </si>
  <si>
    <t>00423457000290</t>
  </si>
  <si>
    <t>01169086000143</t>
  </si>
  <si>
    <t>01395907000160</t>
  </si>
  <si>
    <t>01535696000113</t>
  </si>
  <si>
    <t>01574933000155</t>
  </si>
  <si>
    <t>01980525000101</t>
  </si>
  <si>
    <t>02346833000134</t>
  </si>
  <si>
    <t>02415893000161</t>
  </si>
  <si>
    <t>02591640000149</t>
  </si>
  <si>
    <t>02962992000163</t>
  </si>
  <si>
    <t>03099509000121</t>
  </si>
  <si>
    <t>03147038000180</t>
  </si>
  <si>
    <t>03159413000101</t>
  </si>
  <si>
    <t>03574250000123</t>
  </si>
  <si>
    <t>04035530000126</t>
  </si>
  <si>
    <t>04216828000132</t>
  </si>
  <si>
    <t>04336642000117</t>
  </si>
  <si>
    <t>04351690000184</t>
  </si>
  <si>
    <t>04435149000154</t>
  </si>
  <si>
    <t>04571747000150</t>
  </si>
  <si>
    <t>04627083000366</t>
  </si>
  <si>
    <t>04680942000119</t>
  </si>
  <si>
    <t>04746576000153</t>
  </si>
  <si>
    <t>05233296000104</t>
  </si>
  <si>
    <t>06146240000185</t>
  </si>
  <si>
    <t>06949276000288</t>
  </si>
  <si>
    <t>07143152000192</t>
  </si>
  <si>
    <t>07529685000107</t>
  </si>
  <si>
    <t>07529685000298</t>
  </si>
  <si>
    <t>07580389000130</t>
  </si>
  <si>
    <t>07615201000142</t>
  </si>
  <si>
    <t>07774898000102</t>
  </si>
  <si>
    <t>07810585000154</t>
  </si>
  <si>
    <t>07837422000165</t>
  </si>
  <si>
    <t>08242743000180</t>
  </si>
  <si>
    <t>08840864000123</t>
  </si>
  <si>
    <t>09522396000101</t>
  </si>
  <si>
    <t>09586205000175</t>
  </si>
  <si>
    <t>09721344000164</t>
  </si>
  <si>
    <t>09814854000186</t>
  </si>
  <si>
    <t>10296392000131</t>
  </si>
  <si>
    <t>10384490000120</t>
  </si>
  <si>
    <t>10399906000184</t>
  </si>
  <si>
    <t>10476019000162</t>
  </si>
  <si>
    <t>10746598000116</t>
  </si>
  <si>
    <t>10821716000103</t>
  </si>
  <si>
    <t>11050899000173</t>
  </si>
  <si>
    <t>11063910000130</t>
  </si>
  <si>
    <t>11082858000169</t>
  </si>
  <si>
    <t>11140913000120</t>
  </si>
  <si>
    <t>11239002000154</t>
  </si>
  <si>
    <t>11472744000125</t>
  </si>
  <si>
    <t>11675705000125</t>
  </si>
  <si>
    <t>12742207000110</t>
  </si>
  <si>
    <t>12940183000104</t>
  </si>
  <si>
    <t>13793461000100</t>
  </si>
  <si>
    <t>13861593000122</t>
  </si>
  <si>
    <t>13919388000170</t>
  </si>
  <si>
    <t>14144945000191</t>
  </si>
  <si>
    <t>14476332000151</t>
  </si>
  <si>
    <t>14524871000119</t>
  </si>
  <si>
    <t>15168667000175</t>
  </si>
  <si>
    <t>15676041000170</t>
  </si>
  <si>
    <t>16732739000128</t>
  </si>
  <si>
    <t>16792542000184</t>
  </si>
  <si>
    <t>17150917000175</t>
  </si>
  <si>
    <t>17680105000131</t>
  </si>
  <si>
    <t>18100589000165</t>
  </si>
  <si>
    <t>18432638000248</t>
  </si>
  <si>
    <t>19006192000171</t>
  </si>
  <si>
    <t>19251757000186</t>
  </si>
  <si>
    <t>20094267000100</t>
  </si>
  <si>
    <t>21444819000118</t>
  </si>
  <si>
    <t>21486669000105</t>
  </si>
  <si>
    <t>21503403000123</t>
  </si>
  <si>
    <t>21827700000124</t>
  </si>
  <si>
    <t>22831139000110</t>
  </si>
  <si>
    <t>25311794000135</t>
  </si>
  <si>
    <t>26032072000104</t>
  </si>
  <si>
    <t>26543241000170</t>
  </si>
  <si>
    <t>27467561000151</t>
  </si>
  <si>
    <t>27885514000128</t>
  </si>
  <si>
    <t>28609974000196</t>
  </si>
  <si>
    <t>43724772000189</t>
  </si>
  <si>
    <t>45627841000161</t>
  </si>
  <si>
    <t>46843991000175</t>
  </si>
  <si>
    <t>48307581000135</t>
  </si>
  <si>
    <t>50006238000100</t>
  </si>
  <si>
    <t>50356575000110</t>
  </si>
  <si>
    <t>51831428000117</t>
  </si>
  <si>
    <t>51832046000108</t>
  </si>
  <si>
    <t>52534484000152</t>
  </si>
  <si>
    <t>53085593000100</t>
  </si>
  <si>
    <t>53147732000175</t>
  </si>
  <si>
    <t>53904405000110</t>
  </si>
  <si>
    <t>56400237000114</t>
  </si>
  <si>
    <t>60275849000361</t>
  </si>
  <si>
    <t>64002876000150</t>
  </si>
  <si>
    <t>66175563000129</t>
  </si>
  <si>
    <t>66824541000142</t>
  </si>
  <si>
    <t>67775593000139</t>
  </si>
  <si>
    <t>68292473000143</t>
  </si>
  <si>
    <t>68432798000184</t>
  </si>
  <si>
    <t>74596388000171</t>
  </si>
  <si>
    <t>01667900000150</t>
  </si>
  <si>
    <t>08850291000119</t>
  </si>
  <si>
    <t>10377111000175</t>
  </si>
  <si>
    <t>12940825000175</t>
  </si>
  <si>
    <t>18334901000185</t>
  </si>
  <si>
    <t>22346836000185</t>
  </si>
  <si>
    <t>25390610000170</t>
  </si>
  <si>
    <t>48322606000170</t>
  </si>
  <si>
    <t>01957958000138</t>
  </si>
  <si>
    <t>00136604000160</t>
  </si>
  <si>
    <t>00619087000180</t>
  </si>
  <si>
    <t>00967989000107</t>
  </si>
  <si>
    <t>01375343000101</t>
  </si>
  <si>
    <t>01815759000195</t>
  </si>
  <si>
    <t>01835744000199</t>
  </si>
  <si>
    <t>02034512000102</t>
  </si>
  <si>
    <t>02264634000187</t>
  </si>
  <si>
    <t>02408864000253</t>
  </si>
  <si>
    <t>02538721000266</t>
  </si>
  <si>
    <t>02806692000195</t>
  </si>
  <si>
    <t>03589772000107</t>
  </si>
  <si>
    <t>03962308000106</t>
  </si>
  <si>
    <t>03971395000168</t>
  </si>
  <si>
    <t>03999165000107</t>
  </si>
  <si>
    <t>04005208000154</t>
  </si>
  <si>
    <t>04203670000166</t>
  </si>
  <si>
    <t>04262138000110</t>
  </si>
  <si>
    <t>04360397000183</t>
  </si>
  <si>
    <t>04919530000199</t>
  </si>
  <si>
    <t>05292152000129</t>
  </si>
  <si>
    <t>05350679000162</t>
  </si>
  <si>
    <t>05563113000119</t>
  </si>
  <si>
    <t>05614438000183</t>
  </si>
  <si>
    <t>05686325000193</t>
  </si>
  <si>
    <t>05878920000120</t>
  </si>
  <si>
    <t>05892710000197</t>
  </si>
  <si>
    <t>06141795000134</t>
  </si>
  <si>
    <t>06197435000154</t>
  </si>
  <si>
    <t>06371634000137</t>
  </si>
  <si>
    <t>07017878000260</t>
  </si>
  <si>
    <t>07198015000155</t>
  </si>
  <si>
    <t>07272573000113</t>
  </si>
  <si>
    <t>07545886000106</t>
  </si>
  <si>
    <t>07708505000154</t>
  </si>
  <si>
    <t>07881201000275</t>
  </si>
  <si>
    <t>08283724000100</t>
  </si>
  <si>
    <t>08332422000176</t>
  </si>
  <si>
    <t>08515529000230</t>
  </si>
  <si>
    <t>08775081000103</t>
  </si>
  <si>
    <t>08797645000109</t>
  </si>
  <si>
    <t>08823062000105</t>
  </si>
  <si>
    <t>08860273000118</t>
  </si>
  <si>
    <t>08876814000104</t>
  </si>
  <si>
    <t>08946397000110</t>
  </si>
  <si>
    <t>08949632000108</t>
  </si>
  <si>
    <t>09224084000111</t>
  </si>
  <si>
    <t>09231365000100</t>
  </si>
  <si>
    <t>09252041000140</t>
  </si>
  <si>
    <t>09365535000130</t>
  </si>
  <si>
    <t>09412619000188</t>
  </si>
  <si>
    <t>09555620000161</t>
  </si>
  <si>
    <t>09942011000165</t>
  </si>
  <si>
    <t>10157406000136</t>
  </si>
  <si>
    <t>10172014000146</t>
  </si>
  <si>
    <t>10221920000193</t>
  </si>
  <si>
    <t>10499352000197</t>
  </si>
  <si>
    <t>10617114000139</t>
  </si>
  <si>
    <t>10759068000102</t>
  </si>
  <si>
    <t>11109175000158</t>
  </si>
  <si>
    <t>11552385000469</t>
  </si>
  <si>
    <t>11673876000115</t>
  </si>
  <si>
    <t>11673876000204</t>
  </si>
  <si>
    <t>11792320000148</t>
  </si>
  <si>
    <t>11874635000134</t>
  </si>
  <si>
    <t>12167001000104</t>
  </si>
  <si>
    <t>12196360000190</t>
  </si>
  <si>
    <t>12286890000129</t>
  </si>
  <si>
    <t>12339483000132</t>
  </si>
  <si>
    <t>12542479000177</t>
  </si>
  <si>
    <t>12645778000137</t>
  </si>
  <si>
    <t>12771251000159</t>
  </si>
  <si>
    <t>13071731000170</t>
  </si>
  <si>
    <t>13302867000143</t>
  </si>
  <si>
    <t>13385359000176</t>
  </si>
  <si>
    <t>13626212000120</t>
  </si>
  <si>
    <t>13709275000140</t>
  </si>
  <si>
    <t>13841384000117</t>
  </si>
  <si>
    <t>13988006000160</t>
  </si>
  <si>
    <t>14045508000110</t>
  </si>
  <si>
    <t>14059692000158</t>
  </si>
  <si>
    <t>14166310000195</t>
  </si>
  <si>
    <t>14289143000170</t>
  </si>
  <si>
    <t>15057337000102</t>
  </si>
  <si>
    <t>15437760000138</t>
  </si>
  <si>
    <t>15741159000134</t>
  </si>
  <si>
    <t>16793042000167</t>
  </si>
  <si>
    <t>16842773000155</t>
  </si>
  <si>
    <t>16883017000174</t>
  </si>
  <si>
    <t>16948487000179</t>
  </si>
  <si>
    <t>17056835000166</t>
  </si>
  <si>
    <t>17283678000121</t>
  </si>
  <si>
    <t>17716966000122</t>
  </si>
  <si>
    <t>17723220000146</t>
  </si>
  <si>
    <t>17754527000104</t>
  </si>
  <si>
    <t>17790931000133</t>
  </si>
  <si>
    <t>18129655000120</t>
  </si>
  <si>
    <t>18382369000171</t>
  </si>
  <si>
    <t>18386148000171</t>
  </si>
  <si>
    <t>18602704000108</t>
  </si>
  <si>
    <t>18968240000140</t>
  </si>
  <si>
    <t>19051349000180</t>
  </si>
  <si>
    <t>19176161000169</t>
  </si>
  <si>
    <t>19218209000154</t>
  </si>
  <si>
    <t>19681073000114</t>
  </si>
  <si>
    <t>20528784000132</t>
  </si>
  <si>
    <t>21066578000110</t>
  </si>
  <si>
    <t>21116766000106</t>
  </si>
  <si>
    <t>21165182000120</t>
  </si>
  <si>
    <t>21397146000192</t>
  </si>
  <si>
    <t>21497720000265</t>
  </si>
  <si>
    <t>21600971000142</t>
  </si>
  <si>
    <t>21795054000160</t>
  </si>
  <si>
    <t>21875904000130</t>
  </si>
  <si>
    <t>22226476000188</t>
  </si>
  <si>
    <t>22229024000150</t>
  </si>
  <si>
    <t>22322796000131</t>
  </si>
  <si>
    <t>22357081000114</t>
  </si>
  <si>
    <t>22357560000130</t>
  </si>
  <si>
    <t>22602464000100</t>
  </si>
  <si>
    <t>23164577000134</t>
  </si>
  <si>
    <t>23402878000159</t>
  </si>
  <si>
    <t>23915184000115</t>
  </si>
  <si>
    <t>24009987000173</t>
  </si>
  <si>
    <t>24157740000102</t>
  </si>
  <si>
    <t>24371575000189</t>
  </si>
  <si>
    <t>24638152000182</t>
  </si>
  <si>
    <t>24711245000195</t>
  </si>
  <si>
    <t>25041455000186</t>
  </si>
  <si>
    <t>25269081000150</t>
  </si>
  <si>
    <t>25834847000283</t>
  </si>
  <si>
    <t>27023560000118</t>
  </si>
  <si>
    <t>27357819000167</t>
  </si>
  <si>
    <t>27424527000108</t>
  </si>
  <si>
    <t>27544357000197</t>
  </si>
  <si>
    <t>27547384000113</t>
  </si>
  <si>
    <t>27720118000140</t>
  </si>
  <si>
    <t>28261796000155</t>
  </si>
  <si>
    <t>28584133000171</t>
  </si>
  <si>
    <t>28595131000188</t>
  </si>
  <si>
    <t>32460768000134</t>
  </si>
  <si>
    <t>41831561000110</t>
  </si>
  <si>
    <t>42846691000199</t>
  </si>
  <si>
    <t>64357957000172</t>
  </si>
  <si>
    <t>86547650000258</t>
  </si>
  <si>
    <t>92275296000171</t>
  </si>
  <si>
    <t>94227071000175</t>
  </si>
  <si>
    <t>94825510000141</t>
  </si>
  <si>
    <t>00113917000100</t>
  </si>
  <si>
    <t>00213241000119</t>
  </si>
  <si>
    <t>01487857000140</t>
  </si>
  <si>
    <t>03464101000101</t>
  </si>
  <si>
    <t>03676143000106</t>
  </si>
  <si>
    <t>05754774000121</t>
  </si>
  <si>
    <t>07032538000127</t>
  </si>
  <si>
    <t>07868826000116</t>
  </si>
  <si>
    <t>07886566000101</t>
  </si>
  <si>
    <t>07999370000123</t>
  </si>
  <si>
    <t>08322160000169</t>
  </si>
  <si>
    <t>08594765000109</t>
  </si>
  <si>
    <t>09364525000180</t>
  </si>
  <si>
    <t>09375500000182</t>
  </si>
  <si>
    <t>09624219000136</t>
  </si>
  <si>
    <t>10461609000111</t>
  </si>
  <si>
    <t>12908384000124</t>
  </si>
  <si>
    <t>13117489000128</t>
  </si>
  <si>
    <t>13661643000128</t>
  </si>
  <si>
    <t>13869476000105</t>
  </si>
  <si>
    <t>14182353000164</t>
  </si>
  <si>
    <t>14308158000138</t>
  </si>
  <si>
    <t>15514881000136</t>
  </si>
  <si>
    <t>15680589000193</t>
  </si>
  <si>
    <t>19021196000129</t>
  </si>
  <si>
    <t>08228360000157</t>
  </si>
  <si>
    <t>20645728000188</t>
  </si>
  <si>
    <t>22058559000105</t>
  </si>
  <si>
    <t>23408048000139</t>
  </si>
  <si>
    <t>24719770000157</t>
  </si>
  <si>
    <t>02003457000185</t>
  </si>
  <si>
    <t>03744696000159</t>
  </si>
  <si>
    <t>04446768000144</t>
  </si>
  <si>
    <t>05076442000135</t>
  </si>
  <si>
    <t>05356914000103</t>
  </si>
  <si>
    <t>05372592000196</t>
  </si>
  <si>
    <t>06313725000116</t>
  </si>
  <si>
    <t>06537657000179</t>
  </si>
  <si>
    <t>07795798000154</t>
  </si>
  <si>
    <t>10283490000134</t>
  </si>
  <si>
    <t>10646856000192</t>
  </si>
  <si>
    <t>11575556000122</t>
  </si>
  <si>
    <t>11967281000172</t>
  </si>
  <si>
    <t>13363615000124</t>
  </si>
  <si>
    <t>13772907000110</t>
  </si>
  <si>
    <t>15051598000468</t>
  </si>
  <si>
    <t>15157085000193</t>
  </si>
  <si>
    <t>15388436000177</t>
  </si>
  <si>
    <t>16564117000138</t>
  </si>
  <si>
    <t>17252183000135</t>
  </si>
  <si>
    <t>19046574000129</t>
  </si>
  <si>
    <t>19047659000121</t>
  </si>
  <si>
    <t>20747531000150</t>
  </si>
  <si>
    <t>21160704000100</t>
  </si>
  <si>
    <t>25281910000110</t>
  </si>
  <si>
    <t>25416876000225</t>
  </si>
  <si>
    <t>27237165000138</t>
  </si>
  <si>
    <t>02753613000125</t>
  </si>
  <si>
    <t>07363875000105</t>
  </si>
  <si>
    <t>19955078000198</t>
  </si>
  <si>
    <t>23123375000144</t>
  </si>
  <si>
    <t>02458630000130</t>
  </si>
  <si>
    <t>04187544000165</t>
  </si>
  <si>
    <t>06169011000186</t>
  </si>
  <si>
    <t>08750768000194</t>
  </si>
  <si>
    <t>09479373000161</t>
  </si>
  <si>
    <t>11862076000142</t>
  </si>
  <si>
    <t>13732502000159</t>
  </si>
  <si>
    <t>13897072000125</t>
  </si>
  <si>
    <t>14552603000100</t>
  </si>
  <si>
    <t>16721385000116</t>
  </si>
  <si>
    <t>28667084000130</t>
  </si>
  <si>
    <t>78396066000130</t>
  </si>
  <si>
    <t>83024323000142</t>
  </si>
  <si>
    <t>85274090000161</t>
  </si>
  <si>
    <t>94614518000169</t>
  </si>
  <si>
    <t>18060945000164</t>
  </si>
  <si>
    <t>05913961000100</t>
  </si>
  <si>
    <t>27527675000140</t>
  </si>
  <si>
    <t>00618040000282</t>
  </si>
  <si>
    <t>AL</t>
  </si>
  <si>
    <t>RN</t>
  </si>
  <si>
    <t>PE</t>
  </si>
  <si>
    <t>01208348000131</t>
  </si>
  <si>
    <t>MA</t>
  </si>
  <si>
    <t>17596508000105</t>
  </si>
  <si>
    <t>MARCOS/M</t>
  </si>
  <si>
    <t>02172777000169</t>
  </si>
  <si>
    <t>BA</t>
  </si>
  <si>
    <t>CE</t>
  </si>
  <si>
    <t>SE</t>
  </si>
  <si>
    <t>PB</t>
  </si>
  <si>
    <t>03025904000160</t>
  </si>
  <si>
    <t>04057242000172</t>
  </si>
  <si>
    <t>PA</t>
  </si>
  <si>
    <t>06913435000103</t>
  </si>
  <si>
    <t>07391529000122</t>
  </si>
  <si>
    <t>PI</t>
  </si>
  <si>
    <t>07645588000180</t>
  </si>
  <si>
    <t>07818159000167</t>
  </si>
  <si>
    <t>08190297000107</t>
  </si>
  <si>
    <t>08263468000180</t>
  </si>
  <si>
    <t>08953711000192</t>
  </si>
  <si>
    <t>09463415000176</t>
  </si>
  <si>
    <t>09552416000278</t>
  </si>
  <si>
    <t>10145570000123</t>
  </si>
  <si>
    <t>11283047000126</t>
  </si>
  <si>
    <t>11703603000176</t>
  </si>
  <si>
    <t>11714730000170</t>
  </si>
  <si>
    <t>12020459000136</t>
  </si>
  <si>
    <t>12215510000165</t>
  </si>
  <si>
    <t>13346194000123</t>
  </si>
  <si>
    <t>14124539000167</t>
  </si>
  <si>
    <t>14160945000185</t>
  </si>
  <si>
    <t>14230088000142</t>
  </si>
  <si>
    <t>14265478000158</t>
  </si>
  <si>
    <t>14276271000189</t>
  </si>
  <si>
    <t>15212738000190</t>
  </si>
  <si>
    <t>15555400000130</t>
  </si>
  <si>
    <t>18487699000121</t>
  </si>
  <si>
    <t>18527827000113</t>
  </si>
  <si>
    <t>19931383000140</t>
  </si>
  <si>
    <t>23157445000185</t>
  </si>
  <si>
    <t>20593387000144</t>
  </si>
  <si>
    <t>25071464000110</t>
  </si>
  <si>
    <t>26789879000196</t>
  </si>
  <si>
    <t>28020866000183</t>
  </si>
  <si>
    <t>70055314000177</t>
  </si>
  <si>
    <t>00722899000156</t>
  </si>
  <si>
    <t>01119271000123</t>
  </si>
  <si>
    <t>02840152000128</t>
  </si>
  <si>
    <t>03413579000102</t>
  </si>
  <si>
    <t>03983700000131</t>
  </si>
  <si>
    <t>04407264000115</t>
  </si>
  <si>
    <t>04518422000295</t>
  </si>
  <si>
    <t>05157097000164</t>
  </si>
  <si>
    <t>RR</t>
  </si>
  <si>
    <t>07501954000127</t>
  </si>
  <si>
    <t>09148380000180</t>
  </si>
  <si>
    <t>10328488000134</t>
  </si>
  <si>
    <t>11007729000106</t>
  </si>
  <si>
    <t>11114064000130</t>
  </si>
  <si>
    <t>11380245000108</t>
  </si>
  <si>
    <t>12521906000130</t>
  </si>
  <si>
    <t>18617358000123</t>
  </si>
  <si>
    <t>19909363000172</t>
  </si>
  <si>
    <t>20079465000197</t>
  </si>
  <si>
    <t>20354308000142</t>
  </si>
  <si>
    <t>27069021000110</t>
  </si>
  <si>
    <t>27829371000137</t>
  </si>
  <si>
    <t>22658303000139</t>
  </si>
  <si>
    <t>04743066000122</t>
  </si>
  <si>
    <t>08781983000152</t>
  </si>
  <si>
    <t>08995320000130</t>
  </si>
  <si>
    <t>80349509000183</t>
  </si>
  <si>
    <t>28986575000144</t>
  </si>
  <si>
    <t>08081037000101</t>
  </si>
  <si>
    <t>68220508000139</t>
  </si>
  <si>
    <t>15574527000105</t>
  </si>
  <si>
    <t>29402576000167</t>
  </si>
  <si>
    <t>04477260000103</t>
  </si>
  <si>
    <t>03784663000132</t>
  </si>
  <si>
    <t>02811759000180</t>
  </si>
  <si>
    <t>13026300000191</t>
  </si>
  <si>
    <t>28890873000136</t>
  </si>
  <si>
    <t>21591527000108</t>
  </si>
  <si>
    <t>53093076000175</t>
  </si>
  <si>
    <t>04436502000110</t>
  </si>
  <si>
    <t>03908904000108</t>
  </si>
  <si>
    <t>21078174000147</t>
  </si>
  <si>
    <t>09512388000184</t>
  </si>
  <si>
    <t>18506584000137</t>
  </si>
  <si>
    <t>03197942000108</t>
  </si>
  <si>
    <t>05802380000100</t>
  </si>
  <si>
    <t>08359038000167</t>
  </si>
  <si>
    <t>01340237000184</t>
  </si>
  <si>
    <t>19113792000139</t>
  </si>
  <si>
    <t>39797782000177</t>
  </si>
  <si>
    <t>27916913000109</t>
  </si>
  <si>
    <t>09208561000155</t>
  </si>
  <si>
    <t>28017300000100</t>
  </si>
  <si>
    <t>14841568000140</t>
  </si>
  <si>
    <t>74298969000127</t>
  </si>
  <si>
    <t>17944006000110</t>
  </si>
  <si>
    <t>10344553000115</t>
  </si>
  <si>
    <t>09070403000181</t>
  </si>
  <si>
    <t>08060658000109</t>
  </si>
  <si>
    <t>24149529000130</t>
  </si>
  <si>
    <t>10340331000124</t>
  </si>
  <si>
    <t>28449419000144</t>
  </si>
  <si>
    <t>02074371000143</t>
  </si>
  <si>
    <t>86624269000164</t>
  </si>
  <si>
    <t>64459811000138</t>
  </si>
  <si>
    <t>77608966000130</t>
  </si>
  <si>
    <t>08463794000131</t>
  </si>
  <si>
    <t>12226567000160</t>
  </si>
  <si>
    <t>14725209000127</t>
  </si>
  <si>
    <t>94027273000173</t>
  </si>
  <si>
    <t>10385073000100</t>
  </si>
  <si>
    <t>00834048000103</t>
  </si>
  <si>
    <t>12024972000103</t>
  </si>
  <si>
    <t>06113422000150</t>
  </si>
  <si>
    <t>13179546000101</t>
  </si>
  <si>
    <t>19678675000112</t>
  </si>
  <si>
    <t>48474845000145</t>
  </si>
  <si>
    <t>74480526000152</t>
  </si>
  <si>
    <t>00813978000172</t>
  </si>
  <si>
    <t>08476176000126</t>
  </si>
  <si>
    <t>20963404000198</t>
  </si>
  <si>
    <t>24553063000133</t>
  </si>
  <si>
    <t>29813300000171</t>
  </si>
  <si>
    <t>45574464000140</t>
  </si>
  <si>
    <t>54492004000163</t>
  </si>
  <si>
    <t>14071809000119</t>
  </si>
  <si>
    <t>16927259000112</t>
  </si>
  <si>
    <t>27175259000120</t>
  </si>
  <si>
    <t>02986249000143</t>
  </si>
  <si>
    <t>04973770000171</t>
  </si>
  <si>
    <t>05627892000179</t>
  </si>
  <si>
    <t>07945316000103</t>
  </si>
  <si>
    <t>09456364000155</t>
  </si>
  <si>
    <t>19030799000197</t>
  </si>
  <si>
    <t>68275528000107</t>
  </si>
  <si>
    <t>73339137000149</t>
  </si>
  <si>
    <t>07411389000107</t>
  </si>
  <si>
    <t>02561494000109</t>
  </si>
  <si>
    <t>03020927000181</t>
  </si>
  <si>
    <t>07227380000140</t>
  </si>
  <si>
    <t>08963152000100</t>
  </si>
  <si>
    <t>10174169000111</t>
  </si>
  <si>
    <t>12640022000103</t>
  </si>
  <si>
    <t>14159286000167</t>
  </si>
  <si>
    <t>18300852000160</t>
  </si>
  <si>
    <t>20146529000125</t>
  </si>
  <si>
    <t>86578259000130</t>
  </si>
  <si>
    <t>02556350000164</t>
  </si>
  <si>
    <t>02733106000120</t>
  </si>
  <si>
    <t>03323902000157</t>
  </si>
  <si>
    <t>04669377000199</t>
  </si>
  <si>
    <t>05593492000190</t>
  </si>
  <si>
    <t>07024971000110</t>
  </si>
  <si>
    <t>08474449000284</t>
  </si>
  <si>
    <t>09510717000158</t>
  </si>
  <si>
    <t>10749130000185</t>
  </si>
  <si>
    <t>15488333000189</t>
  </si>
  <si>
    <t>18086389000103</t>
  </si>
  <si>
    <t>20803877000128</t>
  </si>
  <si>
    <t>25666751000172</t>
  </si>
  <si>
    <t>02446925000196</t>
  </si>
  <si>
    <t>05773385000143</t>
  </si>
  <si>
    <t>33215476000107</t>
  </si>
  <si>
    <t>86504859000153</t>
  </si>
  <si>
    <t>21652815000125</t>
  </si>
  <si>
    <t>09491854000192</t>
  </si>
  <si>
    <t>10291984000160</t>
  </si>
  <si>
    <t>13407864000174</t>
  </si>
  <si>
    <t>11009167000130</t>
  </si>
  <si>
    <t>05574726000151</t>
  </si>
  <si>
    <t>83537324000190</t>
  </si>
  <si>
    <t>00557671000158</t>
  </si>
  <si>
    <t>12556222000174</t>
  </si>
  <si>
    <t>18686537000112</t>
  </si>
  <si>
    <t>23047476000183</t>
  </si>
  <si>
    <t>02701676000138</t>
  </si>
  <si>
    <t>22341640000106</t>
  </si>
  <si>
    <t>22992730000159</t>
  </si>
  <si>
    <t>26399801000165</t>
  </si>
  <si>
    <t>04054504000145</t>
  </si>
  <si>
    <t>FERNANDO/F</t>
  </si>
  <si>
    <t>ELTON/JESU</t>
  </si>
  <si>
    <t>DEMETRIUS</t>
  </si>
  <si>
    <t>NIKOLAS/NI</t>
  </si>
  <si>
    <t>12260248000170</t>
  </si>
  <si>
    <t>46719415000110</t>
  </si>
  <si>
    <t>06246190000108</t>
  </si>
  <si>
    <t>29206464000130</t>
  </si>
  <si>
    <t>01707487000100</t>
  </si>
  <si>
    <t>06292036000172</t>
  </si>
  <si>
    <t>18255576000165</t>
  </si>
  <si>
    <t>27154574000170</t>
  </si>
  <si>
    <t>03016645000100</t>
  </si>
  <si>
    <t>27640157000138</t>
  </si>
  <si>
    <t>11028408000198</t>
  </si>
  <si>
    <t>26870737000159</t>
  </si>
  <si>
    <t>Total 2018</t>
  </si>
  <si>
    <t>Nome Cliente</t>
  </si>
  <si>
    <t>09350161000180</t>
  </si>
  <si>
    <t>14477293000107</t>
  </si>
  <si>
    <t>Segmento</t>
  </si>
  <si>
    <t>Status</t>
  </si>
  <si>
    <t>GAP R$</t>
  </si>
  <si>
    <t>Quadro Resumo</t>
  </si>
  <si>
    <t>Esc</t>
  </si>
  <si>
    <t>Sem Compra</t>
  </si>
  <si>
    <t>SSS Negativo</t>
  </si>
  <si>
    <t>SSS Positivo</t>
  </si>
  <si>
    <t>Novo</t>
  </si>
  <si>
    <t>12102628000187</t>
  </si>
  <si>
    <t>09635464000149</t>
  </si>
  <si>
    <t>11845706000170</t>
  </si>
  <si>
    <t>04874849000145</t>
  </si>
  <si>
    <t>29120361000234</t>
  </si>
  <si>
    <t>24283829000107</t>
  </si>
  <si>
    <t>48095038000200</t>
  </si>
  <si>
    <t>10645283000182</t>
  </si>
  <si>
    <t>14341644000158</t>
  </si>
  <si>
    <t>04082624000156</t>
  </si>
  <si>
    <t>03788488000151</t>
  </si>
  <si>
    <t>11221150000141</t>
  </si>
  <si>
    <t>04690306000178</t>
  </si>
  <si>
    <t>19738204000152</t>
  </si>
  <si>
    <t>28705064000107</t>
  </si>
  <si>
    <t>bloqueio</t>
  </si>
  <si>
    <t>OK</t>
  </si>
  <si>
    <t>motivo não compra</t>
  </si>
  <si>
    <t/>
  </si>
  <si>
    <t>15713486000182</t>
  </si>
  <si>
    <t>29443484000125</t>
  </si>
  <si>
    <t>19904660000125</t>
  </si>
  <si>
    <t>13975527000183</t>
  </si>
  <si>
    <t>20799351000111</t>
  </si>
  <si>
    <t>72873532000144</t>
  </si>
  <si>
    <t>08713667000305</t>
  </si>
  <si>
    <t>00769984000170</t>
  </si>
  <si>
    <t>16383642000157</t>
  </si>
  <si>
    <t>19156825000128</t>
  </si>
  <si>
    <t>29951144000105</t>
  </si>
  <si>
    <t>14347059000246</t>
  </si>
  <si>
    <t>00558322000150</t>
  </si>
  <si>
    <t>13881417000152</t>
  </si>
  <si>
    <t>29370523000101</t>
  </si>
  <si>
    <t>23440296000167</t>
  </si>
  <si>
    <t>28644057000142</t>
  </si>
  <si>
    <t>29426112000190</t>
  </si>
  <si>
    <t>11827491000165</t>
  </si>
  <si>
    <t>29791666000197</t>
  </si>
  <si>
    <t>201805</t>
  </si>
  <si>
    <t>201806</t>
  </si>
  <si>
    <t>29310969000140</t>
  </si>
  <si>
    <t>22647722000175</t>
  </si>
  <si>
    <t>Supervisor</t>
  </si>
  <si>
    <t>-</t>
  </si>
  <si>
    <t>DANIEL DONEGA</t>
  </si>
  <si>
    <t>RICARDO REMIGIO SANTOS NASCIMENTO</t>
  </si>
  <si>
    <t>17569038000182</t>
  </si>
  <si>
    <t>06011655000141</t>
  </si>
  <si>
    <t>19233275000101</t>
  </si>
  <si>
    <t>26362446000150</t>
  </si>
  <si>
    <t>29407573000116</t>
  </si>
  <si>
    <t>18836009000100</t>
  </si>
  <si>
    <t>27365338000101</t>
  </si>
  <si>
    <t>11594134000102</t>
  </si>
  <si>
    <t>201906</t>
  </si>
  <si>
    <t>201905</t>
  </si>
  <si>
    <t>Total 2019</t>
  </si>
  <si>
    <t>04641125000151</t>
  </si>
  <si>
    <t>22298157000188</t>
  </si>
  <si>
    <t>16528493000177</t>
  </si>
  <si>
    <t>06005882000164</t>
  </si>
  <si>
    <t>00533742000182</t>
  </si>
  <si>
    <t>201807</t>
  </si>
  <si>
    <t>22753781000128</t>
  </si>
  <si>
    <t>KEICY/RAIA</t>
  </si>
  <si>
    <t>ANA BEATRIZ DE OLIVEIRA ATALA</t>
  </si>
  <si>
    <t>31463372000188</t>
  </si>
  <si>
    <t>MARCIA/SIM</t>
  </si>
  <si>
    <t>00021784000134</t>
  </si>
  <si>
    <t>15828063000108</t>
  </si>
  <si>
    <t>RAUL/R</t>
  </si>
  <si>
    <t>00059757000150</t>
  </si>
  <si>
    <t>20153650000184</t>
  </si>
  <si>
    <t>MONICA /SP</t>
  </si>
  <si>
    <t>MARCOS FOGACA PIRES</t>
  </si>
  <si>
    <t>00108592000160</t>
  </si>
  <si>
    <t>21442537000181</t>
  </si>
  <si>
    <t>MARCELO/AL</t>
  </si>
  <si>
    <t>18674900000180</t>
  </si>
  <si>
    <t>PABLO/DR</t>
  </si>
  <si>
    <t>MARIANA CAVALCANTI LANZA</t>
  </si>
  <si>
    <t>12112542000135</t>
  </si>
  <si>
    <t>RAFAEL/MAC</t>
  </si>
  <si>
    <t>28325938000109</t>
  </si>
  <si>
    <t>ALEXANDRA/</t>
  </si>
  <si>
    <t>00592410000179</t>
  </si>
  <si>
    <t>24386947000140</t>
  </si>
  <si>
    <t>JOCEANNA/M</t>
  </si>
  <si>
    <t>00931228000103</t>
  </si>
  <si>
    <t>27251674000115</t>
  </si>
  <si>
    <t>CRISTINA/S</t>
  </si>
  <si>
    <t>01041280000149</t>
  </si>
  <si>
    <t>26420693000165</t>
  </si>
  <si>
    <t>FRANCINE/I</t>
  </si>
  <si>
    <t>01050775000134</t>
  </si>
  <si>
    <t>05630372000115</t>
  </si>
  <si>
    <t>CLOSER/LUC</t>
  </si>
  <si>
    <t>01146835000117</t>
  </si>
  <si>
    <t>01186730000191</t>
  </si>
  <si>
    <t>26769985000108</t>
  </si>
  <si>
    <t>FABIO ROCH</t>
  </si>
  <si>
    <t>19428405000153</t>
  </si>
  <si>
    <t>PAULO/ ETH</t>
  </si>
  <si>
    <t>85482891000112</t>
  </si>
  <si>
    <t>JUNIOR/JUN</t>
  </si>
  <si>
    <t>17325605000155</t>
  </si>
  <si>
    <t>MARCELO/ME</t>
  </si>
  <si>
    <t>01802063000124</t>
  </si>
  <si>
    <t>01806201000143</t>
  </si>
  <si>
    <t>30916599000179</t>
  </si>
  <si>
    <t>ELBA/LUCIJ</t>
  </si>
  <si>
    <t>20381799000110</t>
  </si>
  <si>
    <t>ERICA/ERIC</t>
  </si>
  <si>
    <t>01963850000158</t>
  </si>
  <si>
    <t>19463621000130</t>
  </si>
  <si>
    <t>FABIANO/ F</t>
  </si>
  <si>
    <t>02078540000113</t>
  </si>
  <si>
    <t>02137739000175</t>
  </si>
  <si>
    <t>MARCELO/JM</t>
  </si>
  <si>
    <t>02078892000179</t>
  </si>
  <si>
    <t>02262488000150</t>
  </si>
  <si>
    <t>05051175000141</t>
  </si>
  <si>
    <t>FELIPP/MOR</t>
  </si>
  <si>
    <t>02413916000107</t>
  </si>
  <si>
    <t>02535538000126</t>
  </si>
  <si>
    <t>17659927000130</t>
  </si>
  <si>
    <t>MAURICIO/M</t>
  </si>
  <si>
    <t>17212933000145</t>
  </si>
  <si>
    <t>ELDER/TAVA</t>
  </si>
  <si>
    <t>02928601000194</t>
  </si>
  <si>
    <t>03005659000390</t>
  </si>
  <si>
    <t>03044360000183</t>
  </si>
  <si>
    <t>03045163000189</t>
  </si>
  <si>
    <t>03052952000147</t>
  </si>
  <si>
    <t>03067979000103</t>
  </si>
  <si>
    <t>03447528000100</t>
  </si>
  <si>
    <t>03693624000120</t>
  </si>
  <si>
    <t>13642775000102</t>
  </si>
  <si>
    <t>03963123000116</t>
  </si>
  <si>
    <t>20072003000148</t>
  </si>
  <si>
    <t>BERNARDO/R</t>
  </si>
  <si>
    <t>04042051000137</t>
  </si>
  <si>
    <t>04048017000170</t>
  </si>
  <si>
    <t>04063199000158</t>
  </si>
  <si>
    <t>19376432000120</t>
  </si>
  <si>
    <t>LOILDO / C</t>
  </si>
  <si>
    <t>MARCUS YAMAMOTO -FICTICIO</t>
  </si>
  <si>
    <t>04153750000154</t>
  </si>
  <si>
    <t>04374573000136</t>
  </si>
  <si>
    <t>04380624000132</t>
  </si>
  <si>
    <t>08117744000100</t>
  </si>
  <si>
    <t>MEIRE/M &amp;</t>
  </si>
  <si>
    <t>04532349000125</t>
  </si>
  <si>
    <t>15703997000113</t>
  </si>
  <si>
    <t>FABRICIO/C</t>
  </si>
  <si>
    <t>04649702000151</t>
  </si>
  <si>
    <t>04671670000190</t>
  </si>
  <si>
    <t>04769383000118</t>
  </si>
  <si>
    <t>04969405000193</t>
  </si>
  <si>
    <t>12565866000129</t>
  </si>
  <si>
    <t>JULIANA/VI</t>
  </si>
  <si>
    <t>05083942000102</t>
  </si>
  <si>
    <t>05102608000140</t>
  </si>
  <si>
    <t>05147143000144</t>
  </si>
  <si>
    <t>05784017000109</t>
  </si>
  <si>
    <t>05856070000160</t>
  </si>
  <si>
    <t>05993193000142</t>
  </si>
  <si>
    <t>06018038000178</t>
  </si>
  <si>
    <t>06063316000109</t>
  </si>
  <si>
    <t>06208640000178</t>
  </si>
  <si>
    <t>06208640000259</t>
  </si>
  <si>
    <t>06954451000144</t>
  </si>
  <si>
    <t>07022526000111</t>
  </si>
  <si>
    <t>07149576000164</t>
  </si>
  <si>
    <t>07158394000150</t>
  </si>
  <si>
    <t>07158394000230</t>
  </si>
  <si>
    <t>07332098000123</t>
  </si>
  <si>
    <t>07390824000164</t>
  </si>
  <si>
    <t>07452636000113</t>
  </si>
  <si>
    <t>07456164000177</t>
  </si>
  <si>
    <t>07558211000193</t>
  </si>
  <si>
    <t>07624677000140</t>
  </si>
  <si>
    <t>08106897000144</t>
  </si>
  <si>
    <t>08252988000198</t>
  </si>
  <si>
    <t>08538760000169</t>
  </si>
  <si>
    <t>13052375000147</t>
  </si>
  <si>
    <t>SIZENEY/SI</t>
  </si>
  <si>
    <t>08649194000162</t>
  </si>
  <si>
    <t>08714265000163</t>
  </si>
  <si>
    <t>08796182000160</t>
  </si>
  <si>
    <t>08953015000186</t>
  </si>
  <si>
    <t>07520359000139</t>
  </si>
  <si>
    <t>FERNANDO/J</t>
  </si>
  <si>
    <t>17442841000151</t>
  </si>
  <si>
    <t>JOSE/JLR.</t>
  </si>
  <si>
    <t>09423598000104</t>
  </si>
  <si>
    <t>09544871000140</t>
  </si>
  <si>
    <t>10198533000183</t>
  </si>
  <si>
    <t>10295701000159</t>
  </si>
  <si>
    <t>10640601000112</t>
  </si>
  <si>
    <t>10763917000100</t>
  </si>
  <si>
    <t>10962508000124</t>
  </si>
  <si>
    <t>11025964000100</t>
  </si>
  <si>
    <t>11060998000136</t>
  </si>
  <si>
    <t>11166131000160</t>
  </si>
  <si>
    <t>11608112000146</t>
  </si>
  <si>
    <t>11694872000113</t>
  </si>
  <si>
    <t>11881128000128</t>
  </si>
  <si>
    <t>11898895000140</t>
  </si>
  <si>
    <t>11902737000116</t>
  </si>
  <si>
    <t>11958768000199</t>
  </si>
  <si>
    <t>12044925000113</t>
  </si>
  <si>
    <t>12246761000107</t>
  </si>
  <si>
    <t>12269219000170</t>
  </si>
  <si>
    <t>12370667000165</t>
  </si>
  <si>
    <t>12454421000171</t>
  </si>
  <si>
    <t>12545378000150</t>
  </si>
  <si>
    <t>12797366000112</t>
  </si>
  <si>
    <t>12991988000187</t>
  </si>
  <si>
    <t>12991988000268</t>
  </si>
  <si>
    <t>13134543000143</t>
  </si>
  <si>
    <t>13467176000108</t>
  </si>
  <si>
    <t>13677834000188</t>
  </si>
  <si>
    <t>13786053000121</t>
  </si>
  <si>
    <t>13813287000110</t>
  </si>
  <si>
    <t>13880394000161</t>
  </si>
  <si>
    <t>13924414000159</t>
  </si>
  <si>
    <t>14059692000239</t>
  </si>
  <si>
    <t>14582475000148</t>
  </si>
  <si>
    <t>14680942000172</t>
  </si>
  <si>
    <t>15082295000160</t>
  </si>
  <si>
    <t>15226473000189</t>
  </si>
  <si>
    <t>15242450000168</t>
  </si>
  <si>
    <t>15270774000100</t>
  </si>
  <si>
    <t>15282797000134</t>
  </si>
  <si>
    <t>15510625000170</t>
  </si>
  <si>
    <t>15830235000188</t>
  </si>
  <si>
    <t>15839884000140</t>
  </si>
  <si>
    <t>15970908000103</t>
  </si>
  <si>
    <t>16752730000189</t>
  </si>
  <si>
    <t>16792542000265</t>
  </si>
  <si>
    <t>16794263000150</t>
  </si>
  <si>
    <t>17409601000155</t>
  </si>
  <si>
    <t>17608398000146</t>
  </si>
  <si>
    <t>17622476000167</t>
  </si>
  <si>
    <t>17695848000185</t>
  </si>
  <si>
    <t>17737643000115</t>
  </si>
  <si>
    <t>17767131000100</t>
  </si>
  <si>
    <t>18149052000190</t>
  </si>
  <si>
    <t>18208970000142</t>
  </si>
  <si>
    <t>18221728000109</t>
  </si>
  <si>
    <t>18596467000101</t>
  </si>
  <si>
    <t>18671049000131</t>
  </si>
  <si>
    <t>18715784000108</t>
  </si>
  <si>
    <t>18756513000192</t>
  </si>
  <si>
    <t>18805136000134</t>
  </si>
  <si>
    <t>18825673000146</t>
  </si>
  <si>
    <t>18958654000198</t>
  </si>
  <si>
    <t>19156321000108</t>
  </si>
  <si>
    <t>19323189000181</t>
  </si>
  <si>
    <t>19534953000168</t>
  </si>
  <si>
    <t>19618583000147</t>
  </si>
  <si>
    <t>19630845000270</t>
  </si>
  <si>
    <t>19849243000127</t>
  </si>
  <si>
    <t>20372716000127</t>
  </si>
  <si>
    <t>20481664000127</t>
  </si>
  <si>
    <t>21018157000114</t>
  </si>
  <si>
    <t>21170015000178</t>
  </si>
  <si>
    <t>21207223000102</t>
  </si>
  <si>
    <t>21214144000110</t>
  </si>
  <si>
    <t>21702393000155</t>
  </si>
  <si>
    <t>21941758000102</t>
  </si>
  <si>
    <t>22835447000113</t>
  </si>
  <si>
    <t>22924357000107</t>
  </si>
  <si>
    <t>22982885000104</t>
  </si>
  <si>
    <t>23599394000141</t>
  </si>
  <si>
    <t>23937643000161</t>
  </si>
  <si>
    <t>23951948000128</t>
  </si>
  <si>
    <t>24047867000160</t>
  </si>
  <si>
    <t>24079419000149</t>
  </si>
  <si>
    <t>24373605000196</t>
  </si>
  <si>
    <t>24564944000150</t>
  </si>
  <si>
    <t>24879880000186</t>
  </si>
  <si>
    <t>25142019000101</t>
  </si>
  <si>
    <t>25187583000132</t>
  </si>
  <si>
    <t>25243984000162</t>
  </si>
  <si>
    <t>25250328000197</t>
  </si>
  <si>
    <t>25891987000102</t>
  </si>
  <si>
    <t>26306633000116</t>
  </si>
  <si>
    <t>26599275000187</t>
  </si>
  <si>
    <t>26925103000156</t>
  </si>
  <si>
    <t>26929217000174</t>
  </si>
  <si>
    <t>27125238000108</t>
  </si>
  <si>
    <t>27668503000196</t>
  </si>
  <si>
    <t>27716154000130</t>
  </si>
  <si>
    <t>27872260000103</t>
  </si>
  <si>
    <t>27975972000158</t>
  </si>
  <si>
    <t>27987067000118</t>
  </si>
  <si>
    <t>28038303000112</t>
  </si>
  <si>
    <t>28425082000135</t>
  </si>
  <si>
    <t>28438090000116</t>
  </si>
  <si>
    <t>28473831000108</t>
  </si>
  <si>
    <t>34745422000108</t>
  </si>
  <si>
    <t>38699542000177</t>
  </si>
  <si>
    <t>43270628000110</t>
  </si>
  <si>
    <t>46296141000102</t>
  </si>
  <si>
    <t>48524649000138</t>
  </si>
  <si>
    <t>48687875000130</t>
  </si>
  <si>
    <t>48948277000177</t>
  </si>
  <si>
    <t>49885650000150</t>
  </si>
  <si>
    <t>56616006000142</t>
  </si>
  <si>
    <t>59724104000191</t>
  </si>
  <si>
    <t>62969001000104</t>
  </si>
  <si>
    <t>63902878000132</t>
  </si>
  <si>
    <t>63961767000105</t>
  </si>
  <si>
    <t>63983670000195</t>
  </si>
  <si>
    <t>64334048000119</t>
  </si>
  <si>
    <t>65938581000152</t>
  </si>
  <si>
    <t>67689273000166</t>
  </si>
  <si>
    <t>83286435000171</t>
  </si>
  <si>
    <t>86546967000199</t>
  </si>
  <si>
    <t>86624731000123</t>
  </si>
  <si>
    <t>91589507000269</t>
  </si>
  <si>
    <t>93903284000107</t>
  </si>
  <si>
    <t>08414681000146</t>
  </si>
  <si>
    <t>24738417000114</t>
  </si>
  <si>
    <t>21148802000113</t>
  </si>
  <si>
    <t>07710689000197</t>
  </si>
  <si>
    <t>10707746000193</t>
  </si>
  <si>
    <t>36428027000127</t>
  </si>
  <si>
    <t>07366528000128</t>
  </si>
  <si>
    <t>14188695000191</t>
  </si>
  <si>
    <t>04329052000167</t>
  </si>
  <si>
    <t>21103112000148</t>
  </si>
  <si>
    <t>21688206000126</t>
  </si>
  <si>
    <t>04333998000105</t>
  </si>
  <si>
    <t>77013324000199</t>
  </si>
  <si>
    <t>14318770000191</t>
  </si>
  <si>
    <t>27285411000127</t>
  </si>
  <si>
    <t>67207613000175</t>
  </si>
  <si>
    <t>95190260000183</t>
  </si>
  <si>
    <t>10918287000197</t>
  </si>
  <si>
    <t>73231235000168</t>
  </si>
  <si>
    <t>97392450000109</t>
  </si>
  <si>
    <t>17686044000110</t>
  </si>
  <si>
    <t>21170045000184</t>
  </si>
  <si>
    <t>04089185000103</t>
  </si>
  <si>
    <t>21798007000170</t>
  </si>
  <si>
    <t>23405773000153</t>
  </si>
  <si>
    <t>27675340000179</t>
  </si>
  <si>
    <t>00275689000329</t>
  </si>
  <si>
    <t>00395302000106</t>
  </si>
  <si>
    <t>00602637000158</t>
  </si>
  <si>
    <t>00605533000105</t>
  </si>
  <si>
    <t>02420804000175</t>
  </si>
  <si>
    <t>03708109000176</t>
  </si>
  <si>
    <t>04602591000128</t>
  </si>
  <si>
    <t>06540897000122</t>
  </si>
  <si>
    <t>07005836000390</t>
  </si>
  <si>
    <t>07206340000112</t>
  </si>
  <si>
    <t>07832118000125</t>
  </si>
  <si>
    <t>08226157000222</t>
  </si>
  <si>
    <t>08308626000171</t>
  </si>
  <si>
    <t>08415856000130</t>
  </si>
  <si>
    <t>08483462000119</t>
  </si>
  <si>
    <t>08709414000104</t>
  </si>
  <si>
    <t>08720299000160</t>
  </si>
  <si>
    <t>09199249000142</t>
  </si>
  <si>
    <t>10958583000111</t>
  </si>
  <si>
    <t>10987846000110</t>
  </si>
  <si>
    <t>11134955000158</t>
  </si>
  <si>
    <t>11219025000105</t>
  </si>
  <si>
    <t>11727228000102</t>
  </si>
  <si>
    <t>11812176000164</t>
  </si>
  <si>
    <t>12229075000128</t>
  </si>
  <si>
    <t>14162988000108</t>
  </si>
  <si>
    <t>14604503000180</t>
  </si>
  <si>
    <t>15303313000196</t>
  </si>
  <si>
    <t>15316181000137</t>
  </si>
  <si>
    <t>15394370000128</t>
  </si>
  <si>
    <t>17166677000105</t>
  </si>
  <si>
    <t>19073425000159</t>
  </si>
  <si>
    <t>20639509000196</t>
  </si>
  <si>
    <t>20792122000175</t>
  </si>
  <si>
    <t>20977065000107</t>
  </si>
  <si>
    <t>21032978000105</t>
  </si>
  <si>
    <t>22377191000148</t>
  </si>
  <si>
    <t>23097360000159</t>
  </si>
  <si>
    <t>23245161000140</t>
  </si>
  <si>
    <t>23842353000134</t>
  </si>
  <si>
    <t>24212055000123</t>
  </si>
  <si>
    <t>24715482000124</t>
  </si>
  <si>
    <t>24740796000187</t>
  </si>
  <si>
    <t>25084216000103</t>
  </si>
  <si>
    <t>26155756000101</t>
  </si>
  <si>
    <t>26298766000198</t>
  </si>
  <si>
    <t>27957720000104</t>
  </si>
  <si>
    <t>28855979000107</t>
  </si>
  <si>
    <t>29028367000103</t>
  </si>
  <si>
    <t>64377617000103</t>
  </si>
  <si>
    <t>66757733000183</t>
  </si>
  <si>
    <t>68347624000113</t>
  </si>
  <si>
    <t>83138651000170</t>
  </si>
  <si>
    <t>92366319000153</t>
  </si>
  <si>
    <t>93891240000104</t>
  </si>
  <si>
    <t>93983666000198</t>
  </si>
  <si>
    <t>95261111000168</t>
  </si>
  <si>
    <t>95775151000128</t>
  </si>
  <si>
    <t>20273187000104</t>
  </si>
  <si>
    <t>08962518000118</t>
  </si>
  <si>
    <t>12583016000153</t>
  </si>
  <si>
    <t>20665674000112</t>
  </si>
  <si>
    <t>24584355000133</t>
  </si>
  <si>
    <t>26744767000119</t>
  </si>
  <si>
    <t>29749683000166</t>
  </si>
  <si>
    <t>14513785000100</t>
  </si>
  <si>
    <t>18582552000110</t>
  </si>
  <si>
    <t>26664579000180</t>
  </si>
  <si>
    <t>29202004000134</t>
  </si>
  <si>
    <t>29738204000106</t>
  </si>
  <si>
    <t>28520798000111</t>
  </si>
  <si>
    <t>44723542000168</t>
  </si>
  <si>
    <t>07602916000160</t>
  </si>
  <si>
    <t>26378977000130</t>
  </si>
  <si>
    <t>29154553000180</t>
  </si>
  <si>
    <t>24195780000130</t>
  </si>
  <si>
    <t>78811742000194</t>
  </si>
  <si>
    <t>04656592000236</t>
  </si>
  <si>
    <t>17206481000199</t>
  </si>
  <si>
    <t>13236001000181</t>
  </si>
  <si>
    <t>00204027000104</t>
  </si>
  <si>
    <t>02809204000101</t>
  </si>
  <si>
    <t>04993293000106</t>
  </si>
  <si>
    <t>05780863000142</t>
  </si>
  <si>
    <t>07881201000356</t>
  </si>
  <si>
    <t>09470777000194</t>
  </si>
  <si>
    <t>11985276000192</t>
  </si>
  <si>
    <t>16895371000119</t>
  </si>
  <si>
    <t>17155034000158</t>
  </si>
  <si>
    <t>17599669000144</t>
  </si>
  <si>
    <t>18274075000126</t>
  </si>
  <si>
    <t>19493990000175</t>
  </si>
  <si>
    <t>19568189000141</t>
  </si>
  <si>
    <t>20638066000119</t>
  </si>
  <si>
    <t>20813334000191</t>
  </si>
  <si>
    <t>21831068000192</t>
  </si>
  <si>
    <t>22572774000120</t>
  </si>
  <si>
    <t>22968298000160</t>
  </si>
  <si>
    <t>23566948000104</t>
  </si>
  <si>
    <t>24100490000166</t>
  </si>
  <si>
    <t>24445661000199</t>
  </si>
  <si>
    <t>25185900000181</t>
  </si>
  <si>
    <t>26700390000104</t>
  </si>
  <si>
    <t>26860028000192</t>
  </si>
  <si>
    <t>27984255000192</t>
  </si>
  <si>
    <t>29206705000141</t>
  </si>
  <si>
    <t>29217020000109</t>
  </si>
  <si>
    <t>29221676000197</t>
  </si>
  <si>
    <t>29556424000119</t>
  </si>
  <si>
    <t>29644009000117</t>
  </si>
  <si>
    <t>29667095000183</t>
  </si>
  <si>
    <t>38914271000125</t>
  </si>
  <si>
    <t>08878809000122</t>
  </si>
  <si>
    <t>14997891000107</t>
  </si>
  <si>
    <t>22324683000175</t>
  </si>
  <si>
    <t>39564828000108</t>
  </si>
  <si>
    <t>68347624000385</t>
  </si>
  <si>
    <t>04338951000126</t>
  </si>
  <si>
    <t>29264460000109</t>
  </si>
  <si>
    <t>96325642000130</t>
  </si>
  <si>
    <t>10995963000126</t>
  </si>
  <si>
    <t>04654868000166</t>
  </si>
  <si>
    <t>11859963000161</t>
  </si>
  <si>
    <t>14539189000108</t>
  </si>
  <si>
    <t>28971501000134</t>
  </si>
  <si>
    <t>85017572000136</t>
  </si>
  <si>
    <t>03898601000151</t>
  </si>
  <si>
    <t>26865948000101</t>
  </si>
  <si>
    <t>30431183000160</t>
  </si>
  <si>
    <t>77644771000146</t>
  </si>
  <si>
    <t>81163719000145</t>
  </si>
  <si>
    <t>05619544000150</t>
  </si>
  <si>
    <t>09517768000101</t>
  </si>
  <si>
    <t>28994555000115</t>
  </si>
  <si>
    <t>22915986000162</t>
  </si>
  <si>
    <t>23014076000171</t>
  </si>
  <si>
    <t>27752666000152</t>
  </si>
  <si>
    <t>27578925000170</t>
  </si>
  <si>
    <t>14306835000189</t>
  </si>
  <si>
    <t>22337321000119</t>
  </si>
  <si>
    <t>23416195000150</t>
  </si>
  <si>
    <t>12907662000129</t>
  </si>
  <si>
    <t>29124201000182</t>
  </si>
  <si>
    <t>13752221000168</t>
  </si>
  <si>
    <t>27025074000139</t>
  </si>
  <si>
    <t>19944984000197</t>
  </si>
  <si>
    <t>00060214000153</t>
  </si>
  <si>
    <t>14396434000167</t>
  </si>
  <si>
    <t>19853287000120</t>
  </si>
  <si>
    <t>08874481000176</t>
  </si>
  <si>
    <t>01651821000150</t>
  </si>
  <si>
    <t>02528728000116</t>
  </si>
  <si>
    <t>05661258000152</t>
  </si>
  <si>
    <t>07023388000195</t>
  </si>
  <si>
    <t>07386906000135</t>
  </si>
  <si>
    <t>07441608000109</t>
  </si>
  <si>
    <t>09009539000186</t>
  </si>
  <si>
    <t>11788526000102</t>
  </si>
  <si>
    <t>12848775000109</t>
  </si>
  <si>
    <t>14934272000173</t>
  </si>
  <si>
    <t>16485114000109</t>
  </si>
  <si>
    <t>16662475000183</t>
  </si>
  <si>
    <t>23201214000121</t>
  </si>
  <si>
    <t>64345994000160</t>
  </si>
  <si>
    <t>01265052000152</t>
  </si>
  <si>
    <t>01942382000135</t>
  </si>
  <si>
    <t>02910056000109</t>
  </si>
  <si>
    <t>05343936000139</t>
  </si>
  <si>
    <t>05442345000119</t>
  </si>
  <si>
    <t>06375736000120</t>
  </si>
  <si>
    <t>10743637000121</t>
  </si>
  <si>
    <t>10857334000130</t>
  </si>
  <si>
    <t>12641980000190</t>
  </si>
  <si>
    <t>14825042000176</t>
  </si>
  <si>
    <t>19703847000160</t>
  </si>
  <si>
    <t>20424782000101</t>
  </si>
  <si>
    <t>22233377000123</t>
  </si>
  <si>
    <t>22349421000165</t>
  </si>
  <si>
    <t>22868806000139</t>
  </si>
  <si>
    <t>24655886000170</t>
  </si>
  <si>
    <t>25192166000188</t>
  </si>
  <si>
    <t>25331431000161</t>
  </si>
  <si>
    <t>26974821000112</t>
  </si>
  <si>
    <t>27227751000100</t>
  </si>
  <si>
    <t>27719641000157</t>
  </si>
  <si>
    <t>28005793000150</t>
  </si>
  <si>
    <t>28336049000139</t>
  </si>
  <si>
    <t>28884459000114</t>
  </si>
  <si>
    <t>29732399000187</t>
  </si>
  <si>
    <t>30064167000187</t>
  </si>
  <si>
    <t>83065193000196</t>
  </si>
  <si>
    <t>27161426000183</t>
  </si>
  <si>
    <t>31857643000180</t>
  </si>
  <si>
    <t>28850292000170</t>
  </si>
  <si>
    <t>PAULO/ZND</t>
  </si>
  <si>
    <t>RAFAEL PIMENTEL F. IGREJAS LOPES</t>
  </si>
  <si>
    <t>10478917000150</t>
  </si>
  <si>
    <t>JEAN/JYYP</t>
  </si>
  <si>
    <t>01218394000111</t>
  </si>
  <si>
    <t>01384834000100</t>
  </si>
  <si>
    <t>02288956000166</t>
  </si>
  <si>
    <t>14898578000111</t>
  </si>
  <si>
    <t>ERONILSON/</t>
  </si>
  <si>
    <t>21140487000188</t>
  </si>
  <si>
    <t>IVAN/IVAN</t>
  </si>
  <si>
    <t>03069583000103</t>
  </si>
  <si>
    <t>18538491000194</t>
  </si>
  <si>
    <t>ISMAEL/MS</t>
  </si>
  <si>
    <t>04272392000107</t>
  </si>
  <si>
    <t>04847223000140</t>
  </si>
  <si>
    <t>05424234000180</t>
  </si>
  <si>
    <t>05973022000151</t>
  </si>
  <si>
    <t>16580515000148</t>
  </si>
  <si>
    <t>DANIELLE/A</t>
  </si>
  <si>
    <t>08150294000140</t>
  </si>
  <si>
    <t>08905656000165</t>
  </si>
  <si>
    <t>10261369000292</t>
  </si>
  <si>
    <t>11174035000163</t>
  </si>
  <si>
    <t>12570066000104</t>
  </si>
  <si>
    <t>13042729000172</t>
  </si>
  <si>
    <t>13615020000119</t>
  </si>
  <si>
    <t>14102109000144</t>
  </si>
  <si>
    <t>15077266000100</t>
  </si>
  <si>
    <t>15715461000118</t>
  </si>
  <si>
    <t>15780883000177</t>
  </si>
  <si>
    <t>19114124000126</t>
  </si>
  <si>
    <t>WILLIAN/MK</t>
  </si>
  <si>
    <t>17856205000176</t>
  </si>
  <si>
    <t>18951088000192</t>
  </si>
  <si>
    <t>19605282000189</t>
  </si>
  <si>
    <t>20750028000153</t>
  </si>
  <si>
    <t>28629847000159</t>
  </si>
  <si>
    <t>35581388000499</t>
  </si>
  <si>
    <t>41170697000126</t>
  </si>
  <si>
    <t>63840946000186</t>
  </si>
  <si>
    <t>00617998000178</t>
  </si>
  <si>
    <t>20119214000199</t>
  </si>
  <si>
    <t>27581201000186</t>
  </si>
  <si>
    <t>00841133000190</t>
  </si>
  <si>
    <t>07701498000169</t>
  </si>
  <si>
    <t>07750719000199</t>
  </si>
  <si>
    <t>13188362000108</t>
  </si>
  <si>
    <t>18151219000157</t>
  </si>
  <si>
    <t>18341277000143</t>
  </si>
  <si>
    <t>19255708000111</t>
  </si>
  <si>
    <t>28881638000106</t>
  </si>
  <si>
    <t>11594589000110</t>
  </si>
  <si>
    <t>02700571000164</t>
  </si>
  <si>
    <t>11372944000106</t>
  </si>
  <si>
    <t>70205729000180</t>
  </si>
  <si>
    <t>18732680000101</t>
  </si>
  <si>
    <t>04057560000133</t>
  </si>
  <si>
    <t>12169959000134</t>
  </si>
  <si>
    <t>24410771000115</t>
  </si>
  <si>
    <t>09552416000359</t>
  </si>
  <si>
    <t>02730817000140</t>
  </si>
  <si>
    <t>03146269000179</t>
  </si>
  <si>
    <t>07145653000108</t>
  </si>
  <si>
    <t>09209391000123</t>
  </si>
  <si>
    <t>22378831000134</t>
  </si>
  <si>
    <t>26621779000156</t>
  </si>
  <si>
    <t>26823067000110</t>
  </si>
  <si>
    <t>00304707000191</t>
  </si>
  <si>
    <t>21140120000164</t>
  </si>
  <si>
    <t>23960932000181</t>
  </si>
  <si>
    <t>24606296000157</t>
  </si>
  <si>
    <t>28308493000140</t>
  </si>
  <si>
    <t>17433896000103</t>
  </si>
  <si>
    <t>12056963000196</t>
  </si>
  <si>
    <t>29767853000135</t>
  </si>
  <si>
    <t>05235574000162</t>
  </si>
  <si>
    <t>18319438000100</t>
  </si>
  <si>
    <t>27281292000134</t>
  </si>
  <si>
    <t>00978629000100</t>
  </si>
  <si>
    <t>03380707000169</t>
  </si>
  <si>
    <t>04474775000150</t>
  </si>
  <si>
    <t>05338121000161</t>
  </si>
  <si>
    <t>AP</t>
  </si>
  <si>
    <t>08422431000158</t>
  </si>
  <si>
    <t>08920262000186</t>
  </si>
  <si>
    <t>11160326000100</t>
  </si>
  <si>
    <t>17600804000124</t>
  </si>
  <si>
    <t>19619338000154</t>
  </si>
  <si>
    <t>27069089000107</t>
  </si>
  <si>
    <t>28609459000106</t>
  </si>
  <si>
    <t>28655794000140</t>
  </si>
  <si>
    <t>28703162000105</t>
  </si>
  <si>
    <t>29990943000190</t>
  </si>
  <si>
    <t>30126814000138</t>
  </si>
  <si>
    <t>40976946000102</t>
  </si>
  <si>
    <t>15154507000177</t>
  </si>
  <si>
    <t>24725969000198</t>
  </si>
  <si>
    <t>30162752000110</t>
  </si>
  <si>
    <t>30286638000100</t>
  </si>
  <si>
    <t>30441201000195</t>
  </si>
  <si>
    <t>31358965000184</t>
  </si>
  <si>
    <t>27134244000113</t>
  </si>
  <si>
    <t>12669855000199</t>
  </si>
  <si>
    <t>11242699000112</t>
  </si>
  <si>
    <t>14061061000173</t>
  </si>
  <si>
    <t>24795574000161</t>
  </si>
  <si>
    <t>28225013000188</t>
  </si>
  <si>
    <t>30122203000111</t>
  </si>
  <si>
    <t>30455996000190</t>
  </si>
  <si>
    <t>31723746000157</t>
  </si>
  <si>
    <t>32507156000150</t>
  </si>
  <si>
    <t>20126845000135</t>
  </si>
  <si>
    <t>20704294000220</t>
  </si>
  <si>
    <t>07604227000195</t>
  </si>
  <si>
    <t>15589585000102</t>
  </si>
  <si>
    <t>30342637000127</t>
  </si>
  <si>
    <t>31370426000160</t>
  </si>
  <si>
    <t>17257908000188</t>
  </si>
  <si>
    <t>19446857000168</t>
  </si>
  <si>
    <t>12101577000179</t>
  </si>
  <si>
    <t>28137343000111</t>
  </si>
  <si>
    <t>29222195000104</t>
  </si>
  <si>
    <t>13701064000161</t>
  </si>
  <si>
    <t>16790522000174</t>
  </si>
  <si>
    <t>31667388000102</t>
  </si>
  <si>
    <t>32090947000127</t>
  </si>
  <si>
    <t>59379867000142</t>
  </si>
  <si>
    <t>61800025000164</t>
  </si>
  <si>
    <t>14488696000151</t>
  </si>
  <si>
    <t>30441978000150</t>
  </si>
  <si>
    <t>00562960000145</t>
  </si>
  <si>
    <t>05486176000119</t>
  </si>
  <si>
    <t>06962723000158</t>
  </si>
  <si>
    <t>23744050000189</t>
  </si>
  <si>
    <t>36011864000156</t>
  </si>
  <si>
    <t>14409901000146</t>
  </si>
  <si>
    <t>15311930000133</t>
  </si>
  <si>
    <t>29950333000163</t>
  </si>
  <si>
    <t>23946915000190</t>
  </si>
  <si>
    <t>AM</t>
  </si>
  <si>
    <t>27735615000112</t>
  </si>
  <si>
    <t>26121385000139</t>
  </si>
  <si>
    <t>00224943000106</t>
  </si>
  <si>
    <t>04335586000104</t>
  </si>
  <si>
    <t>05333207000100</t>
  </si>
  <si>
    <t>06176636000175</t>
  </si>
  <si>
    <t>10432784000180</t>
  </si>
  <si>
    <t>10843601000110</t>
  </si>
  <si>
    <t>11557050000190</t>
  </si>
  <si>
    <t>12271407000132</t>
  </si>
  <si>
    <t>13960975000103</t>
  </si>
  <si>
    <t>15422879000137</t>
  </si>
  <si>
    <t>19919303000130</t>
  </si>
  <si>
    <t>20018471000134</t>
  </si>
  <si>
    <t>23957369000192</t>
  </si>
  <si>
    <t>28272320000110</t>
  </si>
  <si>
    <t>30194562000184</t>
  </si>
  <si>
    <t>30731791000190</t>
  </si>
  <si>
    <t>30978599000101</t>
  </si>
  <si>
    <t>31057513000162</t>
  </si>
  <si>
    <t>31488852000101</t>
  </si>
  <si>
    <t>31498532000124</t>
  </si>
  <si>
    <t>31665320000194</t>
  </si>
  <si>
    <t>31679401000143</t>
  </si>
  <si>
    <t>31726801000162</t>
  </si>
  <si>
    <t>32137487000145</t>
  </si>
  <si>
    <t>32392249000186</t>
  </si>
  <si>
    <t>32440286000112</t>
  </si>
  <si>
    <t>32501403000100</t>
  </si>
  <si>
    <t>33070901000109</t>
  </si>
  <si>
    <t>30995868000130</t>
  </si>
  <si>
    <t>04914802000168</t>
  </si>
  <si>
    <t>14691774000110</t>
  </si>
  <si>
    <t>00516630000113</t>
  </si>
  <si>
    <t>08045035000159</t>
  </si>
  <si>
    <t>08683271000109</t>
  </si>
  <si>
    <t>26039742000114</t>
  </si>
  <si>
    <t>28449660000173</t>
  </si>
  <si>
    <t>28818570000102</t>
  </si>
  <si>
    <t>29735078000136</t>
  </si>
  <si>
    <t>31651605000176</t>
  </si>
  <si>
    <t>32429205000183</t>
  </si>
  <si>
    <t>32832873000157</t>
  </si>
  <si>
    <t>10709925000160</t>
  </si>
  <si>
    <t>23167514000131</t>
  </si>
  <si>
    <t>27450380000112</t>
  </si>
  <si>
    <t>UF</t>
  </si>
  <si>
    <t>09379727000104</t>
  </si>
  <si>
    <t>30221553000135</t>
  </si>
  <si>
    <t>29751396000190</t>
  </si>
  <si>
    <t>01238889000102</t>
  </si>
  <si>
    <t>02449441000109</t>
  </si>
  <si>
    <t>02580734000112</t>
  </si>
  <si>
    <t>04491401000142</t>
  </si>
  <si>
    <t>08977626000164</t>
  </si>
  <si>
    <t>09073521000143</t>
  </si>
  <si>
    <t>12518804000166</t>
  </si>
  <si>
    <t>25157805000174</t>
  </si>
  <si>
    <t>26885565000197</t>
  </si>
  <si>
    <t>29162349000101</t>
  </si>
  <si>
    <t>30024945000104</t>
  </si>
  <si>
    <t>31055589000159</t>
  </si>
  <si>
    <t>31324733000105</t>
  </si>
  <si>
    <t>31492136000190</t>
  </si>
  <si>
    <t>31982328000184</t>
  </si>
  <si>
    <t>32761437000134</t>
  </si>
  <si>
    <t>03126673000180</t>
  </si>
  <si>
    <t>33027595000128</t>
  </si>
  <si>
    <t>SP/MS e MT</t>
  </si>
  <si>
    <t>SUL</t>
  </si>
  <si>
    <t>REM</t>
  </si>
  <si>
    <t>Restante</t>
  </si>
  <si>
    <t>11651074000104</t>
  </si>
  <si>
    <t>21887421000156</t>
  </si>
  <si>
    <t>00000739000000</t>
  </si>
  <si>
    <t>VIA FABRIC</t>
  </si>
  <si>
    <t>04056436000153</t>
  </si>
  <si>
    <t>06146240000266</t>
  </si>
  <si>
    <t>17135058000145</t>
  </si>
  <si>
    <t>20019834000156</t>
  </si>
  <si>
    <t>24846900000112</t>
  </si>
  <si>
    <t>28553635000135</t>
  </si>
  <si>
    <t>00792004000150</t>
  </si>
  <si>
    <t>65134561000129</t>
  </si>
  <si>
    <t>28438657000154</t>
  </si>
  <si>
    <t>29605684000137</t>
  </si>
  <si>
    <t>29976700000106</t>
  </si>
  <si>
    <t>Meta</t>
  </si>
  <si>
    <t>19X18 ∆ %</t>
  </si>
  <si>
    <t>Atingimento meta</t>
  </si>
  <si>
    <t>19X18</t>
  </si>
  <si>
    <t xml:space="preserve">Atingimento </t>
  </si>
  <si>
    <t>*E-mail de backup em caso de erro no cadastro de representante</t>
  </si>
  <si>
    <t>danielosilva@hotmail.com.br</t>
  </si>
  <si>
    <t>Resumo de vendas por Representante</t>
  </si>
  <si>
    <t>Codigo</t>
  </si>
  <si>
    <t>Nome</t>
  </si>
  <si>
    <t>Nome final</t>
  </si>
  <si>
    <t>Vendedor 1</t>
  </si>
  <si>
    <t>Vendedor 2</t>
  </si>
  <si>
    <t>Vendedor 3</t>
  </si>
  <si>
    <t>Vendedor 4</t>
  </si>
  <si>
    <t>Vendedor 5</t>
  </si>
  <si>
    <t>Vendedor 6</t>
  </si>
  <si>
    <t>Vendedor 7</t>
  </si>
  <si>
    <t>Vendedor 8</t>
  </si>
  <si>
    <t>Vendedor 9</t>
  </si>
  <si>
    <t>Vendedor 10</t>
  </si>
  <si>
    <t>Vendedor 11</t>
  </si>
  <si>
    <t>Vendedor 12</t>
  </si>
  <si>
    <t>Vendedor 13</t>
  </si>
  <si>
    <t>Vendedor 14</t>
  </si>
  <si>
    <t>Vendedor 15</t>
  </si>
  <si>
    <t>Vendedor 16</t>
  </si>
  <si>
    <t>Vendedor 17</t>
  </si>
  <si>
    <t>Vendedor 18</t>
  </si>
  <si>
    <t>Vendedor 19</t>
  </si>
  <si>
    <t>Vendedor 20</t>
  </si>
  <si>
    <t>Vendedor 21</t>
  </si>
  <si>
    <t>Vendedor 22</t>
  </si>
  <si>
    <t>Vendedor 23</t>
  </si>
  <si>
    <t>Vendedor 24</t>
  </si>
  <si>
    <t>Vendedor 25</t>
  </si>
  <si>
    <t>Vendedor 26</t>
  </si>
  <si>
    <t>Vendedor 27</t>
  </si>
  <si>
    <t>Vendedor 28</t>
  </si>
  <si>
    <t>Vendedor 29</t>
  </si>
  <si>
    <t>Vendedor 30</t>
  </si>
  <si>
    <t>Vendedor 31</t>
  </si>
  <si>
    <t>Vendedor 32</t>
  </si>
  <si>
    <t>Vendedor 33</t>
  </si>
  <si>
    <t>Vendedor 34</t>
  </si>
  <si>
    <t>Vendedor 35</t>
  </si>
  <si>
    <t>Vendedor 36</t>
  </si>
  <si>
    <t>Vendedor 37</t>
  </si>
  <si>
    <t>Vendedor 38</t>
  </si>
  <si>
    <t>Vendedor 39</t>
  </si>
  <si>
    <t>Vendedor 40</t>
  </si>
  <si>
    <t>Vendedor 41</t>
  </si>
  <si>
    <t>Vendedor 42</t>
  </si>
  <si>
    <t>Vendedor 43</t>
  </si>
  <si>
    <t>Vendedor 44</t>
  </si>
  <si>
    <t>Vendedor 45</t>
  </si>
  <si>
    <t>Vendedor 46</t>
  </si>
  <si>
    <t>Código vendedor</t>
  </si>
  <si>
    <t>Código</t>
  </si>
  <si>
    <t>Cliente 1</t>
  </si>
  <si>
    <t>Cliente 2</t>
  </si>
  <si>
    <t>Cliente 3</t>
  </si>
  <si>
    <t>Cliente 4</t>
  </si>
  <si>
    <t>Cliente 5</t>
  </si>
  <si>
    <t>Cliente 6</t>
  </si>
  <si>
    <t>Cliente 7</t>
  </si>
  <si>
    <t>Cliente 8</t>
  </si>
  <si>
    <t>Cliente 9</t>
  </si>
  <si>
    <t>Cliente 10</t>
  </si>
  <si>
    <t>Cliente 11</t>
  </si>
  <si>
    <t>Cliente 12</t>
  </si>
  <si>
    <t>Cliente 13</t>
  </si>
  <si>
    <t>Cliente 14</t>
  </si>
  <si>
    <t>Cliente 15</t>
  </si>
  <si>
    <t>Cliente 16</t>
  </si>
  <si>
    <t>Cliente 17</t>
  </si>
  <si>
    <t>Cliente 18</t>
  </si>
  <si>
    <t>Cliente 19</t>
  </si>
  <si>
    <t>Cliente 20</t>
  </si>
  <si>
    <t>Cliente 21</t>
  </si>
  <si>
    <t>Cliente 22</t>
  </si>
  <si>
    <t>Cliente 23</t>
  </si>
  <si>
    <t>Cliente 24</t>
  </si>
  <si>
    <t>Cliente 25</t>
  </si>
  <si>
    <t>Cliente 26</t>
  </si>
  <si>
    <t>Cliente 27</t>
  </si>
  <si>
    <t>Cliente 28</t>
  </si>
  <si>
    <t>Cliente 29</t>
  </si>
  <si>
    <t>Cliente 30</t>
  </si>
  <si>
    <t>Cliente 31</t>
  </si>
  <si>
    <t>Cliente 32</t>
  </si>
  <si>
    <t>Cliente 33</t>
  </si>
  <si>
    <t>Cliente 34</t>
  </si>
  <si>
    <t>Cliente 35</t>
  </si>
  <si>
    <t>Cliente 36</t>
  </si>
  <si>
    <t>Cliente 37</t>
  </si>
  <si>
    <t>Cliente 38</t>
  </si>
  <si>
    <t>Cliente 39</t>
  </si>
  <si>
    <t>Cliente 40</t>
  </si>
  <si>
    <t>Cliente 41</t>
  </si>
  <si>
    <t>Cliente 42</t>
  </si>
  <si>
    <t>Cliente 43</t>
  </si>
  <si>
    <t>Cliente 44</t>
  </si>
  <si>
    <t>Cliente 45</t>
  </si>
  <si>
    <t>Cliente 46</t>
  </si>
  <si>
    <t>Cliente 47</t>
  </si>
  <si>
    <t>Cliente 48</t>
  </si>
  <si>
    <t>Cliente 49</t>
  </si>
  <si>
    <t>Cliente 50</t>
  </si>
  <si>
    <t>Cliente 51</t>
  </si>
  <si>
    <t>Cliente 52</t>
  </si>
  <si>
    <t>Cliente 53</t>
  </si>
  <si>
    <t>Cliente 54</t>
  </si>
  <si>
    <t>Cliente 55</t>
  </si>
  <si>
    <t>Cliente 56</t>
  </si>
  <si>
    <t>Cliente 57</t>
  </si>
  <si>
    <t>Cliente 58</t>
  </si>
  <si>
    <t>Cliente 59</t>
  </si>
  <si>
    <t>Cliente 60</t>
  </si>
  <si>
    <t>Cliente 61</t>
  </si>
  <si>
    <t>Cliente 62</t>
  </si>
  <si>
    <t>Cliente 63</t>
  </si>
  <si>
    <t>Cliente 64</t>
  </si>
  <si>
    <t>Cliente 65</t>
  </si>
  <si>
    <t>Cliente 66</t>
  </si>
  <si>
    <t>Cliente 67</t>
  </si>
  <si>
    <t>Cliente 68</t>
  </si>
  <si>
    <t>Cliente 69</t>
  </si>
  <si>
    <t>Cliente 70</t>
  </si>
  <si>
    <t>Cliente 71</t>
  </si>
  <si>
    <t>Cliente 72</t>
  </si>
  <si>
    <t>Cliente 73</t>
  </si>
  <si>
    <t>Cliente 74</t>
  </si>
  <si>
    <t>Cliente 75</t>
  </si>
  <si>
    <t>Cliente 76</t>
  </si>
  <si>
    <t>Cliente 77</t>
  </si>
  <si>
    <t>Cliente 78</t>
  </si>
  <si>
    <t>Cliente 79</t>
  </si>
  <si>
    <t>Cliente 80</t>
  </si>
  <si>
    <t>Cliente 81</t>
  </si>
  <si>
    <t>Cliente 82</t>
  </si>
  <si>
    <t>Cliente 83</t>
  </si>
  <si>
    <t>Cliente 84</t>
  </si>
  <si>
    <t>Cliente 85</t>
  </si>
  <si>
    <t>Cliente 86</t>
  </si>
  <si>
    <t>Cliente 87</t>
  </si>
  <si>
    <t>Cliente 88</t>
  </si>
  <si>
    <t>Cliente 89</t>
  </si>
  <si>
    <t>Cliente 90</t>
  </si>
  <si>
    <t>Cliente 91</t>
  </si>
  <si>
    <t>Cliente 92</t>
  </si>
  <si>
    <t>Cliente 93</t>
  </si>
  <si>
    <t>Cliente 94</t>
  </si>
  <si>
    <t>Cliente 95</t>
  </si>
  <si>
    <t>Cliente 96</t>
  </si>
  <si>
    <t>Cliente 97</t>
  </si>
  <si>
    <t>Cliente 98</t>
  </si>
  <si>
    <t>Cliente 99</t>
  </si>
  <si>
    <t>Cliente 100</t>
  </si>
  <si>
    <t>Cliente 101</t>
  </si>
  <si>
    <t>Cliente 102</t>
  </si>
  <si>
    <t>Cliente 103</t>
  </si>
  <si>
    <t>Cliente 104</t>
  </si>
  <si>
    <t>Cliente 105</t>
  </si>
  <si>
    <t>Cliente 106</t>
  </si>
  <si>
    <t>Cliente 107</t>
  </si>
  <si>
    <t>Cliente 108</t>
  </si>
  <si>
    <t>Cliente 109</t>
  </si>
  <si>
    <t>Cliente 110</t>
  </si>
  <si>
    <t>Cliente 111</t>
  </si>
  <si>
    <t>Cliente 112</t>
  </si>
  <si>
    <t>Cliente 113</t>
  </si>
  <si>
    <t>Cliente 114</t>
  </si>
  <si>
    <t>Cliente 115</t>
  </si>
  <si>
    <t>Cliente 116</t>
  </si>
  <si>
    <t>Cliente 117</t>
  </si>
  <si>
    <t>Cliente 118</t>
  </si>
  <si>
    <t>Cliente 119</t>
  </si>
  <si>
    <t>Cliente 120</t>
  </si>
  <si>
    <t>Cliente 121</t>
  </si>
  <si>
    <t>Cliente 122</t>
  </si>
  <si>
    <t>Cliente 123</t>
  </si>
  <si>
    <t>Cliente 124</t>
  </si>
  <si>
    <t>Cliente 125</t>
  </si>
  <si>
    <t>Cliente 126</t>
  </si>
  <si>
    <t>Cliente 127</t>
  </si>
  <si>
    <t>Cliente 128</t>
  </si>
  <si>
    <t>Cliente 129</t>
  </si>
  <si>
    <t>Cliente 130</t>
  </si>
  <si>
    <t>Cliente 131</t>
  </si>
  <si>
    <t>Cliente 132</t>
  </si>
  <si>
    <t>Cliente 133</t>
  </si>
  <si>
    <t>Cliente 134</t>
  </si>
  <si>
    <t>Cliente 135</t>
  </si>
  <si>
    <t>Cliente 136</t>
  </si>
  <si>
    <t>Cliente 137</t>
  </si>
  <si>
    <t>Cliente 138</t>
  </si>
  <si>
    <t>Cliente 139</t>
  </si>
  <si>
    <t>Cliente 140</t>
  </si>
  <si>
    <t>Cliente 141</t>
  </si>
  <si>
    <t>Cliente 142</t>
  </si>
  <si>
    <t>Cliente 143</t>
  </si>
  <si>
    <t>Cliente 144</t>
  </si>
  <si>
    <t>Cliente 145</t>
  </si>
  <si>
    <t>Cliente 146</t>
  </si>
  <si>
    <t>Cliente 147</t>
  </si>
  <si>
    <t>Cliente 148</t>
  </si>
  <si>
    <t>Cliente 149</t>
  </si>
  <si>
    <t>Cliente 150</t>
  </si>
  <si>
    <t>Cliente 151</t>
  </si>
  <si>
    <t>Cliente 152</t>
  </si>
  <si>
    <t>Cliente 153</t>
  </si>
  <si>
    <t>Cliente 154</t>
  </si>
  <si>
    <t>Cliente 155</t>
  </si>
  <si>
    <t>Cliente 156</t>
  </si>
  <si>
    <t>Cliente 157</t>
  </si>
  <si>
    <t>Cliente 158</t>
  </si>
  <si>
    <t>Cliente 159</t>
  </si>
  <si>
    <t>Cliente 160</t>
  </si>
  <si>
    <t>Cliente 161</t>
  </si>
  <si>
    <t>Cliente 162</t>
  </si>
  <si>
    <t>Cliente 163</t>
  </si>
  <si>
    <t>Cliente 164</t>
  </si>
  <si>
    <t>Cliente 165</t>
  </si>
  <si>
    <t>Cliente 166</t>
  </si>
  <si>
    <t>Cliente 167</t>
  </si>
  <si>
    <t>Cliente 168</t>
  </si>
  <si>
    <t>Cliente 169</t>
  </si>
  <si>
    <t>Cliente 170</t>
  </si>
  <si>
    <t>Cliente 171</t>
  </si>
  <si>
    <t>Cliente 172</t>
  </si>
  <si>
    <t>Cliente 173</t>
  </si>
  <si>
    <t>Cliente 174</t>
  </si>
  <si>
    <t>Cliente 175</t>
  </si>
  <si>
    <t>Cliente 176</t>
  </si>
  <si>
    <t>Cliente 177</t>
  </si>
  <si>
    <t>Cliente 178</t>
  </si>
  <si>
    <t>Cliente 179</t>
  </si>
  <si>
    <t>Cliente 180</t>
  </si>
  <si>
    <t>Cliente 181</t>
  </si>
  <si>
    <t>Cliente 182</t>
  </si>
  <si>
    <t>Cliente 183</t>
  </si>
  <si>
    <t>Cliente 184</t>
  </si>
  <si>
    <t>Cliente 185</t>
  </si>
  <si>
    <t>Cliente 186</t>
  </si>
  <si>
    <t>Cliente 187</t>
  </si>
  <si>
    <t>Cliente 188</t>
  </si>
  <si>
    <t>Cliente 189</t>
  </si>
  <si>
    <t>Cliente 190</t>
  </si>
  <si>
    <t>Cliente 191</t>
  </si>
  <si>
    <t>Cliente 192</t>
  </si>
  <si>
    <t>Cliente 193</t>
  </si>
  <si>
    <t>Cliente 194</t>
  </si>
  <si>
    <t>Cliente 195</t>
  </si>
  <si>
    <t>Cliente 196</t>
  </si>
  <si>
    <t>Cliente 197</t>
  </si>
  <si>
    <t>Cliente 198</t>
  </si>
  <si>
    <t>Cliente 199</t>
  </si>
  <si>
    <t>Cliente 200</t>
  </si>
  <si>
    <t>Cliente 201</t>
  </si>
  <si>
    <t>Cliente 202</t>
  </si>
  <si>
    <t>Cliente 203</t>
  </si>
  <si>
    <t>Cliente 204</t>
  </si>
  <si>
    <t>Cliente 205</t>
  </si>
  <si>
    <t>Cliente 206</t>
  </si>
  <si>
    <t>Cliente 207</t>
  </si>
  <si>
    <t>Cliente 208</t>
  </si>
  <si>
    <t>Cliente 209</t>
  </si>
  <si>
    <t>Cliente 210</t>
  </si>
  <si>
    <t>Cliente 211</t>
  </si>
  <si>
    <t>Cliente 212</t>
  </si>
  <si>
    <t>Cliente 213</t>
  </si>
  <si>
    <t>Cliente 214</t>
  </si>
  <si>
    <t>Cliente 215</t>
  </si>
  <si>
    <t>Cliente 216</t>
  </si>
  <si>
    <t>Cliente 217</t>
  </si>
  <si>
    <t>Cliente 218</t>
  </si>
  <si>
    <t>Cliente 219</t>
  </si>
  <si>
    <t>Cliente 220</t>
  </si>
  <si>
    <t>Cliente 221</t>
  </si>
  <si>
    <t>Cliente 222</t>
  </si>
  <si>
    <t>Cliente 223</t>
  </si>
  <si>
    <t>Cliente 224</t>
  </si>
  <si>
    <t>Cliente 225</t>
  </si>
  <si>
    <t>Cliente 226</t>
  </si>
  <si>
    <t>Cliente 227</t>
  </si>
  <si>
    <t>Cliente 228</t>
  </si>
  <si>
    <t>Cliente 229</t>
  </si>
  <si>
    <t>Cliente 230</t>
  </si>
  <si>
    <t>Cliente 231</t>
  </si>
  <si>
    <t>Cliente 232</t>
  </si>
  <si>
    <t>Cliente 233</t>
  </si>
  <si>
    <t>Cliente 234</t>
  </si>
  <si>
    <t>Cliente 235</t>
  </si>
  <si>
    <t>Cliente 236</t>
  </si>
  <si>
    <t>Cliente 237</t>
  </si>
  <si>
    <t>Cliente 238</t>
  </si>
  <si>
    <t>Cliente 239</t>
  </si>
  <si>
    <t>Cliente 240</t>
  </si>
  <si>
    <t>Cliente 241</t>
  </si>
  <si>
    <t>Cliente 242</t>
  </si>
  <si>
    <t>Cliente 243</t>
  </si>
  <si>
    <t>Cliente 244</t>
  </si>
  <si>
    <t>Cliente 245</t>
  </si>
  <si>
    <t>Cliente 246</t>
  </si>
  <si>
    <t>Cliente 247</t>
  </si>
  <si>
    <t>Cliente 248</t>
  </si>
  <si>
    <t>Cliente 249</t>
  </si>
  <si>
    <t>Cliente 250</t>
  </si>
  <si>
    <t>Cliente 251</t>
  </si>
  <si>
    <t>Cliente 252</t>
  </si>
  <si>
    <t>Cliente 253</t>
  </si>
  <si>
    <t>Cliente 254</t>
  </si>
  <si>
    <t>Cliente 255</t>
  </si>
  <si>
    <t>Cliente 256</t>
  </si>
  <si>
    <t>Cliente 257</t>
  </si>
  <si>
    <t>Cliente 258</t>
  </si>
  <si>
    <t>Cliente 259</t>
  </si>
  <si>
    <t>Cliente 260</t>
  </si>
  <si>
    <t>Cliente 261</t>
  </si>
  <si>
    <t>Cliente 262</t>
  </si>
  <si>
    <t>Cliente 263</t>
  </si>
  <si>
    <t>Cliente 264</t>
  </si>
  <si>
    <t>Cliente 265</t>
  </si>
  <si>
    <t>Cliente 266</t>
  </si>
  <si>
    <t>Cliente 267</t>
  </si>
  <si>
    <t>Cliente 268</t>
  </si>
  <si>
    <t>Cliente 269</t>
  </si>
  <si>
    <t>Cliente 270</t>
  </si>
  <si>
    <t>Cliente 271</t>
  </si>
  <si>
    <t>Cliente 272</t>
  </si>
  <si>
    <t>Cliente 273</t>
  </si>
  <si>
    <t>Cliente 274</t>
  </si>
  <si>
    <t>Cliente 275</t>
  </si>
  <si>
    <t>Cliente 276</t>
  </si>
  <si>
    <t>Cliente 277</t>
  </si>
  <si>
    <t>Cliente 278</t>
  </si>
  <si>
    <t>Cliente 279</t>
  </si>
  <si>
    <t>Cliente 280</t>
  </si>
  <si>
    <t>Cliente 281</t>
  </si>
  <si>
    <t>Cliente 282</t>
  </si>
  <si>
    <t>Cliente 283</t>
  </si>
  <si>
    <t>Cliente 284</t>
  </si>
  <si>
    <t>Cliente 285</t>
  </si>
  <si>
    <t>Cliente 286</t>
  </si>
  <si>
    <t>Cliente 287</t>
  </si>
  <si>
    <t>Cliente 288</t>
  </si>
  <si>
    <t>Cliente 289</t>
  </si>
  <si>
    <t>Cliente 290</t>
  </si>
  <si>
    <t>Cliente 291</t>
  </si>
  <si>
    <t>Cliente 292</t>
  </si>
  <si>
    <t>Cliente 293</t>
  </si>
  <si>
    <t>Cliente 294</t>
  </si>
  <si>
    <t>Cliente 295</t>
  </si>
  <si>
    <t>Cliente 296</t>
  </si>
  <si>
    <t>Cliente 297</t>
  </si>
  <si>
    <t>Cliente 298</t>
  </si>
  <si>
    <t>Cliente 299</t>
  </si>
  <si>
    <t>Cliente 300</t>
  </si>
  <si>
    <t>Cliente 301</t>
  </si>
  <si>
    <t>Cliente 302</t>
  </si>
  <si>
    <t>Cliente 303</t>
  </si>
  <si>
    <t>Cliente 304</t>
  </si>
  <si>
    <t>Cliente 305</t>
  </si>
  <si>
    <t>Cliente 306</t>
  </si>
  <si>
    <t>Cliente 307</t>
  </si>
  <si>
    <t>Cliente 308</t>
  </si>
  <si>
    <t>Cliente 309</t>
  </si>
  <si>
    <t>Cliente 310</t>
  </si>
  <si>
    <t>Cliente 311</t>
  </si>
  <si>
    <t>Cliente 312</t>
  </si>
  <si>
    <t>Cliente 313</t>
  </si>
  <si>
    <t>Cliente 314</t>
  </si>
  <si>
    <t>Cliente 315</t>
  </si>
  <si>
    <t>Cliente 316</t>
  </si>
  <si>
    <t>Cliente 317</t>
  </si>
  <si>
    <t>Cliente 318</t>
  </si>
  <si>
    <t>Cliente 319</t>
  </si>
  <si>
    <t>Cliente 320</t>
  </si>
  <si>
    <t>Cliente 321</t>
  </si>
  <si>
    <t>Cliente 322</t>
  </si>
  <si>
    <t>Cliente 323</t>
  </si>
  <si>
    <t>Cliente 324</t>
  </si>
  <si>
    <t>Cliente 325</t>
  </si>
  <si>
    <t>Cliente 326</t>
  </si>
  <si>
    <t>Cliente 327</t>
  </si>
  <si>
    <t>Cliente 328</t>
  </si>
  <si>
    <t>Cliente 329</t>
  </si>
  <si>
    <t>Cliente 330</t>
  </si>
  <si>
    <t>Cliente 331</t>
  </si>
  <si>
    <t>Cliente 332</t>
  </si>
  <si>
    <t>Cliente 333</t>
  </si>
  <si>
    <t>Cliente 334</t>
  </si>
  <si>
    <t>Cliente 335</t>
  </si>
  <si>
    <t>Cliente 336</t>
  </si>
  <si>
    <t>Cliente 337</t>
  </si>
  <si>
    <t>Cliente 338</t>
  </si>
  <si>
    <t>Cliente 339</t>
  </si>
  <si>
    <t>Cliente 340</t>
  </si>
  <si>
    <t>Cliente 341</t>
  </si>
  <si>
    <t>Cliente 342</t>
  </si>
  <si>
    <t>Cliente 343</t>
  </si>
  <si>
    <t>Cliente 344</t>
  </si>
  <si>
    <t>Cliente 345</t>
  </si>
  <si>
    <t>Cliente 346</t>
  </si>
  <si>
    <t>Cliente 347</t>
  </si>
  <si>
    <t>Cliente 348</t>
  </si>
  <si>
    <t>Cliente 349</t>
  </si>
  <si>
    <t>Cliente 350</t>
  </si>
  <si>
    <t>Cliente 351</t>
  </si>
  <si>
    <t>Cliente 352</t>
  </si>
  <si>
    <t>Cliente 353</t>
  </si>
  <si>
    <t>Cliente 354</t>
  </si>
  <si>
    <t>Cliente 355</t>
  </si>
  <si>
    <t>Cliente 356</t>
  </si>
  <si>
    <t>Cliente 357</t>
  </si>
  <si>
    <t>Cliente 358</t>
  </si>
  <si>
    <t>Cliente 359</t>
  </si>
  <si>
    <t>Cliente 360</t>
  </si>
  <si>
    <t>Cliente 361</t>
  </si>
  <si>
    <t>Cliente 362</t>
  </si>
  <si>
    <t>Cliente 363</t>
  </si>
  <si>
    <t>Cliente 364</t>
  </si>
  <si>
    <t>Cliente 365</t>
  </si>
  <si>
    <t>Cliente 366</t>
  </si>
  <si>
    <t>Cliente 367</t>
  </si>
  <si>
    <t>Cliente 368</t>
  </si>
  <si>
    <t>Cliente 369</t>
  </si>
  <si>
    <t>Cliente 370</t>
  </si>
  <si>
    <t>Cliente 371</t>
  </si>
  <si>
    <t>Cliente 372</t>
  </si>
  <si>
    <t>Cliente 373</t>
  </si>
  <si>
    <t>Cliente 374</t>
  </si>
  <si>
    <t>Cliente 375</t>
  </si>
  <si>
    <t>Cliente 376</t>
  </si>
  <si>
    <t>Cliente 377</t>
  </si>
  <si>
    <t>Cliente 378</t>
  </si>
  <si>
    <t>Cliente 379</t>
  </si>
  <si>
    <t>Cliente 380</t>
  </si>
  <si>
    <t>Cliente 381</t>
  </si>
  <si>
    <t>Cliente 382</t>
  </si>
  <si>
    <t>Cliente 383</t>
  </si>
  <si>
    <t>Cliente 384</t>
  </si>
  <si>
    <t>Cliente 385</t>
  </si>
  <si>
    <t>Cliente 386</t>
  </si>
  <si>
    <t>Cliente 387</t>
  </si>
  <si>
    <t>Cliente 388</t>
  </si>
  <si>
    <t>Cliente 389</t>
  </si>
  <si>
    <t>Cliente 390</t>
  </si>
  <si>
    <t>Cliente 391</t>
  </si>
  <si>
    <t>Cliente 392</t>
  </si>
  <si>
    <t>Cliente 393</t>
  </si>
  <si>
    <t>Cliente 394</t>
  </si>
  <si>
    <t>Cliente 395</t>
  </si>
  <si>
    <t>Cliente 396</t>
  </si>
  <si>
    <t>Cliente 397</t>
  </si>
  <si>
    <t>Cliente 398</t>
  </si>
  <si>
    <t>Cliente 399</t>
  </si>
  <si>
    <t>Cliente 400</t>
  </si>
  <si>
    <t>Cliente 401</t>
  </si>
  <si>
    <t>Cliente 402</t>
  </si>
  <si>
    <t>Cliente 403</t>
  </si>
  <si>
    <t>Cliente 404</t>
  </si>
  <si>
    <t>Cliente 405</t>
  </si>
  <si>
    <t>Cliente 406</t>
  </si>
  <si>
    <t>Cliente 407</t>
  </si>
  <si>
    <t>Cliente 408</t>
  </si>
  <si>
    <t>Cliente 409</t>
  </si>
  <si>
    <t>Cliente 410</t>
  </si>
  <si>
    <t>Cliente 411</t>
  </si>
  <si>
    <t>Cliente 412</t>
  </si>
  <si>
    <t>Cliente 413</t>
  </si>
  <si>
    <t>Cliente 414</t>
  </si>
  <si>
    <t>Cliente 415</t>
  </si>
  <si>
    <t>Cliente 416</t>
  </si>
  <si>
    <t>Cliente 417</t>
  </si>
  <si>
    <t>Cliente 418</t>
  </si>
  <si>
    <t>Cliente 419</t>
  </si>
  <si>
    <t>Cliente 420</t>
  </si>
  <si>
    <t>Cliente 421</t>
  </si>
  <si>
    <t>Cliente 422</t>
  </si>
  <si>
    <t>Cliente 423</t>
  </si>
  <si>
    <t>Cliente 424</t>
  </si>
  <si>
    <t>Cliente 425</t>
  </si>
  <si>
    <t>Cliente 426</t>
  </si>
  <si>
    <t>Cliente 427</t>
  </si>
  <si>
    <t>Cliente 428</t>
  </si>
  <si>
    <t>Cliente 429</t>
  </si>
  <si>
    <t>Cliente 430</t>
  </si>
  <si>
    <t>Cliente 431</t>
  </si>
  <si>
    <t>Cliente 432</t>
  </si>
  <si>
    <t>Cliente 433</t>
  </si>
  <si>
    <t>Cliente 434</t>
  </si>
  <si>
    <t>Cliente 435</t>
  </si>
  <si>
    <t>Cliente 436</t>
  </si>
  <si>
    <t>Cliente 437</t>
  </si>
  <si>
    <t>Cliente 438</t>
  </si>
  <si>
    <t>Cliente 439</t>
  </si>
  <si>
    <t>Cliente 440</t>
  </si>
  <si>
    <t>Cliente 441</t>
  </si>
  <si>
    <t>Cliente 442</t>
  </si>
  <si>
    <t>Cliente 443</t>
  </si>
  <si>
    <t>Cliente 444</t>
  </si>
  <si>
    <t>Cliente 445</t>
  </si>
  <si>
    <t>Cliente 446</t>
  </si>
  <si>
    <t>Cliente 447</t>
  </si>
  <si>
    <t>Cliente 448</t>
  </si>
  <si>
    <t>Cliente 449</t>
  </si>
  <si>
    <t>Cliente 450</t>
  </si>
  <si>
    <t>Cliente 451</t>
  </si>
  <si>
    <t>Cliente 452</t>
  </si>
  <si>
    <t>Cliente 453</t>
  </si>
  <si>
    <t>Cliente 454</t>
  </si>
  <si>
    <t>Cliente 455</t>
  </si>
  <si>
    <t>Cliente 456</t>
  </si>
  <si>
    <t>Cliente 457</t>
  </si>
  <si>
    <t>Cliente 458</t>
  </si>
  <si>
    <t>Cliente 459</t>
  </si>
  <si>
    <t>Cliente 460</t>
  </si>
  <si>
    <t>Cliente 461</t>
  </si>
  <si>
    <t>Cliente 462</t>
  </si>
  <si>
    <t>Cliente 463</t>
  </si>
  <si>
    <t>Cliente 464</t>
  </si>
  <si>
    <t>Cliente 465</t>
  </si>
  <si>
    <t>Cliente 466</t>
  </si>
  <si>
    <t>Cliente 467</t>
  </si>
  <si>
    <t>Cliente 468</t>
  </si>
  <si>
    <t>Cliente 469</t>
  </si>
  <si>
    <t>Cliente 470</t>
  </si>
  <si>
    <t>Cliente 471</t>
  </si>
  <si>
    <t>Cliente 472</t>
  </si>
  <si>
    <t>Cliente 473</t>
  </si>
  <si>
    <t>Cliente 474</t>
  </si>
  <si>
    <t>Cliente 475</t>
  </si>
  <si>
    <t>Cliente 476</t>
  </si>
  <si>
    <t>Cliente 477</t>
  </si>
  <si>
    <t>Cliente 478</t>
  </si>
  <si>
    <t>Cliente 479</t>
  </si>
  <si>
    <t>Cliente 480</t>
  </si>
  <si>
    <t>Cliente 481</t>
  </si>
  <si>
    <t>Cliente 482</t>
  </si>
  <si>
    <t>Cliente 483</t>
  </si>
  <si>
    <t>Cliente 484</t>
  </si>
  <si>
    <t>Cliente 485</t>
  </si>
  <si>
    <t>Cliente 486</t>
  </si>
  <si>
    <t>Cliente 487</t>
  </si>
  <si>
    <t>Cliente 488</t>
  </si>
  <si>
    <t>Cliente 489</t>
  </si>
  <si>
    <t>Cliente 490</t>
  </si>
  <si>
    <t>Cliente 491</t>
  </si>
  <si>
    <t>Cliente 492</t>
  </si>
  <si>
    <t>Cliente 493</t>
  </si>
  <si>
    <t>Cliente 494</t>
  </si>
  <si>
    <t>Cliente 495</t>
  </si>
  <si>
    <t>Cliente 496</t>
  </si>
  <si>
    <t>Cliente 497</t>
  </si>
  <si>
    <t>Cliente 498</t>
  </si>
  <si>
    <t>Cliente 499</t>
  </si>
  <si>
    <t>Cliente 500</t>
  </si>
  <si>
    <t>Cliente 501</t>
  </si>
  <si>
    <t>Cliente 502</t>
  </si>
  <si>
    <t>Cliente 503</t>
  </si>
  <si>
    <t>Cliente 504</t>
  </si>
  <si>
    <t>Cliente 505</t>
  </si>
  <si>
    <t>Cliente 506</t>
  </si>
  <si>
    <t>Cliente 507</t>
  </si>
  <si>
    <t>Cliente 508</t>
  </si>
  <si>
    <t>Cliente 509</t>
  </si>
  <si>
    <t>Cliente 510</t>
  </si>
  <si>
    <t>Cliente 511</t>
  </si>
  <si>
    <t>Cliente 512</t>
  </si>
  <si>
    <t>Cliente 513</t>
  </si>
  <si>
    <t>Cliente 514</t>
  </si>
  <si>
    <t>Cliente 515</t>
  </si>
  <si>
    <t>Cliente 516</t>
  </si>
  <si>
    <t>Cliente 517</t>
  </si>
  <si>
    <t>Cliente 518</t>
  </si>
  <si>
    <t>Cliente 519</t>
  </si>
  <si>
    <t>Cliente 520</t>
  </si>
  <si>
    <t>Cliente 521</t>
  </si>
  <si>
    <t>Cliente 522</t>
  </si>
  <si>
    <t>Cliente 523</t>
  </si>
  <si>
    <t>Cliente 524</t>
  </si>
  <si>
    <t>Cliente 525</t>
  </si>
  <si>
    <t>Cliente 526</t>
  </si>
  <si>
    <t>Cliente 527</t>
  </si>
  <si>
    <t>Cliente 528</t>
  </si>
  <si>
    <t>Cliente 529</t>
  </si>
  <si>
    <t>Cliente 530</t>
  </si>
  <si>
    <t>Cliente 531</t>
  </si>
  <si>
    <t>Cliente 532</t>
  </si>
  <si>
    <t>Cliente 533</t>
  </si>
  <si>
    <t>Cliente 534</t>
  </si>
  <si>
    <t>Cliente 535</t>
  </si>
  <si>
    <t>Cliente 536</t>
  </si>
  <si>
    <t>Cliente 537</t>
  </si>
  <si>
    <t>Cliente 538</t>
  </si>
  <si>
    <t>Cliente 539</t>
  </si>
  <si>
    <t>Cliente 540</t>
  </si>
  <si>
    <t>Cliente 541</t>
  </si>
  <si>
    <t>Cliente 542</t>
  </si>
  <si>
    <t>Cliente 543</t>
  </si>
  <si>
    <t>Cliente 544</t>
  </si>
  <si>
    <t>Cliente 545</t>
  </si>
  <si>
    <t>Cliente 546</t>
  </si>
  <si>
    <t>Cliente 547</t>
  </si>
  <si>
    <t>Cliente 548</t>
  </si>
  <si>
    <t>Cliente 549</t>
  </si>
  <si>
    <t>Cliente 550</t>
  </si>
  <si>
    <t>Cliente 551</t>
  </si>
  <si>
    <t>Cliente 552</t>
  </si>
  <si>
    <t>Cliente 553</t>
  </si>
  <si>
    <t>Cliente 554</t>
  </si>
  <si>
    <t>Cliente 555</t>
  </si>
  <si>
    <t>Cliente 556</t>
  </si>
  <si>
    <t>Cliente 557</t>
  </si>
  <si>
    <t>Cliente 558</t>
  </si>
  <si>
    <t>Cliente 559</t>
  </si>
  <si>
    <t>Cliente 560</t>
  </si>
  <si>
    <t>Cliente 561</t>
  </si>
  <si>
    <t>Cliente 562</t>
  </si>
  <si>
    <t>Cliente 563</t>
  </si>
  <si>
    <t>Cliente 564</t>
  </si>
  <si>
    <t>Cliente 565</t>
  </si>
  <si>
    <t>Cliente 566</t>
  </si>
  <si>
    <t>Cliente 567</t>
  </si>
  <si>
    <t>Cliente 568</t>
  </si>
  <si>
    <t>Cliente 569</t>
  </si>
  <si>
    <t>Cliente 570</t>
  </si>
  <si>
    <t>Cliente 571</t>
  </si>
  <si>
    <t>Cliente 572</t>
  </si>
  <si>
    <t>Cliente 573</t>
  </si>
  <si>
    <t>Cliente 574</t>
  </si>
  <si>
    <t>Cliente 575</t>
  </si>
  <si>
    <t>Cliente 576</t>
  </si>
  <si>
    <t>Cliente 577</t>
  </si>
  <si>
    <t>Cliente 578</t>
  </si>
  <si>
    <t>Cliente 579</t>
  </si>
  <si>
    <t>Cliente 580</t>
  </si>
  <si>
    <t>Cliente 581</t>
  </si>
  <si>
    <t>Cliente 582</t>
  </si>
  <si>
    <t>Cliente 583</t>
  </si>
  <si>
    <t>Cliente 584</t>
  </si>
  <si>
    <t>Cliente 585</t>
  </si>
  <si>
    <t>Cliente 586</t>
  </si>
  <si>
    <t>Cliente 587</t>
  </si>
  <si>
    <t>Cliente 588</t>
  </si>
  <si>
    <t>Cliente 589</t>
  </si>
  <si>
    <t>Cliente 590</t>
  </si>
  <si>
    <t>Cliente 591</t>
  </si>
  <si>
    <t>Cliente 592</t>
  </si>
  <si>
    <t>Cliente 593</t>
  </si>
  <si>
    <t>Cliente 594</t>
  </si>
  <si>
    <t>Cliente 595</t>
  </si>
  <si>
    <t>Cliente 596</t>
  </si>
  <si>
    <t>Cliente 597</t>
  </si>
  <si>
    <t>Cliente 598</t>
  </si>
  <si>
    <t>Cliente 599</t>
  </si>
  <si>
    <t>Cliente 600</t>
  </si>
  <si>
    <t>Cliente 601</t>
  </si>
  <si>
    <t>Cliente 602</t>
  </si>
  <si>
    <t>Cliente 603</t>
  </si>
  <si>
    <t>Cliente 604</t>
  </si>
  <si>
    <t>Cliente 605</t>
  </si>
  <si>
    <t>Cliente 606</t>
  </si>
  <si>
    <t>Cliente 607</t>
  </si>
  <si>
    <t>Cliente 608</t>
  </si>
  <si>
    <t>Cliente 609</t>
  </si>
  <si>
    <t>Cliente 610</t>
  </si>
  <si>
    <t>Cliente 611</t>
  </si>
  <si>
    <t>Cliente 612</t>
  </si>
  <si>
    <t>Cliente 613</t>
  </si>
  <si>
    <t>Cliente 614</t>
  </si>
  <si>
    <t>Cliente 615</t>
  </si>
  <si>
    <t>Cliente 616</t>
  </si>
  <si>
    <t>Cliente 617</t>
  </si>
  <si>
    <t>Cliente 618</t>
  </si>
  <si>
    <t>Cliente 619</t>
  </si>
  <si>
    <t>Cliente 620</t>
  </si>
  <si>
    <t>Cliente 621</t>
  </si>
  <si>
    <t>Cliente 622</t>
  </si>
  <si>
    <t>Cliente 623</t>
  </si>
  <si>
    <t>Cliente 624</t>
  </si>
  <si>
    <t>Cliente 625</t>
  </si>
  <si>
    <t>Cliente 626</t>
  </si>
  <si>
    <t>Cliente 627</t>
  </si>
  <si>
    <t>Cliente 628</t>
  </si>
  <si>
    <t>Cliente 629</t>
  </si>
  <si>
    <t>Cliente 630</t>
  </si>
  <si>
    <t>Cliente 631</t>
  </si>
  <si>
    <t>Cliente 632</t>
  </si>
  <si>
    <t>Cliente 633</t>
  </si>
  <si>
    <t>Cliente 634</t>
  </si>
  <si>
    <t>Cliente 635</t>
  </si>
  <si>
    <t>Cliente 636</t>
  </si>
  <si>
    <t>Cliente 637</t>
  </si>
  <si>
    <t>Cliente 638</t>
  </si>
  <si>
    <t>Cliente 639</t>
  </si>
  <si>
    <t>Cliente 640</t>
  </si>
  <si>
    <t>Cliente 641</t>
  </si>
  <si>
    <t>Cliente 642</t>
  </si>
  <si>
    <t>Cliente 643</t>
  </si>
  <si>
    <t>Cliente 644</t>
  </si>
  <si>
    <t>Cliente 645</t>
  </si>
  <si>
    <t>Cliente 646</t>
  </si>
  <si>
    <t>Cliente 647</t>
  </si>
  <si>
    <t>Cliente 648</t>
  </si>
  <si>
    <t>Cliente 649</t>
  </si>
  <si>
    <t>Cliente 650</t>
  </si>
  <si>
    <t>Cliente 651</t>
  </si>
  <si>
    <t>Cliente 652</t>
  </si>
  <si>
    <t>Cliente 653</t>
  </si>
  <si>
    <t>Cliente 654</t>
  </si>
  <si>
    <t>Cliente 655</t>
  </si>
  <si>
    <t>Cliente 656</t>
  </si>
  <si>
    <t>Cliente 657</t>
  </si>
  <si>
    <t>Cliente 658</t>
  </si>
  <si>
    <t>Cliente 659</t>
  </si>
  <si>
    <t>Cliente 660</t>
  </si>
  <si>
    <t>Cliente 661</t>
  </si>
  <si>
    <t>Cliente 662</t>
  </si>
  <si>
    <t>Cliente 663</t>
  </si>
  <si>
    <t>Cliente 664</t>
  </si>
  <si>
    <t>Cliente 665</t>
  </si>
  <si>
    <t>Cliente 666</t>
  </si>
  <si>
    <t>Cliente 667</t>
  </si>
  <si>
    <t>Cliente 668</t>
  </si>
  <si>
    <t>Cliente 669</t>
  </si>
  <si>
    <t>Cliente 670</t>
  </si>
  <si>
    <t>Cliente 671</t>
  </si>
  <si>
    <t>Cliente 672</t>
  </si>
  <si>
    <t>Cliente 673</t>
  </si>
  <si>
    <t>Cliente 674</t>
  </si>
  <si>
    <t>Cliente 675</t>
  </si>
  <si>
    <t>Cliente 676</t>
  </si>
  <si>
    <t>Cliente 677</t>
  </si>
  <si>
    <t>Cliente 678</t>
  </si>
  <si>
    <t>Cliente 679</t>
  </si>
  <si>
    <t>Cliente 680</t>
  </si>
  <si>
    <t>Cliente 681</t>
  </si>
  <si>
    <t>Cliente 682</t>
  </si>
  <si>
    <t>Cliente 683</t>
  </si>
  <si>
    <t>Cliente 684</t>
  </si>
  <si>
    <t>Cliente 685</t>
  </si>
  <si>
    <t>Cliente 686</t>
  </si>
  <si>
    <t>Cliente 687</t>
  </si>
  <si>
    <t>Cliente 688</t>
  </si>
  <si>
    <t>Cliente 689</t>
  </si>
  <si>
    <t>Cliente 690</t>
  </si>
  <si>
    <t>Cliente 691</t>
  </si>
  <si>
    <t>Cliente 692</t>
  </si>
  <si>
    <t>Cliente 693</t>
  </si>
  <si>
    <t>Cliente 694</t>
  </si>
  <si>
    <t>Cliente 695</t>
  </si>
  <si>
    <t>Cliente 696</t>
  </si>
  <si>
    <t>Cliente 697</t>
  </si>
  <si>
    <t>Cliente 698</t>
  </si>
  <si>
    <t>Cliente 699</t>
  </si>
  <si>
    <t>Cliente 700</t>
  </si>
  <si>
    <t>Cliente 701</t>
  </si>
  <si>
    <t>Cliente 702</t>
  </si>
  <si>
    <t>Cliente 703</t>
  </si>
  <si>
    <t>Cliente 704</t>
  </si>
  <si>
    <t>Cliente 705</t>
  </si>
  <si>
    <t>Cliente 706</t>
  </si>
  <si>
    <t>Cliente 707</t>
  </si>
  <si>
    <t>Cliente 708</t>
  </si>
  <si>
    <t>Cliente 709</t>
  </si>
  <si>
    <t>Cliente 710</t>
  </si>
  <si>
    <t>Cliente 711</t>
  </si>
  <si>
    <t>Cliente 712</t>
  </si>
  <si>
    <t>Cliente 713</t>
  </si>
  <si>
    <t>Cliente 714</t>
  </si>
  <si>
    <t>Cliente 715</t>
  </si>
  <si>
    <t>Cliente 716</t>
  </si>
  <si>
    <t>Cliente 717</t>
  </si>
  <si>
    <t>Cliente 718</t>
  </si>
  <si>
    <t>Cliente 719</t>
  </si>
  <si>
    <t>Cliente 720</t>
  </si>
  <si>
    <t>Cliente 721</t>
  </si>
  <si>
    <t>Cliente 722</t>
  </si>
  <si>
    <t>Cliente 723</t>
  </si>
  <si>
    <t>Cliente 724</t>
  </si>
  <si>
    <t>Cliente 725</t>
  </si>
  <si>
    <t>Cliente 726</t>
  </si>
  <si>
    <t>Cliente 727</t>
  </si>
  <si>
    <t>Cliente 728</t>
  </si>
  <si>
    <t>Cliente 729</t>
  </si>
  <si>
    <t>Cliente 730</t>
  </si>
  <si>
    <t>Cliente 731</t>
  </si>
  <si>
    <t>Cliente 732</t>
  </si>
  <si>
    <t>Cliente 733</t>
  </si>
  <si>
    <t>Cliente 734</t>
  </si>
  <si>
    <t>Cliente 735</t>
  </si>
  <si>
    <t>Cliente 736</t>
  </si>
  <si>
    <t>Cliente 737</t>
  </si>
  <si>
    <t>Cliente 738</t>
  </si>
  <si>
    <t>Cliente 739</t>
  </si>
  <si>
    <t>Cliente 740</t>
  </si>
  <si>
    <t>Cliente 741</t>
  </si>
  <si>
    <t>Cliente 742</t>
  </si>
  <si>
    <t>Cliente 743</t>
  </si>
  <si>
    <t>Cliente 744</t>
  </si>
  <si>
    <t>Cliente 745</t>
  </si>
  <si>
    <t>Cliente 746</t>
  </si>
  <si>
    <t>Cliente 747</t>
  </si>
  <si>
    <t>Cliente 748</t>
  </si>
  <si>
    <t>Cliente 749</t>
  </si>
  <si>
    <t>Cliente 750</t>
  </si>
  <si>
    <t>Cliente 751</t>
  </si>
  <si>
    <t>Cliente 752</t>
  </si>
  <si>
    <t>Cliente 753</t>
  </si>
  <si>
    <t>Cliente 754</t>
  </si>
  <si>
    <t>Cliente 755</t>
  </si>
  <si>
    <t>Cliente 756</t>
  </si>
  <si>
    <t>Cliente 757</t>
  </si>
  <si>
    <t>Cliente 758</t>
  </si>
  <si>
    <t>Cliente 759</t>
  </si>
  <si>
    <t>Cliente 760</t>
  </si>
  <si>
    <t>Cliente 761</t>
  </si>
  <si>
    <t>Cliente 762</t>
  </si>
  <si>
    <t>Cliente 763</t>
  </si>
  <si>
    <t>Cliente 764</t>
  </si>
  <si>
    <t>Cliente 765</t>
  </si>
  <si>
    <t>Cliente 766</t>
  </si>
  <si>
    <t>Cliente 767</t>
  </si>
  <si>
    <t>Cliente 768</t>
  </si>
  <si>
    <t>Cliente 769</t>
  </si>
  <si>
    <t>Cliente 770</t>
  </si>
  <si>
    <t>Cliente 771</t>
  </si>
  <si>
    <t>Cliente 772</t>
  </si>
  <si>
    <t>Cliente 773</t>
  </si>
  <si>
    <t>Cliente 774</t>
  </si>
  <si>
    <t>Cliente 775</t>
  </si>
  <si>
    <t>Cliente 776</t>
  </si>
  <si>
    <t>Cliente 777</t>
  </si>
  <si>
    <t>Cliente 778</t>
  </si>
  <si>
    <t>Cliente 779</t>
  </si>
  <si>
    <t>Cliente 780</t>
  </si>
  <si>
    <t>Cliente 781</t>
  </si>
  <si>
    <t>Cliente 782</t>
  </si>
  <si>
    <t>Cliente 783</t>
  </si>
  <si>
    <t>Cliente 784</t>
  </si>
  <si>
    <t>Cliente 785</t>
  </si>
  <si>
    <t>Cliente 786</t>
  </si>
  <si>
    <t>Cliente 787</t>
  </si>
  <si>
    <t>Cliente 788</t>
  </si>
  <si>
    <t>Cliente 789</t>
  </si>
  <si>
    <t>Cliente 790</t>
  </si>
  <si>
    <t>Cliente 791</t>
  </si>
  <si>
    <t>Cliente 792</t>
  </si>
  <si>
    <t>Cliente 793</t>
  </si>
  <si>
    <t>Cliente 794</t>
  </si>
  <si>
    <t>Cliente 795</t>
  </si>
  <si>
    <t>Cliente 796</t>
  </si>
  <si>
    <t>Cliente 797</t>
  </si>
  <si>
    <t>Cliente 798</t>
  </si>
  <si>
    <t>Cliente 799</t>
  </si>
  <si>
    <t>Cliente 800</t>
  </si>
  <si>
    <t>Cliente 801</t>
  </si>
  <si>
    <t>Cliente 802</t>
  </si>
  <si>
    <t>Cliente 803</t>
  </si>
  <si>
    <t>Cliente 804</t>
  </si>
  <si>
    <t>Cliente 805</t>
  </si>
  <si>
    <t>Cliente 806</t>
  </si>
  <si>
    <t>Cliente 807</t>
  </si>
  <si>
    <t>Cliente 808</t>
  </si>
  <si>
    <t>Cliente 809</t>
  </si>
  <si>
    <t>Cliente 810</t>
  </si>
  <si>
    <t>Cliente 811</t>
  </si>
  <si>
    <t>Cliente 812</t>
  </si>
  <si>
    <t>Cliente 813</t>
  </si>
  <si>
    <t>Cliente 814</t>
  </si>
  <si>
    <t>Cliente 815</t>
  </si>
  <si>
    <t>Cliente 816</t>
  </si>
  <si>
    <t>Cliente 817</t>
  </si>
  <si>
    <t>Cliente 818</t>
  </si>
  <si>
    <t>Cliente 819</t>
  </si>
  <si>
    <t>Cliente 820</t>
  </si>
  <si>
    <t>Cliente 821</t>
  </si>
  <si>
    <t>Cliente 822</t>
  </si>
  <si>
    <t>Cliente 823</t>
  </si>
  <si>
    <t>Cliente 824</t>
  </si>
  <si>
    <t>Cliente 825</t>
  </si>
  <si>
    <t>Cliente 826</t>
  </si>
  <si>
    <t>Cliente 827</t>
  </si>
  <si>
    <t>Cliente 828</t>
  </si>
  <si>
    <t>Cliente 829</t>
  </si>
  <si>
    <t>Cliente 830</t>
  </si>
  <si>
    <t>Cliente 831</t>
  </si>
  <si>
    <t>Cliente 832</t>
  </si>
  <si>
    <t>Cliente 833</t>
  </si>
  <si>
    <t>Cliente 834</t>
  </si>
  <si>
    <t>Cliente 835</t>
  </si>
  <si>
    <t>Cliente 836</t>
  </si>
  <si>
    <t>Cliente 837</t>
  </si>
  <si>
    <t>Cliente 838</t>
  </si>
  <si>
    <t>Cliente 839</t>
  </si>
  <si>
    <t>Cliente 840</t>
  </si>
  <si>
    <t>Cliente 841</t>
  </si>
  <si>
    <t>Cliente 842</t>
  </si>
  <si>
    <t>Cliente 843</t>
  </si>
  <si>
    <t>Cliente 844</t>
  </si>
  <si>
    <t>Cliente 845</t>
  </si>
  <si>
    <t>Cliente 846</t>
  </si>
  <si>
    <t>Cliente 847</t>
  </si>
  <si>
    <t>Cliente 848</t>
  </si>
  <si>
    <t>Cliente 849</t>
  </si>
  <si>
    <t>Cliente 850</t>
  </si>
  <si>
    <t>Cliente 851</t>
  </si>
  <si>
    <t>Cliente 852</t>
  </si>
  <si>
    <t>Cliente 853</t>
  </si>
  <si>
    <t>Cliente 854</t>
  </si>
  <si>
    <t>Cliente 855</t>
  </si>
  <si>
    <t>Cliente 856</t>
  </si>
  <si>
    <t>Cliente 857</t>
  </si>
  <si>
    <t>Cliente 858</t>
  </si>
  <si>
    <t>Cliente 859</t>
  </si>
  <si>
    <t>Cliente 860</t>
  </si>
  <si>
    <t>Cliente 861</t>
  </si>
  <si>
    <t>Cliente 862</t>
  </si>
  <si>
    <t>Cliente 863</t>
  </si>
  <si>
    <t>Cliente 864</t>
  </si>
  <si>
    <t>Cliente 865</t>
  </si>
  <si>
    <t>Cliente 866</t>
  </si>
  <si>
    <t>Cliente 867</t>
  </si>
  <si>
    <t>Cliente 868</t>
  </si>
  <si>
    <t>Cliente 869</t>
  </si>
  <si>
    <t>Cliente 870</t>
  </si>
  <si>
    <t>Cliente 871</t>
  </si>
  <si>
    <t>Cliente 872</t>
  </si>
  <si>
    <t>Cliente 873</t>
  </si>
  <si>
    <t>Cliente 874</t>
  </si>
  <si>
    <t>Cliente 875</t>
  </si>
  <si>
    <t>Cliente 876</t>
  </si>
  <si>
    <t>Cliente 877</t>
  </si>
  <si>
    <t>Cliente 878</t>
  </si>
  <si>
    <t>Cliente 879</t>
  </si>
  <si>
    <t>Cliente 880</t>
  </si>
  <si>
    <t>Cliente 881</t>
  </si>
  <si>
    <t>Cliente 882</t>
  </si>
  <si>
    <t>Cliente 883</t>
  </si>
  <si>
    <t>Cliente 884</t>
  </si>
  <si>
    <t>Cliente 885</t>
  </si>
  <si>
    <t>Cliente 886</t>
  </si>
  <si>
    <t>Cliente 887</t>
  </si>
  <si>
    <t>Cliente 888</t>
  </si>
  <si>
    <t>Cliente 889</t>
  </si>
  <si>
    <t>Cliente 890</t>
  </si>
  <si>
    <t>Cliente 891</t>
  </si>
  <si>
    <t>Cliente 892</t>
  </si>
  <si>
    <t>Cliente 893</t>
  </si>
  <si>
    <t>Cliente 894</t>
  </si>
  <si>
    <t>Cliente 895</t>
  </si>
  <si>
    <t>Cliente 896</t>
  </si>
  <si>
    <t>Cliente 897</t>
  </si>
  <si>
    <t>Cliente 898</t>
  </si>
  <si>
    <t>Cliente 899</t>
  </si>
  <si>
    <t>Cliente 900</t>
  </si>
  <si>
    <t>Cliente 901</t>
  </si>
  <si>
    <t>Cliente 902</t>
  </si>
  <si>
    <t>Cliente 903</t>
  </si>
  <si>
    <t>Cliente 904</t>
  </si>
  <si>
    <t>Cliente 905</t>
  </si>
  <si>
    <t>Cliente 906</t>
  </si>
  <si>
    <t>Cliente 907</t>
  </si>
  <si>
    <t>Cliente 908</t>
  </si>
  <si>
    <t>Cliente 909</t>
  </si>
  <si>
    <t>Cliente 910</t>
  </si>
  <si>
    <t>Cliente 911</t>
  </si>
  <si>
    <t>Cliente 912</t>
  </si>
  <si>
    <t>Cliente 913</t>
  </si>
  <si>
    <t>Cliente 914</t>
  </si>
  <si>
    <t>Cliente 915</t>
  </si>
  <si>
    <t>Cliente 916</t>
  </si>
  <si>
    <t>Cliente 917</t>
  </si>
  <si>
    <t>Cliente 918</t>
  </si>
  <si>
    <t>Cliente 919</t>
  </si>
  <si>
    <t>Cliente 920</t>
  </si>
  <si>
    <t>Cliente 921</t>
  </si>
  <si>
    <t>Cliente 922</t>
  </si>
  <si>
    <t>Cliente 923</t>
  </si>
  <si>
    <t>Cliente 924</t>
  </si>
  <si>
    <t>Cliente 925</t>
  </si>
  <si>
    <t>Cliente 926</t>
  </si>
  <si>
    <t>Cliente 927</t>
  </si>
  <si>
    <t>Cliente 928</t>
  </si>
  <si>
    <t>Cliente 929</t>
  </si>
  <si>
    <t>Cliente 930</t>
  </si>
  <si>
    <t>Cliente 931</t>
  </si>
  <si>
    <t>Cliente 932</t>
  </si>
  <si>
    <t>Cliente 933</t>
  </si>
  <si>
    <t>Cliente 934</t>
  </si>
  <si>
    <t>Cliente 935</t>
  </si>
  <si>
    <t>Cliente 936</t>
  </si>
  <si>
    <t>Cliente 937</t>
  </si>
  <si>
    <t>Cliente 938</t>
  </si>
  <si>
    <t>Cliente 939</t>
  </si>
  <si>
    <t>Cliente 940</t>
  </si>
  <si>
    <t>Cliente 941</t>
  </si>
  <si>
    <t>Cliente 942</t>
  </si>
  <si>
    <t>Cliente 943</t>
  </si>
  <si>
    <t>Cliente 944</t>
  </si>
  <si>
    <t>Cliente 945</t>
  </si>
  <si>
    <t>Cliente 946</t>
  </si>
  <si>
    <t>Cliente 947</t>
  </si>
  <si>
    <t>Cliente 948</t>
  </si>
  <si>
    <t>Cliente 949</t>
  </si>
  <si>
    <t>Cliente 950</t>
  </si>
  <si>
    <t>Cliente 951</t>
  </si>
  <si>
    <t>Cliente 952</t>
  </si>
  <si>
    <t>Cliente 953</t>
  </si>
  <si>
    <t>Cliente 954</t>
  </si>
  <si>
    <t>Cliente 955</t>
  </si>
  <si>
    <t>Cliente 956</t>
  </si>
  <si>
    <t>Cliente 957</t>
  </si>
  <si>
    <t>Cliente 958</t>
  </si>
  <si>
    <t>Cliente 959</t>
  </si>
  <si>
    <t>Cliente 960</t>
  </si>
  <si>
    <t>Cliente 961</t>
  </si>
  <si>
    <t>Cliente 962</t>
  </si>
  <si>
    <t>Cliente 963</t>
  </si>
  <si>
    <t>Cliente 964</t>
  </si>
  <si>
    <t>Cliente 965</t>
  </si>
  <si>
    <t>Cliente 966</t>
  </si>
  <si>
    <t>Cliente 967</t>
  </si>
  <si>
    <t>Cliente 968</t>
  </si>
  <si>
    <t>Cliente 969</t>
  </si>
  <si>
    <t>Cliente 970</t>
  </si>
  <si>
    <t>Cliente 971</t>
  </si>
  <si>
    <t>Cliente 972</t>
  </si>
  <si>
    <t>Cliente 973</t>
  </si>
  <si>
    <t>Cliente 974</t>
  </si>
  <si>
    <t>Cliente 975</t>
  </si>
  <si>
    <t>Cliente 976</t>
  </si>
  <si>
    <t>Cliente 977</t>
  </si>
  <si>
    <t>Cliente 978</t>
  </si>
  <si>
    <t>Cliente 979</t>
  </si>
  <si>
    <t>Cliente 980</t>
  </si>
  <si>
    <t>Cliente 981</t>
  </si>
  <si>
    <t>Cliente 982</t>
  </si>
  <si>
    <t>Cliente 983</t>
  </si>
  <si>
    <t>Cliente 984</t>
  </si>
  <si>
    <t>Cliente 985</t>
  </si>
  <si>
    <t>Cliente 986</t>
  </si>
  <si>
    <t>Cliente 987</t>
  </si>
  <si>
    <t>Cliente 988</t>
  </si>
  <si>
    <t>Cliente 989</t>
  </si>
  <si>
    <t>Cliente 990</t>
  </si>
  <si>
    <t>Cliente 991</t>
  </si>
  <si>
    <t>Cliente 992</t>
  </si>
  <si>
    <t>Cliente 993</t>
  </si>
  <si>
    <t>Cliente 994</t>
  </si>
  <si>
    <t>Cliente 995</t>
  </si>
  <si>
    <t>Cliente 996</t>
  </si>
  <si>
    <t>Cliente 997</t>
  </si>
  <si>
    <t>Cliente 998</t>
  </si>
  <si>
    <t>Cliente 999</t>
  </si>
  <si>
    <t>Cliente 1000</t>
  </si>
  <si>
    <t>Cliente 1001</t>
  </si>
  <si>
    <t>Cliente 1002</t>
  </si>
  <si>
    <t>Cliente 1003</t>
  </si>
  <si>
    <t>Cliente 1004</t>
  </si>
  <si>
    <t>Cliente 1005</t>
  </si>
  <si>
    <t>Cliente 1006</t>
  </si>
  <si>
    <t>Cliente 1007</t>
  </si>
  <si>
    <t>Cliente 1008</t>
  </si>
  <si>
    <t>Cliente 1009</t>
  </si>
  <si>
    <t>Cliente 1010</t>
  </si>
  <si>
    <t>Cliente 1011</t>
  </si>
  <si>
    <t>Cliente 1012</t>
  </si>
  <si>
    <t>Cliente 1013</t>
  </si>
  <si>
    <t>Cliente 1014</t>
  </si>
  <si>
    <t>Cliente 1015</t>
  </si>
  <si>
    <t>Cliente 1016</t>
  </si>
  <si>
    <t>Cliente 1017</t>
  </si>
  <si>
    <t>Cliente 1018</t>
  </si>
  <si>
    <t>Cliente 1019</t>
  </si>
  <si>
    <t>Cliente 1020</t>
  </si>
  <si>
    <t>Cliente 1021</t>
  </si>
  <si>
    <t>Cliente 1022</t>
  </si>
  <si>
    <t>Cliente 1023</t>
  </si>
  <si>
    <t>Cliente 1024</t>
  </si>
  <si>
    <t>Cliente 1025</t>
  </si>
  <si>
    <t>Cliente 1026</t>
  </si>
  <si>
    <t>Cliente 1027</t>
  </si>
  <si>
    <t>Cliente 1028</t>
  </si>
  <si>
    <t>Cliente 1029</t>
  </si>
  <si>
    <t>Cliente 1030</t>
  </si>
  <si>
    <t>Cliente 1031</t>
  </si>
  <si>
    <t>Cliente 1032</t>
  </si>
  <si>
    <t>Cliente 1033</t>
  </si>
  <si>
    <t>Cliente 1034</t>
  </si>
  <si>
    <t>Cliente 1035</t>
  </si>
  <si>
    <t>Cliente 1036</t>
  </si>
  <si>
    <t>Cliente 1037</t>
  </si>
  <si>
    <t>Cliente 1038</t>
  </si>
  <si>
    <t>Cliente 1039</t>
  </si>
  <si>
    <t>Cliente 1040</t>
  </si>
  <si>
    <t>Cliente 1041</t>
  </si>
  <si>
    <t>Cliente 1042</t>
  </si>
  <si>
    <t>Cliente 1043</t>
  </si>
  <si>
    <t>Cliente 1044</t>
  </si>
  <si>
    <t>Cliente 1045</t>
  </si>
  <si>
    <t>Cliente 1046</t>
  </si>
  <si>
    <t>Cliente 1047</t>
  </si>
  <si>
    <t>Cliente 1048</t>
  </si>
  <si>
    <t>Cliente 1049</t>
  </si>
  <si>
    <t>Cliente 1050</t>
  </si>
  <si>
    <t>Cliente 1051</t>
  </si>
  <si>
    <t>Cliente 1052</t>
  </si>
  <si>
    <t>Cliente 1053</t>
  </si>
  <si>
    <t>Cliente 1054</t>
  </si>
  <si>
    <t>Cliente 1055</t>
  </si>
  <si>
    <t>Cliente 1056</t>
  </si>
  <si>
    <t>Cliente 1057</t>
  </si>
  <si>
    <t>Cliente 1058</t>
  </si>
  <si>
    <t>Cliente 1059</t>
  </si>
  <si>
    <t>Cliente 1060</t>
  </si>
  <si>
    <t>Cliente 1061</t>
  </si>
  <si>
    <t>Cliente 1062</t>
  </si>
  <si>
    <t>Cliente 1063</t>
  </si>
  <si>
    <t>Cliente 1064</t>
  </si>
  <si>
    <t>Cliente 1065</t>
  </si>
  <si>
    <t>Cliente 1066</t>
  </si>
  <si>
    <t>Cliente 1067</t>
  </si>
  <si>
    <t>Cliente 1068</t>
  </si>
  <si>
    <t>Cliente 1069</t>
  </si>
  <si>
    <t>Cliente 1070</t>
  </si>
  <si>
    <t>Cliente 1071</t>
  </si>
  <si>
    <t>Cliente 1072</t>
  </si>
  <si>
    <t>Cliente 1073</t>
  </si>
  <si>
    <t>Cliente 1074</t>
  </si>
  <si>
    <t>Cliente 1075</t>
  </si>
  <si>
    <t>Cliente 1076</t>
  </si>
  <si>
    <t>Cliente 1077</t>
  </si>
  <si>
    <t>Cliente 1078</t>
  </si>
  <si>
    <t>Cliente 1079</t>
  </si>
  <si>
    <t>Cliente 1080</t>
  </si>
  <si>
    <t>Cliente 1081</t>
  </si>
  <si>
    <t>Cliente 1082</t>
  </si>
  <si>
    <t>Cliente 1083</t>
  </si>
  <si>
    <t>Cliente 1084</t>
  </si>
  <si>
    <t>Cliente 1085</t>
  </si>
  <si>
    <t>Cliente 1086</t>
  </si>
  <si>
    <t>Cliente 1087</t>
  </si>
  <si>
    <t>Cliente 1088</t>
  </si>
  <si>
    <t>Cliente 1089</t>
  </si>
  <si>
    <t>Cliente 1090</t>
  </si>
  <si>
    <t>Cliente 1091</t>
  </si>
  <si>
    <t>Cliente 1092</t>
  </si>
  <si>
    <t>Cliente 1093</t>
  </si>
  <si>
    <t>Cliente 1094</t>
  </si>
  <si>
    <t>Cliente 1095</t>
  </si>
  <si>
    <t>Cliente 1096</t>
  </si>
  <si>
    <t>Cliente 1097</t>
  </si>
  <si>
    <t>Cliente 1098</t>
  </si>
  <si>
    <t>Cliente 1099</t>
  </si>
  <si>
    <t>Cliente 1100</t>
  </si>
  <si>
    <t>Cliente 1101</t>
  </si>
  <si>
    <t>Cliente 1102</t>
  </si>
  <si>
    <t>Cliente 1103</t>
  </si>
  <si>
    <t>Cliente 1104</t>
  </si>
  <si>
    <t>Cliente 1105</t>
  </si>
  <si>
    <t>Cliente 1106</t>
  </si>
  <si>
    <t>Cliente 1107</t>
  </si>
  <si>
    <t>Cliente 1108</t>
  </si>
  <si>
    <t>Cliente 1109</t>
  </si>
  <si>
    <t>Cliente 1110</t>
  </si>
  <si>
    <t>Cliente 1111</t>
  </si>
  <si>
    <t>Cliente 1112</t>
  </si>
  <si>
    <t>Cliente 1113</t>
  </si>
  <si>
    <t>Cliente 1114</t>
  </si>
  <si>
    <t>Cliente 1115</t>
  </si>
  <si>
    <t>Cliente 1116</t>
  </si>
  <si>
    <t>Cliente 1117</t>
  </si>
  <si>
    <t>Cliente 1118</t>
  </si>
  <si>
    <t>Cliente 1119</t>
  </si>
  <si>
    <t>Cliente 1120</t>
  </si>
  <si>
    <t>Cliente 1121</t>
  </si>
  <si>
    <t>Cliente 1122</t>
  </si>
  <si>
    <t>Cliente 1123</t>
  </si>
  <si>
    <t>Cliente 1124</t>
  </si>
  <si>
    <t>Cliente 1125</t>
  </si>
  <si>
    <t>Cliente 1126</t>
  </si>
  <si>
    <t>Cliente 1127</t>
  </si>
  <si>
    <t>Cliente 1128</t>
  </si>
  <si>
    <t>Cliente 1129</t>
  </si>
  <si>
    <t>Cliente 1130</t>
  </si>
  <si>
    <t>Cliente 1131</t>
  </si>
  <si>
    <t>Cliente 1132</t>
  </si>
  <si>
    <t>Cliente 1133</t>
  </si>
  <si>
    <t>Cliente 1134</t>
  </si>
  <si>
    <t>Cliente 1135</t>
  </si>
  <si>
    <t>Cliente 1136</t>
  </si>
  <si>
    <t>Cliente 1137</t>
  </si>
  <si>
    <t>Cliente 1138</t>
  </si>
  <si>
    <t>Cliente 1139</t>
  </si>
  <si>
    <t>Cliente 1140</t>
  </si>
  <si>
    <t>Cliente 1141</t>
  </si>
  <si>
    <t>Cliente 1142</t>
  </si>
  <si>
    <t>Cliente 1143</t>
  </si>
  <si>
    <t>Cliente 1144</t>
  </si>
  <si>
    <t>Cliente 1145</t>
  </si>
  <si>
    <t>Cliente 1146</t>
  </si>
  <si>
    <t>Cliente 1147</t>
  </si>
  <si>
    <t>Cliente 1148</t>
  </si>
  <si>
    <t>Cliente 1149</t>
  </si>
  <si>
    <t>Cliente 1150</t>
  </si>
  <si>
    <t>Cliente 1151</t>
  </si>
  <si>
    <t>Cliente 1152</t>
  </si>
  <si>
    <t>Cliente 1153</t>
  </si>
  <si>
    <t>Cliente 1154</t>
  </si>
  <si>
    <t>Cliente 1155</t>
  </si>
  <si>
    <t>Cliente 1156</t>
  </si>
  <si>
    <t>Cliente 1157</t>
  </si>
  <si>
    <t>Cliente 1158</t>
  </si>
  <si>
    <t>Cliente 1159</t>
  </si>
  <si>
    <t>Cliente 1160</t>
  </si>
  <si>
    <t>Cliente 1161</t>
  </si>
  <si>
    <t>Cliente 1162</t>
  </si>
  <si>
    <t>Cliente 1163</t>
  </si>
  <si>
    <t>Cliente 1164</t>
  </si>
  <si>
    <t>Cliente 1165</t>
  </si>
  <si>
    <t>Cliente 1166</t>
  </si>
  <si>
    <t>Cliente 1167</t>
  </si>
  <si>
    <t>Cliente 1168</t>
  </si>
  <si>
    <t>Cliente 1169</t>
  </si>
  <si>
    <t>Cliente 1170</t>
  </si>
  <si>
    <t>Cliente 1171</t>
  </si>
  <si>
    <t>Cliente 1172</t>
  </si>
  <si>
    <t>Cliente 1173</t>
  </si>
  <si>
    <t>Cliente 1174</t>
  </si>
  <si>
    <t>Cliente 1175</t>
  </si>
  <si>
    <t>Cliente 1176</t>
  </si>
  <si>
    <t>Cliente 1177</t>
  </si>
  <si>
    <t>Cliente 1178</t>
  </si>
  <si>
    <t>Cliente 1179</t>
  </si>
  <si>
    <t>Cliente 1180</t>
  </si>
  <si>
    <t>Cliente 1181</t>
  </si>
  <si>
    <t>Cliente 1182</t>
  </si>
  <si>
    <t>Cliente 1183</t>
  </si>
  <si>
    <t>Cliente 1184</t>
  </si>
  <si>
    <t>Cliente 1185</t>
  </si>
  <si>
    <t>Cliente 1186</t>
  </si>
  <si>
    <t>Cliente 1187</t>
  </si>
  <si>
    <t>Cliente 1188</t>
  </si>
  <si>
    <t>Cliente 1189</t>
  </si>
  <si>
    <t>Cliente 1190</t>
  </si>
  <si>
    <t>Cliente 1191</t>
  </si>
  <si>
    <t>Cliente 1192</t>
  </si>
  <si>
    <t>Cliente 1193</t>
  </si>
  <si>
    <t>Cliente 1194</t>
  </si>
  <si>
    <t>Cliente 1195</t>
  </si>
  <si>
    <t>Cliente 1196</t>
  </si>
  <si>
    <t>Cliente 1197</t>
  </si>
  <si>
    <t>Cliente 1198</t>
  </si>
  <si>
    <t>Cliente 1199</t>
  </si>
  <si>
    <t>Cliente 1200</t>
  </si>
  <si>
    <t>Cliente 1201</t>
  </si>
  <si>
    <t>Cliente 1202</t>
  </si>
  <si>
    <t>Cliente 1203</t>
  </si>
  <si>
    <t>Cliente 1204</t>
  </si>
  <si>
    <t>Cliente 1205</t>
  </si>
  <si>
    <t>Cliente 1206</t>
  </si>
  <si>
    <t>Cliente 1207</t>
  </si>
  <si>
    <t>Cliente 1208</t>
  </si>
  <si>
    <t>Cliente 1209</t>
  </si>
  <si>
    <t>Cliente 1210</t>
  </si>
  <si>
    <t>Cliente 1211</t>
  </si>
  <si>
    <t>Cliente 1212</t>
  </si>
  <si>
    <t>Cliente 1213</t>
  </si>
  <si>
    <t>Cliente 1214</t>
  </si>
  <si>
    <t>Cliente 1215</t>
  </si>
  <si>
    <t>Cliente 1216</t>
  </si>
  <si>
    <t>Cliente 1217</t>
  </si>
  <si>
    <t>Cliente 1218</t>
  </si>
  <si>
    <t>Cliente 1219</t>
  </si>
  <si>
    <t>Cliente 1220</t>
  </si>
  <si>
    <t>Cliente 1221</t>
  </si>
  <si>
    <t>Cliente 1222</t>
  </si>
  <si>
    <t>Cliente 1223</t>
  </si>
  <si>
    <t>Cliente 1224</t>
  </si>
  <si>
    <t>Cliente 1225</t>
  </si>
  <si>
    <t>Cliente 1226</t>
  </si>
  <si>
    <t>Cliente 1227</t>
  </si>
  <si>
    <t>Cliente 1228</t>
  </si>
  <si>
    <t>Cliente 1229</t>
  </si>
  <si>
    <t>Cliente 1230</t>
  </si>
  <si>
    <t>Cliente 1231</t>
  </si>
  <si>
    <t>Cliente 1232</t>
  </si>
  <si>
    <t>Cliente 1233</t>
  </si>
  <si>
    <t>Cliente 1234</t>
  </si>
  <si>
    <t>Cliente 1235</t>
  </si>
  <si>
    <t>Cliente 1236</t>
  </si>
  <si>
    <t>Cliente 1237</t>
  </si>
  <si>
    <t>Cliente 1238</t>
  </si>
  <si>
    <t>Cliente 1239</t>
  </si>
  <si>
    <t>Cliente 1240</t>
  </si>
  <si>
    <t>Cliente 1241</t>
  </si>
  <si>
    <t>Cliente 1242</t>
  </si>
  <si>
    <t>Cliente 1243</t>
  </si>
  <si>
    <t>Cliente 1244</t>
  </si>
  <si>
    <t>Cliente 1245</t>
  </si>
  <si>
    <t>Cliente 1246</t>
  </si>
  <si>
    <t>Cliente 1247</t>
  </si>
  <si>
    <t>Cliente 1248</t>
  </si>
  <si>
    <t>Cliente 1249</t>
  </si>
  <si>
    <t>Marca</t>
  </si>
  <si>
    <t>Marca 1</t>
  </si>
  <si>
    <t>Marca 3</t>
  </si>
  <si>
    <t>Marca 2</t>
  </si>
  <si>
    <t>Regional</t>
  </si>
  <si>
    <t>Regional 2</t>
  </si>
  <si>
    <t>Regional 3</t>
  </si>
  <si>
    <t>Regional 1</t>
  </si>
  <si>
    <t>Codigo cliente</t>
  </si>
  <si>
    <t>Supervisor 1</t>
  </si>
  <si>
    <t>Supervisor 2</t>
  </si>
  <si>
    <t>Supervisor 3</t>
  </si>
  <si>
    <t>Supervisor 4</t>
  </si>
  <si>
    <t>Supervisor 5</t>
  </si>
  <si>
    <t>Supervisor 6</t>
  </si>
  <si>
    <t>Supervisor 7</t>
  </si>
  <si>
    <t>Supervisor 8</t>
  </si>
  <si>
    <t>Olá tudo bem ?_x000D_
_x000D_
Anexo o resumo do seu desempenho de vendas !</t>
  </si>
  <si>
    <t>inserir email aqui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</si>
</sst>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&quot;R$&quot;* #,##0.00_-;\-&quot;R$&quot;* #,##0.00_-;_-&quot;R$&quot;* &quot;-&quot;??_-;_-@_-"/>
    <numFmt numFmtId="165" formatCode="_-&quot;R$&quot;* #,##0_-;\-&quot;R$&quot;* #,##0_-;_-&quot;R$&quot;* &quot;-&quot;??_-;_-@_-"/>
  </numFmts>
  <fonts count="29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8"/>
      <color indexed="8"/>
      <name val="Tahoma"/>
      <family val="2"/>
    </font>
    <font>
      <sz val="8"/>
      <color theme="1"/>
      <name val="Tahoma"/>
      <family val="2"/>
    </font>
    <font>
      <i/>
      <sz val="11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indexed="8"/>
      <name val="Calibri"/>
      <family val="2"/>
    </font>
    <font>
      <b/>
      <sz val="11"/>
      <color theme="0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u/>
      <sz val="16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</fonts>
  <fills count="45">
    <fill>
      <patternFill patternType="none"/>
    </fill>
    <fill>
      <patternFill patternType="gray125"/>
    </fill>
    <fill>
      <patternFill patternType="solid">
        <fgColor theme="4" tint="0.59999389629810485"/>
        <bgColor indexed="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22"/>
        <bgColor indexed="0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59999389629810485"/>
        <bgColor indexed="0"/>
      </patternFill>
    </fill>
    <fill>
      <patternFill patternType="solid">
        <fgColor theme="6" tint="0.59999389629810485"/>
        <bgColor indexed="64"/>
      </patternFill>
    </fill>
  </fills>
  <borders count="34">
    <border>
      <left/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 style="thin">
        <color indexed="64"/>
      </right>
      <top style="thin">
        <color indexed="64"/>
      </top>
      <bottom/>
      <diagonal/>
    </border>
  </borders>
  <cellStyleXfs count="72">
    <xf numFmtId="0" fontId="0" fillId="0" borderId="0"/>
    <xf numFmtId="0" fontId="1" fillId="0" borderId="0"/>
    <xf numFmtId="0" fontId="4" fillId="0" borderId="0" applyNumberFormat="0" applyFill="0" applyBorder="0" applyAlignment="0" applyProtection="0"/>
    <xf numFmtId="9" fontId="5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9" fillId="0" borderId="2" applyNumberFormat="0" applyFill="0" applyAlignment="0" applyProtection="0"/>
    <xf numFmtId="0" fontId="10" fillId="0" borderId="3" applyNumberFormat="0" applyFill="0" applyAlignment="0" applyProtection="0"/>
    <xf numFmtId="0" fontId="11" fillId="0" borderId="4" applyNumberFormat="0" applyFill="0" applyAlignment="0" applyProtection="0"/>
    <xf numFmtId="0" fontId="11" fillId="0" borderId="0" applyNumberFormat="0" applyFill="0" applyBorder="0" applyAlignment="0" applyProtection="0"/>
    <xf numFmtId="0" fontId="12" fillId="8" borderId="0" applyNumberFormat="0" applyBorder="0" applyAlignment="0" applyProtection="0"/>
    <xf numFmtId="0" fontId="13" fillId="9" borderId="0" applyNumberFormat="0" applyBorder="0" applyAlignment="0" applyProtection="0"/>
    <xf numFmtId="0" fontId="14" fillId="11" borderId="5" applyNumberFormat="0" applyAlignment="0" applyProtection="0"/>
    <xf numFmtId="0" fontId="15" fillId="12" borderId="6" applyNumberFormat="0" applyAlignment="0" applyProtection="0"/>
    <xf numFmtId="0" fontId="16" fillId="12" borderId="5" applyNumberFormat="0" applyAlignment="0" applyProtection="0"/>
    <xf numFmtId="0" fontId="17" fillId="0" borderId="7" applyNumberFormat="0" applyFill="0" applyAlignment="0" applyProtection="0"/>
    <xf numFmtId="0" fontId="7" fillId="13" borderId="8" applyNumberFormat="0" applyAlignment="0" applyProtection="0"/>
    <xf numFmtId="0" fontId="18" fillId="0" borderId="0" applyNumberFormat="0" applyFill="0" applyBorder="0" applyAlignment="0" applyProtection="0"/>
    <xf numFmtId="0" fontId="5" fillId="14" borderId="9" applyNumberFormat="0" applyFont="0" applyAlignment="0" applyProtection="0"/>
    <xf numFmtId="0" fontId="19" fillId="0" borderId="10" applyNumberFormat="0" applyFill="0" applyAlignment="0" applyProtection="0"/>
    <xf numFmtId="0" fontId="20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20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20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20" fillId="27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20" fillId="31" borderId="0" applyNumberFormat="0" applyBorder="0" applyAlignment="0" applyProtection="0"/>
    <xf numFmtId="0" fontId="5" fillId="32" borderId="0" applyNumberFormat="0" applyBorder="0" applyAlignment="0" applyProtection="0"/>
    <xf numFmtId="0" fontId="5" fillId="33" borderId="0" applyNumberFormat="0" applyBorder="0" applyAlignment="0" applyProtection="0"/>
    <xf numFmtId="0" fontId="20" fillId="35" borderId="0" applyNumberFormat="0" applyBorder="0" applyAlignment="0" applyProtection="0"/>
    <xf numFmtId="0" fontId="5" fillId="36" borderId="0" applyNumberFormat="0" applyBorder="0" applyAlignment="0" applyProtection="0"/>
    <xf numFmtId="0" fontId="5" fillId="37" borderId="0" applyNumberFormat="0" applyBorder="0" applyAlignment="0" applyProtection="0"/>
    <xf numFmtId="43" fontId="5" fillId="0" borderId="0" applyFont="0" applyFill="0" applyBorder="0" applyAlignment="0" applyProtection="0"/>
    <xf numFmtId="0" fontId="21" fillId="10" borderId="0" applyNumberFormat="0" applyBorder="0" applyAlignment="0" applyProtection="0"/>
    <xf numFmtId="0" fontId="20" fillId="18" borderId="0" applyNumberFormat="0" applyBorder="0" applyAlignment="0" applyProtection="0"/>
    <xf numFmtId="0" fontId="20" fillId="22" borderId="0" applyNumberFormat="0" applyBorder="0" applyAlignment="0" applyProtection="0"/>
    <xf numFmtId="0" fontId="20" fillId="26" borderId="0" applyNumberFormat="0" applyBorder="0" applyAlignment="0" applyProtection="0"/>
    <xf numFmtId="0" fontId="20" fillId="30" borderId="0" applyNumberFormat="0" applyBorder="0" applyAlignment="0" applyProtection="0"/>
    <xf numFmtId="0" fontId="20" fillId="34" borderId="0" applyNumberFormat="0" applyBorder="0" applyAlignment="0" applyProtection="0"/>
    <xf numFmtId="0" fontId="20" fillId="38" borderId="0" applyNumberFormat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6" fillId="0" borderId="0"/>
  </cellStyleXfs>
  <cellXfs count="8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/>
    <xf numFmtId="0" fontId="3" fillId="0" borderId="0" xfId="0" applyFont="1" applyAlignment="1"/>
    <xf numFmtId="4" fontId="0" fillId="0" borderId="0" xfId="0" applyNumberFormat="1" applyAlignment="1"/>
    <xf numFmtId="4" fontId="0" fillId="0" borderId="0" xfId="0" applyNumberFormat="1" applyAlignment="1">
      <alignment horizontal="center"/>
    </xf>
    <xf numFmtId="3" fontId="3" fillId="0" borderId="0" xfId="0" applyNumberFormat="1" applyFont="1" applyFill="1" applyAlignment="1">
      <alignment horizontal="center"/>
    </xf>
    <xf numFmtId="3" fontId="3" fillId="3" borderId="0" xfId="0" applyNumberFormat="1" applyFont="1" applyFill="1" applyAlignment="1"/>
    <xf numFmtId="3" fontId="3" fillId="5" borderId="0" xfId="0" applyNumberFormat="1" applyFont="1" applyFill="1" applyAlignment="1"/>
    <xf numFmtId="0" fontId="3" fillId="7" borderId="0" xfId="0" applyFont="1" applyFill="1" applyAlignment="1">
      <alignment horizontal="center"/>
    </xf>
    <xf numFmtId="0" fontId="19" fillId="0" borderId="0" xfId="0" applyFont="1" applyAlignment="1"/>
    <xf numFmtId="0" fontId="2" fillId="0" borderId="11" xfId="2" applyFont="1" applyFill="1" applyBorder="1" applyAlignment="1">
      <alignment horizontal="center"/>
    </xf>
    <xf numFmtId="0" fontId="2" fillId="0" borderId="12" xfId="2" applyFont="1" applyFill="1" applyBorder="1" applyAlignment="1"/>
    <xf numFmtId="0" fontId="2" fillId="0" borderId="12" xfId="1" applyFont="1" applyFill="1" applyBorder="1" applyAlignment="1"/>
    <xf numFmtId="0" fontId="2" fillId="0" borderId="12" xfId="1" applyFont="1" applyFill="1" applyBorder="1" applyAlignment="1">
      <alignment horizontal="center"/>
    </xf>
    <xf numFmtId="0" fontId="2" fillId="0" borderId="12" xfId="2" applyFont="1" applyFill="1" applyBorder="1" applyAlignment="1">
      <alignment horizontal="center"/>
    </xf>
    <xf numFmtId="4" fontId="2" fillId="0" borderId="12" xfId="2" applyNumberFormat="1" applyFont="1" applyFill="1" applyBorder="1" applyAlignment="1"/>
    <xf numFmtId="9" fontId="2" fillId="0" borderId="12" xfId="3" applyNumberFormat="1" applyFont="1" applyFill="1" applyBorder="1" applyAlignment="1">
      <alignment horizontal="center"/>
    </xf>
    <xf numFmtId="4" fontId="2" fillId="39" borderId="1" xfId="2" applyNumberFormat="1" applyFont="1" applyFill="1" applyBorder="1" applyAlignment="1">
      <alignment horizontal="center"/>
    </xf>
    <xf numFmtId="43" fontId="2" fillId="0" borderId="13" xfId="69" applyFont="1" applyFill="1" applyBorder="1" applyAlignment="1">
      <alignment horizontal="center"/>
    </xf>
    <xf numFmtId="0" fontId="7" fillId="40" borderId="23" xfId="0" applyFont="1" applyFill="1" applyBorder="1" applyAlignment="1">
      <alignment horizontal="center"/>
    </xf>
    <xf numFmtId="0" fontId="7" fillId="40" borderId="24" xfId="0" applyFont="1" applyFill="1" applyBorder="1" applyAlignment="1">
      <alignment horizontal="center"/>
    </xf>
    <xf numFmtId="0" fontId="7" fillId="40" borderId="25" xfId="0" applyFont="1" applyFill="1" applyBorder="1" applyAlignment="1">
      <alignment horizontal="center"/>
    </xf>
    <xf numFmtId="0" fontId="0" fillId="0" borderId="20" xfId="69" applyNumberFormat="1" applyFont="1" applyBorder="1" applyAlignment="1">
      <alignment horizontal="center"/>
    </xf>
    <xf numFmtId="0" fontId="0" fillId="0" borderId="21" xfId="69" applyNumberFormat="1" applyFont="1" applyBorder="1" applyAlignment="1">
      <alignment horizontal="center"/>
    </xf>
    <xf numFmtId="0" fontId="0" fillId="0" borderId="22" xfId="69" applyNumberFormat="1" applyFont="1" applyBorder="1" applyAlignment="1">
      <alignment horizontal="center"/>
    </xf>
    <xf numFmtId="0" fontId="0" fillId="41" borderId="15" xfId="69" applyNumberFormat="1" applyFont="1" applyFill="1" applyBorder="1" applyAlignment="1">
      <alignment horizontal="center"/>
    </xf>
    <xf numFmtId="0" fontId="0" fillId="41" borderId="16" xfId="69" applyNumberFormat="1" applyFont="1" applyFill="1" applyBorder="1" applyAlignment="1">
      <alignment horizontal="center"/>
    </xf>
    <xf numFmtId="0" fontId="0" fillId="41" borderId="17" xfId="69" applyNumberFormat="1" applyFont="1" applyFill="1" applyBorder="1" applyAlignment="1">
      <alignment horizontal="center"/>
    </xf>
    <xf numFmtId="0" fontId="0" fillId="0" borderId="18" xfId="69" applyNumberFormat="1" applyFont="1" applyBorder="1" applyAlignment="1">
      <alignment horizontal="center"/>
    </xf>
    <xf numFmtId="0" fontId="0" fillId="0" borderId="0" xfId="69" applyNumberFormat="1" applyFont="1" applyBorder="1" applyAlignment="1">
      <alignment horizontal="center"/>
    </xf>
    <xf numFmtId="0" fontId="0" fillId="0" borderId="19" xfId="69" applyNumberFormat="1" applyFont="1" applyBorder="1" applyAlignment="1">
      <alignment horizontal="center"/>
    </xf>
    <xf numFmtId="0" fontId="0" fillId="41" borderId="18" xfId="69" applyNumberFormat="1" applyFont="1" applyFill="1" applyBorder="1" applyAlignment="1">
      <alignment horizontal="center"/>
    </xf>
    <xf numFmtId="0" fontId="0" fillId="41" borderId="0" xfId="69" applyNumberFormat="1" applyFont="1" applyFill="1" applyBorder="1" applyAlignment="1">
      <alignment horizontal="center"/>
    </xf>
    <xf numFmtId="0" fontId="0" fillId="41" borderId="19" xfId="69" applyNumberFormat="1" applyFont="1" applyFill="1" applyBorder="1" applyAlignment="1">
      <alignment horizontal="center"/>
    </xf>
    <xf numFmtId="0" fontId="0" fillId="0" borderId="26" xfId="69" applyNumberFormat="1" applyFont="1" applyBorder="1" applyAlignment="1">
      <alignment horizontal="center"/>
    </xf>
    <xf numFmtId="0" fontId="0" fillId="0" borderId="14" xfId="69" applyNumberFormat="1" applyFont="1" applyBorder="1" applyAlignment="1">
      <alignment horizontal="center"/>
    </xf>
    <xf numFmtId="0" fontId="0" fillId="0" borderId="27" xfId="69" applyNumberFormat="1" applyFont="1" applyBorder="1" applyAlignment="1">
      <alignment horizontal="center"/>
    </xf>
    <xf numFmtId="9" fontId="0" fillId="0" borderId="0" xfId="3" applyFont="1" applyAlignment="1"/>
    <xf numFmtId="9" fontId="3" fillId="0" borderId="0" xfId="3" applyFont="1" applyFill="1" applyAlignment="1">
      <alignment horizontal="center"/>
    </xf>
    <xf numFmtId="9" fontId="2" fillId="0" borderId="12" xfId="3" applyFont="1" applyFill="1" applyBorder="1" applyAlignment="1"/>
    <xf numFmtId="3" fontId="3" fillId="42" borderId="0" xfId="0" applyNumberFormat="1" applyFont="1" applyFill="1" applyAlignment="1"/>
    <xf numFmtId="0" fontId="0" fillId="44" borderId="16" xfId="0" applyFill="1" applyBorder="1" applyAlignment="1">
      <alignment horizontal="center"/>
    </xf>
    <xf numFmtId="9" fontId="19" fillId="44" borderId="16" xfId="3" applyFont="1" applyFill="1" applyBorder="1" applyAlignment="1">
      <alignment horizontal="center"/>
    </xf>
    <xf numFmtId="0" fontId="25" fillId="0" borderId="0" xfId="0" applyFont="1" applyFill="1" applyBorder="1"/>
    <xf numFmtId="4" fontId="0" fillId="0" borderId="0" xfId="0" applyNumberFormat="1" applyBorder="1" applyAlignment="1">
      <alignment horizontal="center"/>
    </xf>
    <xf numFmtId="4" fontId="20" fillId="0" borderId="0" xfId="0" applyNumberFormat="1" applyFont="1" applyBorder="1" applyAlignment="1"/>
    <xf numFmtId="4" fontId="2" fillId="6" borderId="29" xfId="1" applyNumberFormat="1" applyFont="1" applyFill="1" applyBorder="1" applyAlignment="1">
      <alignment horizontal="center"/>
    </xf>
    <xf numFmtId="9" fontId="2" fillId="0" borderId="25" xfId="3" applyNumberFormat="1" applyFont="1" applyFill="1" applyBorder="1" applyAlignment="1">
      <alignment horizontal="center"/>
    </xf>
    <xf numFmtId="0" fontId="0" fillId="44" borderId="0" xfId="0" applyFill="1" applyBorder="1" applyAlignment="1">
      <alignment horizontal="center"/>
    </xf>
    <xf numFmtId="9" fontId="19" fillId="44" borderId="0" xfId="3" applyFont="1" applyFill="1" applyBorder="1" applyAlignment="1">
      <alignment horizontal="center"/>
    </xf>
    <xf numFmtId="0" fontId="2" fillId="6" borderId="31" xfId="1" applyFont="1" applyFill="1" applyBorder="1" applyAlignment="1">
      <alignment horizontal="center"/>
    </xf>
    <xf numFmtId="0" fontId="2" fillId="6" borderId="32" xfId="1" applyFont="1" applyFill="1" applyBorder="1" applyAlignment="1">
      <alignment horizontal="center"/>
    </xf>
    <xf numFmtId="0" fontId="2" fillId="4" borderId="32" xfId="1" applyNumberFormat="1" applyFont="1" applyFill="1" applyBorder="1" applyAlignment="1">
      <alignment horizontal="center"/>
    </xf>
    <xf numFmtId="0" fontId="2" fillId="2" borderId="32" xfId="1" applyNumberFormat="1" applyFont="1" applyFill="1" applyBorder="1" applyAlignment="1">
      <alignment horizontal="center"/>
    </xf>
    <xf numFmtId="4" fontId="2" fillId="4" borderId="32" xfId="1" applyNumberFormat="1" applyFont="1" applyFill="1" applyBorder="1" applyAlignment="1">
      <alignment horizontal="center"/>
    </xf>
    <xf numFmtId="4" fontId="2" fillId="2" borderId="32" xfId="1" applyNumberFormat="1" applyFont="1" applyFill="1" applyBorder="1" applyAlignment="1">
      <alignment horizontal="center"/>
    </xf>
    <xf numFmtId="4" fontId="2" fillId="43" borderId="32" xfId="1" applyNumberFormat="1" applyFont="1" applyFill="1" applyBorder="1" applyAlignment="1">
      <alignment horizontal="center"/>
    </xf>
    <xf numFmtId="4" fontId="2" fillId="6" borderId="32" xfId="1" applyNumberFormat="1" applyFont="1" applyFill="1" applyBorder="1" applyAlignment="1">
      <alignment horizontal="center"/>
    </xf>
    <xf numFmtId="9" fontId="2" fillId="6" borderId="32" xfId="3" applyFont="1" applyFill="1" applyBorder="1" applyAlignment="1">
      <alignment horizontal="center"/>
    </xf>
    <xf numFmtId="4" fontId="6" fillId="6" borderId="32" xfId="1" applyNumberFormat="1" applyFont="1" applyFill="1" applyBorder="1" applyAlignment="1">
      <alignment horizontal="center"/>
    </xf>
    <xf numFmtId="4" fontId="2" fillId="6" borderId="33" xfId="1" applyNumberFormat="1" applyFont="1" applyFill="1" applyBorder="1" applyAlignment="1">
      <alignment horizontal="center"/>
    </xf>
    <xf numFmtId="165" fontId="2" fillId="0" borderId="28" xfId="2" applyNumberFormat="1" applyFont="1" applyFill="1" applyBorder="1" applyAlignment="1">
      <alignment horizontal="center"/>
    </xf>
    <xf numFmtId="4" fontId="24" fillId="0" borderId="0" xfId="70" applyNumberFormat="1" applyAlignment="1"/>
    <xf numFmtId="0" fontId="0" fillId="0" borderId="0" xfId="0" applyBorder="1"/>
    <xf numFmtId="4" fontId="2" fillId="39" borderId="0" xfId="2" applyNumberFormat="1" applyFont="1" applyFill="1" applyBorder="1" applyAlignment="1">
      <alignment horizontal="center"/>
    </xf>
    <xf numFmtId="43" fontId="2" fillId="0" borderId="18" xfId="69" applyFont="1" applyFill="1" applyBorder="1" applyAlignment="1">
      <alignment horizontal="center"/>
    </xf>
    <xf numFmtId="43" fontId="2" fillId="0" borderId="20" xfId="69" applyFont="1" applyFill="1" applyBorder="1" applyAlignment="1">
      <alignment horizontal="center"/>
    </xf>
    <xf numFmtId="43" fontId="2" fillId="0" borderId="0" xfId="69" applyFont="1" applyFill="1" applyBorder="1" applyAlignment="1">
      <alignment horizontal="center"/>
    </xf>
    <xf numFmtId="4" fontId="2" fillId="0" borderId="12" xfId="2" applyNumberFormat="1" applyFont="1" applyFill="1" applyBorder="1" applyAlignment="1">
      <alignment horizontal="center"/>
    </xf>
    <xf numFmtId="9" fontId="2" fillId="0" borderId="12" xfId="3" applyFont="1" applyFill="1" applyBorder="1" applyAlignment="1">
      <alignment horizontal="center"/>
    </xf>
    <xf numFmtId="0" fontId="24" fillId="0" borderId="0" xfId="70"/>
    <xf numFmtId="0" fontId="22" fillId="44" borderId="13" xfId="0" applyFont="1" applyFill="1" applyBorder="1" applyAlignment="1">
      <alignment horizontal="center" vertical="center"/>
    </xf>
    <xf numFmtId="0" fontId="23" fillId="44" borderId="13" xfId="0" applyFont="1" applyFill="1" applyBorder="1" applyAlignment="1">
      <alignment horizontal="center" vertical="center"/>
    </xf>
    <xf numFmtId="0" fontId="23" fillId="44" borderId="23" xfId="0" applyFont="1" applyFill="1" applyBorder="1" applyAlignment="1">
      <alignment horizontal="center" vertical="center"/>
    </xf>
    <xf numFmtId="0" fontId="23" fillId="44" borderId="30" xfId="0" applyFont="1" applyFill="1" applyBorder="1" applyAlignment="1">
      <alignment horizontal="center" vertical="center"/>
    </xf>
    <xf numFmtId="0" fontId="23" fillId="44" borderId="15" xfId="0" applyFont="1" applyFill="1" applyBorder="1" applyAlignment="1">
      <alignment horizontal="center" vertical="center"/>
    </xf>
    <xf numFmtId="14" fontId="0" fillId="44" borderId="17" xfId="0" applyNumberFormat="1" applyFill="1" applyBorder="1" applyAlignment="1">
      <alignment horizontal="center" vertical="center"/>
    </xf>
    <xf numFmtId="0" fontId="0" fillId="44" borderId="19" xfId="0" applyFill="1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</cellXfs>
  <cellStyles count="72">
    <cellStyle name="20% - Ênfase1" xfId="20" builtinId="30" customBuiltin="1"/>
    <cellStyle name="20% - Ênfase2" xfId="23" builtinId="34" customBuiltin="1"/>
    <cellStyle name="20% - Ênfase3" xfId="26" builtinId="38" customBuiltin="1"/>
    <cellStyle name="20% - Ênfase4" xfId="29" builtinId="42" customBuiltin="1"/>
    <cellStyle name="20% - Ênfase5" xfId="32" builtinId="46" customBuiltin="1"/>
    <cellStyle name="20% - Ênfase6" xfId="35" builtinId="50" customBuiltin="1"/>
    <cellStyle name="40% - Ênfase1" xfId="21" builtinId="31" customBuiltin="1"/>
    <cellStyle name="40% - Ênfase2" xfId="24" builtinId="35" customBuiltin="1"/>
    <cellStyle name="40% - Ênfase3" xfId="27" builtinId="39" customBuiltin="1"/>
    <cellStyle name="40% - Ênfase4" xfId="30" builtinId="43" customBuiltin="1"/>
    <cellStyle name="40% - Ênfase5" xfId="33" builtinId="47" customBuiltin="1"/>
    <cellStyle name="40% - Ênfase6" xfId="36" builtinId="51" customBuiltin="1"/>
    <cellStyle name="60% - Ênfase1 2" xfId="39" xr:uid="{00000000-0005-0000-0000-00000C000000}"/>
    <cellStyle name="60% - Ênfase2 2" xfId="40" xr:uid="{00000000-0005-0000-0000-00000D000000}"/>
    <cellStyle name="60% - Ênfase3 2" xfId="41" xr:uid="{00000000-0005-0000-0000-00000E000000}"/>
    <cellStyle name="60% - Ênfase4 2" xfId="42" xr:uid="{00000000-0005-0000-0000-00000F000000}"/>
    <cellStyle name="60% - Ênfase5 2" xfId="43" xr:uid="{00000000-0005-0000-0000-000010000000}"/>
    <cellStyle name="60% - Ênfase6 2" xfId="44" xr:uid="{00000000-0005-0000-0000-000011000000}"/>
    <cellStyle name="Bom" xfId="9" builtinId="26" customBuiltin="1"/>
    <cellStyle name="Cálculo" xfId="13" builtinId="22" customBuiltin="1"/>
    <cellStyle name="Célula de Verificação" xfId="15" builtinId="23" customBuiltin="1"/>
    <cellStyle name="Célula Vinculada" xfId="14" builtinId="24" customBuiltin="1"/>
    <cellStyle name="Ênfase1" xfId="19" builtinId="29" customBuiltin="1"/>
    <cellStyle name="Ênfase2" xfId="22" builtinId="33" customBuiltin="1"/>
    <cellStyle name="Ênfase3" xfId="25" builtinId="37" customBuiltin="1"/>
    <cellStyle name="Ênfase4" xfId="28" builtinId="41" customBuiltin="1"/>
    <cellStyle name="Ênfase5" xfId="31" builtinId="45" customBuiltin="1"/>
    <cellStyle name="Ênfase6" xfId="34" builtinId="49" customBuiltin="1"/>
    <cellStyle name="Entrada" xfId="11" builtinId="20" customBuiltin="1"/>
    <cellStyle name="Hiperlink" xfId="70" builtinId="8"/>
    <cellStyle name="Moeda 2" xfId="46" xr:uid="{00000000-0005-0000-0000-00001E000000}"/>
    <cellStyle name="Moeda 2 2" xfId="53" xr:uid="{00000000-0005-0000-0000-00001F000000}"/>
    <cellStyle name="Moeda 2 2 2" xfId="65" xr:uid="{00000000-0005-0000-0000-000020000000}"/>
    <cellStyle name="Moeda 2 3" xfId="59" xr:uid="{00000000-0005-0000-0000-000021000000}"/>
    <cellStyle name="Moeda 3" xfId="48" xr:uid="{00000000-0005-0000-0000-000022000000}"/>
    <cellStyle name="Neutro 2" xfId="38" xr:uid="{00000000-0005-0000-0000-000023000000}"/>
    <cellStyle name="Normal" xfId="0" builtinId="0"/>
    <cellStyle name="Normal 2" xfId="71" xr:uid="{407036D8-8528-4601-BDB0-0AAD5C261E7C}"/>
    <cellStyle name="Normal_Plan1" xfId="1" xr:uid="{00000000-0005-0000-0000-000025000000}"/>
    <cellStyle name="Nota" xfId="17" builtinId="10" customBuiltin="1"/>
    <cellStyle name="Porcentagem" xfId="3" builtinId="5"/>
    <cellStyle name="Ruim" xfId="10" builtinId="27" customBuiltin="1"/>
    <cellStyle name="Saída" xfId="12" builtinId="21" customBuiltin="1"/>
    <cellStyle name="Texto de Aviso" xfId="16" builtinId="11" customBuiltin="1"/>
    <cellStyle name="Texto Explicativo" xfId="2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8" builtinId="25" customBuiltin="1"/>
    <cellStyle name="Vírgula" xfId="69" builtinId="3"/>
    <cellStyle name="Vírgula 2" xfId="45" xr:uid="{00000000-0005-0000-0000-000032000000}"/>
    <cellStyle name="Vírgula 2 2" xfId="49" xr:uid="{00000000-0005-0000-0000-000033000000}"/>
    <cellStyle name="Vírgula 2 2 2" xfId="55" xr:uid="{00000000-0005-0000-0000-000034000000}"/>
    <cellStyle name="Vírgula 2 2 2 2" xfId="67" xr:uid="{00000000-0005-0000-0000-000035000000}"/>
    <cellStyle name="Vírgula 2 2 3" xfId="61" xr:uid="{00000000-0005-0000-0000-000036000000}"/>
    <cellStyle name="Vírgula 2 3" xfId="52" xr:uid="{00000000-0005-0000-0000-000037000000}"/>
    <cellStyle name="Vírgula 2 3 2" xfId="64" xr:uid="{00000000-0005-0000-0000-000038000000}"/>
    <cellStyle name="Vírgula 2 4" xfId="58" xr:uid="{00000000-0005-0000-0000-000039000000}"/>
    <cellStyle name="Vírgula 3" xfId="50" xr:uid="{00000000-0005-0000-0000-00003A000000}"/>
    <cellStyle name="Vírgula 3 2" xfId="56" xr:uid="{00000000-0005-0000-0000-00003B000000}"/>
    <cellStyle name="Vírgula 3 2 2" xfId="68" xr:uid="{00000000-0005-0000-0000-00003C000000}"/>
    <cellStyle name="Vírgula 3 3" xfId="62" xr:uid="{00000000-0005-0000-0000-00003D000000}"/>
    <cellStyle name="Vírgula 4" xfId="47" xr:uid="{00000000-0005-0000-0000-00003E000000}"/>
    <cellStyle name="Vírgula 4 2" xfId="54" xr:uid="{00000000-0005-0000-0000-00003F000000}"/>
    <cellStyle name="Vírgula 4 2 2" xfId="66" xr:uid="{00000000-0005-0000-0000-000040000000}"/>
    <cellStyle name="Vírgula 4 3" xfId="60" xr:uid="{00000000-0005-0000-0000-000041000000}"/>
    <cellStyle name="Vírgula 5" xfId="51" xr:uid="{00000000-0005-0000-0000-000042000000}"/>
    <cellStyle name="Vírgula 5 2" xfId="63" xr:uid="{00000000-0005-0000-0000-000043000000}"/>
    <cellStyle name="Vírgula 6" xfId="37" xr:uid="{00000000-0005-0000-0000-000044000000}"/>
    <cellStyle name="Vírgula 7" xfId="57" xr:uid="{00000000-0005-0000-0000-000045000000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Tahoma"/>
        <scheme val="none"/>
      </font>
      <numFmt numFmtId="35" formatCode="_-* #,##0.00_-;\-* #,##0.00_-;_-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Tahoma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i val="0"/>
        <sz val="8"/>
        <color indexed="8"/>
        <name val="Tahoma"/>
        <scheme val="none"/>
      </font>
      <numFmt numFmtId="165" formatCode="_-&quot;R$&quot;* #,##0_-;\-&quot;R$&quot;* #,##0_-;_-&quot;R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Tahoma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Tahoma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Tahoma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Tahoma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i val="0"/>
        <sz val="8"/>
        <color indexed="8"/>
        <name val="Tahoma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Tahoma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Tahoma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Tahoma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Tahoma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Tahom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Tahom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Tahom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Tahoma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Tahoma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Tahoma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Tahom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 outline="0">
        <top style="thin">
          <color indexed="8"/>
        </top>
        <bottom style="hair">
          <color auto="1"/>
        </bottom>
      </border>
    </dxf>
    <dxf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Tahoma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</dxfs>
  <tableStyles count="0" defaultTableStyle="TableStyleMedium2" defaultPivotStyle="PivotStyleLight16"/>
  <colors>
    <mruColors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R$3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88900</xdr:colOff>
          <xdr:row>1</xdr:row>
          <xdr:rowOff>19050</xdr:rowOff>
        </xdr:from>
        <xdr:to>
          <xdr:col>20</xdr:col>
          <xdr:colOff>241300</xdr:colOff>
          <xdr:row>2</xdr:row>
          <xdr:rowOff>63500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Enviar todos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88900</xdr:colOff>
          <xdr:row>2</xdr:row>
          <xdr:rowOff>120650</xdr:rowOff>
        </xdr:from>
        <xdr:to>
          <xdr:col>20</xdr:col>
          <xdr:colOff>241300</xdr:colOff>
          <xdr:row>5</xdr:row>
          <xdr:rowOff>50800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Alterar mensagem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381000</xdr:colOff>
          <xdr:row>1</xdr:row>
          <xdr:rowOff>127000</xdr:rowOff>
        </xdr:from>
        <xdr:to>
          <xdr:col>18</xdr:col>
          <xdr:colOff>374650</xdr:colOff>
          <xdr:row>4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Modo teste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336550</xdr:colOff>
          <xdr:row>2</xdr:row>
          <xdr:rowOff>120650</xdr:rowOff>
        </xdr:from>
        <xdr:to>
          <xdr:col>21</xdr:col>
          <xdr:colOff>488950</xdr:colOff>
          <xdr:row>5</xdr:row>
          <xdr:rowOff>50800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 representante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336550</xdr:colOff>
          <xdr:row>1</xdr:row>
          <xdr:rowOff>12700</xdr:rowOff>
        </xdr:from>
        <xdr:to>
          <xdr:col>21</xdr:col>
          <xdr:colOff>488950</xdr:colOff>
          <xdr:row>2</xdr:row>
          <xdr:rowOff>57150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Validar e-mail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488950</xdr:colOff>
          <xdr:row>3</xdr:row>
          <xdr:rowOff>31750</xdr:rowOff>
        </xdr:from>
        <xdr:to>
          <xdr:col>7</xdr:col>
          <xdr:colOff>254000</xdr:colOff>
          <xdr:row>5</xdr:row>
          <xdr:rowOff>107950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niel.silva/Downloads/Braulio%20looping%20comum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lha2"/>
      <sheetName val="Show Room Primavera"/>
      <sheetName val="MS"/>
      <sheetName val="CAD"/>
      <sheetName val="Apoio"/>
      <sheetName val="Plan1"/>
      <sheetName val="Plan2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C7:Y1271" totalsRowShown="0" headerRowDxfId="25" dataDxfId="24" tableBorderDxfId="23" headerRowCellStyle="Texto Explicativo">
  <autoFilter ref="C7:Y1271" xr:uid="{00000000-0009-0000-0100-000001000000}"/>
  <tableColumns count="23">
    <tableColumn id="3" xr3:uid="{00000000-0010-0000-0000-000003000000}" name="Regional" dataDxfId="22" dataCellStyle="Texto Explicativo"/>
    <tableColumn id="2" xr3:uid="{00000000-0010-0000-0000-000002000000}" name="Marca" dataDxfId="21" dataCellStyle="Texto Explicativo"/>
    <tableColumn id="4" xr3:uid="{00000000-0010-0000-0000-000004000000}" name="Codigo cliente" dataDxfId="20" dataCellStyle="Texto Explicativo"/>
    <tableColumn id="12" xr3:uid="{00000000-0010-0000-0000-00000C000000}" name="Nome Cliente" dataDxfId="19" dataCellStyle="Normal_Plan1"/>
    <tableColumn id="15" xr3:uid="{00000000-0010-0000-0000-00000F000000}" name="Segmento" dataDxfId="18" dataCellStyle="Normal_Plan1"/>
    <tableColumn id="13" xr3:uid="{00000000-0010-0000-0000-00000D000000}" name="UF" dataDxfId="17" dataCellStyle="Normal_Plan1"/>
    <tableColumn id="14" xr3:uid="{00000000-0010-0000-0000-00000E000000}" name="Código vendedor" dataDxfId="16" dataCellStyle="Normal_Plan1"/>
    <tableColumn id="5" xr3:uid="{00000000-0010-0000-0000-000005000000}" name="Representante" dataDxfId="15" dataCellStyle="Texto Explicativo"/>
    <tableColumn id="23" xr3:uid="{00000000-0010-0000-0000-000017000000}" name="Supervisor" dataDxfId="14" dataCellStyle="Texto Explicativo"/>
    <tableColumn id="7" xr3:uid="{00000000-0010-0000-0000-000007000000}" name="201805" dataDxfId="13" dataCellStyle="Texto Explicativo"/>
    <tableColumn id="8" xr3:uid="{00000000-0010-0000-0000-000008000000}" name="201806" dataDxfId="12" dataCellStyle="Texto Explicativo"/>
    <tableColumn id="9" xr3:uid="{00000000-0010-0000-0000-000009000000}" name="201807" dataDxfId="11" dataCellStyle="Texto Explicativo"/>
    <tableColumn id="16" xr3:uid="{00000000-0010-0000-0000-000010000000}" name="201905" dataDxfId="10" dataCellStyle="Texto Explicativo"/>
    <tableColumn id="1" xr3:uid="{00000000-0010-0000-0000-000001000000}" name="201906" dataDxfId="9" dataCellStyle="Texto Explicativo"/>
    <tableColumn id="10" xr3:uid="{00000000-0010-0000-0000-00000A000000}" name="Total 2018" dataDxfId="8" dataCellStyle="Texto Explicativo">
      <calculatedColumnFormula>SUM(Tabela1[[#This Row],[201805]:[201807]])</calculatedColumnFormula>
    </tableColumn>
    <tableColumn id="17" xr3:uid="{00000000-0010-0000-0000-000011000000}" name="Total 2019" dataDxfId="7" dataCellStyle="Texto Explicativo">
      <calculatedColumnFormula>SUM(Tabela1[[#This Row],[201905]:[201906]])</calculatedColumnFormula>
    </tableColumn>
    <tableColumn id="11" xr3:uid="{5B2F43A1-D0F1-4663-8956-033DB4516A2F}" name="Meta" dataDxfId="6" dataCellStyle="Texto Explicativo"/>
    <tableColumn id="19" xr3:uid="{00000000-0010-0000-0000-000013000000}" name="GAP R$" dataDxfId="5" dataCellStyle="Texto Explicativo">
      <calculatedColumnFormula>Tabela1[[#This Row],[Total 2019]]-Tabela1[[#This Row],[Total 2018]]</calculatedColumnFormula>
    </tableColumn>
    <tableColumn id="22" xr3:uid="{EFCE8AC2-EFE6-48A9-9FDE-A21D14239579}" name="Atingimento meta" dataDxfId="4" dataCellStyle="Porcentagem">
      <calculatedColumnFormula>Tabela1[[#This Row],[Total 2019]]/Tabela1[[#This Row],[Meta]]</calculatedColumnFormula>
    </tableColumn>
    <tableColumn id="18" xr3:uid="{00000000-0010-0000-0000-000012000000}" name="19X18 ∆ %" dataDxfId="3" dataCellStyle="Porcentagem">
      <calculatedColumnFormula>IFERROR(Tabela1[[#This Row],[Total 2019]]/Tabela1[[#This Row],[Total 2018]]-1,0)</calculatedColumnFormula>
    </tableColumn>
    <tableColumn id="6" xr3:uid="{00000000-0010-0000-0000-000006000000}" name="Status" dataDxfId="2" dataCellStyle="Texto Explicativo">
      <calculatedColumnFormula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calculatedColumnFormula>
    </tableColumn>
    <tableColumn id="21" xr3:uid="{00000000-0010-0000-0000-000015000000}" name="bloqueio" dataDxfId="1" dataCellStyle="Porcentagem"/>
    <tableColumn id="20" xr3:uid="{00000000-0010-0000-0000-000014000000}" name="motivo não compra" dataDxfId="0" dataCellStyle="Vírgula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danielosilva@hotmail.com.br" TargetMode="External"/><Relationship Id="rId1" Type="http://schemas.openxmlformats.org/officeDocument/2006/relationships/hyperlink" Target="mailto:danielosilva@hotmail.com.br" TargetMode="External"/><Relationship Id="rId6" Type="http://schemas.openxmlformats.org/officeDocument/2006/relationships/ctrlProp" Target="../ctrlProps/ctrlProp6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B1:AF1048576"/>
  <sheetViews>
    <sheetView showGridLines="0" tabSelected="1" topLeftCell="B1" workbookViewId="0">
      <pane ySplit="7" topLeftCell="A8" activePane="bottomLeft" state="frozen"/>
      <selection activeCell="C1" sqref="C1"/>
      <selection pane="bottomLeft" activeCell="C7" sqref="C7"/>
    </sheetView>
  </sheetViews>
  <sheetFormatPr defaultColWidth="9.1796875" defaultRowHeight="14.5" x14ac:dyDescent="0.35"/>
  <cols>
    <col min="1" max="1" width="12.453125" style="2" customWidth="1"/>
    <col min="2" max="2" width="0.54296875" style="2" customWidth="1"/>
    <col min="3" max="3" width="7.81640625" style="2" bestFit="1" customWidth="1"/>
    <col min="4" max="4" width="12.54296875" style="1" bestFit="1" customWidth="1"/>
    <col min="5" max="5" width="13.1796875" style="1" bestFit="1" customWidth="1"/>
    <col min="6" max="6" width="34.453125" style="2" bestFit="1" customWidth="1"/>
    <col min="7" max="7" width="12.453125" style="1" bestFit="1" customWidth="1"/>
    <col min="8" max="8" width="11.1796875" style="1" customWidth="1"/>
    <col min="9" max="9" width="13.1796875" style="2" bestFit="1" customWidth="1"/>
    <col min="10" max="10" width="18" style="1" bestFit="1" customWidth="1"/>
    <col min="11" max="11" width="25.1796875" style="1" customWidth="1"/>
    <col min="12" max="13" width="11.26953125" style="4" bestFit="1" customWidth="1"/>
    <col min="14" max="14" width="11.26953125" style="4" customWidth="1"/>
    <col min="15" max="15" width="20.1796875" style="4" bestFit="1" customWidth="1"/>
    <col min="16" max="16" width="10.81640625" style="4" bestFit="1" customWidth="1"/>
    <col min="17" max="18" width="12.81640625" style="4" bestFit="1" customWidth="1"/>
    <col min="19" max="20" width="12.81640625" style="4" customWidth="1"/>
    <col min="21" max="21" width="12.81640625" style="38" customWidth="1"/>
    <col min="22" max="22" width="12.81640625" style="4" customWidth="1"/>
    <col min="23" max="23" width="12.1796875" style="5" customWidth="1"/>
    <col min="24" max="24" width="12.1796875" style="5" hidden="1" customWidth="1"/>
    <col min="25" max="25" width="26.7265625" style="5" hidden="1" customWidth="1"/>
    <col min="26" max="26" width="21.54296875" style="5" customWidth="1"/>
    <col min="27" max="27" width="12.1796875" style="2" customWidth="1"/>
    <col min="28" max="32" width="12.1796875" style="1" customWidth="1"/>
    <col min="33" max="16384" width="9.1796875" style="2"/>
  </cols>
  <sheetData>
    <row r="1" spans="3:32" x14ac:dyDescent="0.35">
      <c r="V1"/>
      <c r="W1"/>
      <c r="AA1" s="10" t="s">
        <v>610</v>
      </c>
    </row>
    <row r="2" spans="3:32" x14ac:dyDescent="0.35">
      <c r="N2"/>
      <c r="V2"/>
      <c r="W2"/>
    </row>
    <row r="3" spans="3:32" x14ac:dyDescent="0.35">
      <c r="N3"/>
      <c r="O3"/>
      <c r="P3" s="63"/>
      <c r="Q3" s="63"/>
      <c r="R3" s="46" t="b">
        <v>0</v>
      </c>
      <c r="W3" s="45"/>
    </row>
    <row r="4" spans="3:32" x14ac:dyDescent="0.35">
      <c r="AA4" s="20" t="s">
        <v>611</v>
      </c>
      <c r="AB4" s="21" t="s">
        <v>612</v>
      </c>
      <c r="AC4" s="21" t="s">
        <v>613</v>
      </c>
      <c r="AD4" s="21" t="s">
        <v>614</v>
      </c>
      <c r="AE4" s="21" t="s">
        <v>615</v>
      </c>
      <c r="AF4" s="22" t="s">
        <v>0</v>
      </c>
    </row>
    <row r="5" spans="3:32" x14ac:dyDescent="0.35">
      <c r="C5" s="72" t="s">
        <v>1396</v>
      </c>
      <c r="D5" s="73"/>
      <c r="E5" s="73"/>
      <c r="F5" s="74"/>
      <c r="G5" s="42" t="s">
        <v>1392</v>
      </c>
      <c r="H5" s="43">
        <f>R5/Q5-1</f>
        <v>-0.4644920728630707</v>
      </c>
      <c r="I5" s="77">
        <f ca="1">TODAY()</f>
        <v>44560</v>
      </c>
      <c r="K5" s="9" t="s">
        <v>0</v>
      </c>
      <c r="L5" s="8">
        <f>SUBTOTAL(9,L8:L1271)</f>
        <v>2860168.4674999998</v>
      </c>
      <c r="M5" s="8">
        <f>SUBTOTAL(9,M8:M1271)</f>
        <v>4610609.977</v>
      </c>
      <c r="N5" s="8">
        <f>SUBTOTAL(9,N8:N1271)</f>
        <v>1413746.2430000012</v>
      </c>
      <c r="O5" s="7">
        <f>SUBTOTAL(9,O8:O1271)</f>
        <v>3125117.9195000003</v>
      </c>
      <c r="P5" s="7">
        <f>SUBTOTAL(9,P8:P1271)</f>
        <v>1632615.479499999</v>
      </c>
      <c r="Q5" s="8">
        <f>SUM(L5:N5)</f>
        <v>8884524.6875</v>
      </c>
      <c r="R5" s="7">
        <f>SUM(O5:P5)</f>
        <v>4757733.3989999993</v>
      </c>
      <c r="S5" s="41">
        <f>SUM(P5:Q5)</f>
        <v>10517140.166999999</v>
      </c>
      <c r="T5" s="6"/>
      <c r="U5" s="39"/>
      <c r="V5" s="6"/>
      <c r="W5" s="6"/>
      <c r="X5" s="6"/>
      <c r="Y5" s="6"/>
      <c r="Z5" s="6"/>
      <c r="AA5" s="26">
        <v>65</v>
      </c>
      <c r="AB5" s="27">
        <f t="shared" ref="AB5:AB10" si="0">COUNTIFS(W:W,$AB$4,C:C,AA5)</f>
        <v>0</v>
      </c>
      <c r="AC5" s="27">
        <f t="shared" ref="AC5:AC10" si="1">COUNTIFS(W:W,$AC$4,C:C,AA5)</f>
        <v>0</v>
      </c>
      <c r="AD5" s="27">
        <f t="shared" ref="AD5:AD10" si="2">COUNTIFS(W:W,$AD$4,C:C,AA5)</f>
        <v>0</v>
      </c>
      <c r="AE5" s="27">
        <f t="shared" ref="AE5:AE10" si="3">COUNTIFS(W:W,$AE$4,C:C,AA5)</f>
        <v>0</v>
      </c>
      <c r="AF5" s="28">
        <f t="shared" ref="AF5:AF10" si="4">SUM(AB5:AE5)</f>
        <v>0</v>
      </c>
    </row>
    <row r="6" spans="3:32" x14ac:dyDescent="0.35">
      <c r="C6" s="75"/>
      <c r="D6" s="75"/>
      <c r="E6" s="75"/>
      <c r="F6" s="76"/>
      <c r="G6" s="49" t="s">
        <v>1393</v>
      </c>
      <c r="H6" s="50">
        <f>R5/S5</f>
        <v>0.45237900450623514</v>
      </c>
      <c r="I6" s="78"/>
      <c r="AA6" s="29">
        <v>66</v>
      </c>
      <c r="AB6" s="30">
        <f t="shared" si="0"/>
        <v>0</v>
      </c>
      <c r="AC6" s="30">
        <f t="shared" si="1"/>
        <v>0</v>
      </c>
      <c r="AD6" s="30">
        <f t="shared" si="2"/>
        <v>0</v>
      </c>
      <c r="AE6" s="30">
        <f t="shared" si="3"/>
        <v>0</v>
      </c>
      <c r="AF6" s="31">
        <f t="shared" si="4"/>
        <v>0</v>
      </c>
    </row>
    <row r="7" spans="3:32" s="3" customFormat="1" x14ac:dyDescent="0.35">
      <c r="C7" s="51" t="s">
        <v>2701</v>
      </c>
      <c r="D7" s="52" t="s">
        <v>2697</v>
      </c>
      <c r="E7" s="52" t="s">
        <v>2705</v>
      </c>
      <c r="F7" s="52" t="s">
        <v>604</v>
      </c>
      <c r="G7" s="52" t="s">
        <v>607</v>
      </c>
      <c r="H7" s="52" t="s">
        <v>1348</v>
      </c>
      <c r="I7" s="52" t="s">
        <v>1446</v>
      </c>
      <c r="J7" s="52" t="s">
        <v>1</v>
      </c>
      <c r="K7" s="52" t="s">
        <v>659</v>
      </c>
      <c r="L7" s="53" t="s">
        <v>655</v>
      </c>
      <c r="M7" s="53" t="s">
        <v>656</v>
      </c>
      <c r="N7" s="53" t="s">
        <v>679</v>
      </c>
      <c r="O7" s="54" t="s">
        <v>672</v>
      </c>
      <c r="P7" s="54" t="s">
        <v>671</v>
      </c>
      <c r="Q7" s="55" t="s">
        <v>603</v>
      </c>
      <c r="R7" s="56" t="s">
        <v>673</v>
      </c>
      <c r="S7" s="57" t="s">
        <v>1389</v>
      </c>
      <c r="T7" s="58" t="s">
        <v>609</v>
      </c>
      <c r="U7" s="59" t="s">
        <v>1391</v>
      </c>
      <c r="V7" s="60" t="s">
        <v>1390</v>
      </c>
      <c r="W7" s="61" t="s">
        <v>608</v>
      </c>
      <c r="X7" s="47" t="s">
        <v>631</v>
      </c>
      <c r="Y7" s="18" t="s">
        <v>633</v>
      </c>
      <c r="Z7" s="65"/>
      <c r="AA7" s="32">
        <v>67</v>
      </c>
      <c r="AB7" s="33">
        <f t="shared" si="0"/>
        <v>0</v>
      </c>
      <c r="AC7" s="33">
        <f t="shared" si="1"/>
        <v>0</v>
      </c>
      <c r="AD7" s="33">
        <f t="shared" si="2"/>
        <v>0</v>
      </c>
      <c r="AE7" s="33">
        <f t="shared" si="3"/>
        <v>0</v>
      </c>
      <c r="AF7" s="34">
        <f t="shared" si="4"/>
        <v>0</v>
      </c>
    </row>
    <row r="8" spans="3:32" x14ac:dyDescent="0.35">
      <c r="C8" s="11" t="s">
        <v>2702</v>
      </c>
      <c r="D8" s="12" t="s">
        <v>2698</v>
      </c>
      <c r="E8" s="12">
        <v>1</v>
      </c>
      <c r="F8" s="13" t="s">
        <v>1448</v>
      </c>
      <c r="G8" s="14">
        <v>3</v>
      </c>
      <c r="H8" s="14" t="s">
        <v>1370</v>
      </c>
      <c r="I8" s="13">
        <v>1</v>
      </c>
      <c r="J8" s="15" t="s">
        <v>1400</v>
      </c>
      <c r="K8" s="15" t="s">
        <v>2706</v>
      </c>
      <c r="L8" s="16"/>
      <c r="M8" s="16">
        <v>4738.3434999999999</v>
      </c>
      <c r="N8" s="16"/>
      <c r="O8" s="16">
        <v>10680.460499999999</v>
      </c>
      <c r="P8" s="16">
        <v>1566.8159999999998</v>
      </c>
      <c r="Q8" s="16">
        <f>SUM(Tabela1[[#This Row],[201805]:[201807]])</f>
        <v>4738.3434999999999</v>
      </c>
      <c r="R8" s="16">
        <f>SUM(Tabela1[[#This Row],[201905]:[201906]])</f>
        <v>12247.2765</v>
      </c>
      <c r="S8" s="16">
        <v>100000</v>
      </c>
      <c r="T8" s="16">
        <f>Tabela1[[#This Row],[Total 2019]]-Tabela1[[#This Row],[Total 2018]]</f>
        <v>7508.933</v>
      </c>
      <c r="U8" s="40">
        <f>Tabela1[[#This Row],[Total 2019]]/Tabela1[[#This Row],[Meta]]</f>
        <v>0.122472765</v>
      </c>
      <c r="V8" s="17">
        <f>IFERROR(Tabela1[[#This Row],[Total 2019]]/Tabela1[[#This Row],[Total 2018]]-1,0)</f>
        <v>1.5847168952609705</v>
      </c>
      <c r="W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8" s="48" t="s">
        <v>632</v>
      </c>
      <c r="Y8" s="19" t="s">
        <v>634</v>
      </c>
      <c r="Z8" s="66"/>
      <c r="AA8" s="29">
        <v>68</v>
      </c>
      <c r="AB8" s="30">
        <f t="shared" si="0"/>
        <v>0</v>
      </c>
      <c r="AC8" s="30">
        <f t="shared" si="1"/>
        <v>0</v>
      </c>
      <c r="AD8" s="30">
        <f t="shared" si="2"/>
        <v>0</v>
      </c>
      <c r="AE8" s="30">
        <f t="shared" si="3"/>
        <v>0</v>
      </c>
      <c r="AF8" s="31">
        <f t="shared" si="4"/>
        <v>0</v>
      </c>
    </row>
    <row r="9" spans="3:32" x14ac:dyDescent="0.35">
      <c r="C9" s="11" t="s">
        <v>2702</v>
      </c>
      <c r="D9" s="12" t="s">
        <v>2699</v>
      </c>
      <c r="E9" s="12">
        <v>2</v>
      </c>
      <c r="F9" s="13" t="s">
        <v>1449</v>
      </c>
      <c r="G9" s="14">
        <v>3</v>
      </c>
      <c r="H9" s="14" t="s">
        <v>1370</v>
      </c>
      <c r="I9" s="13">
        <v>1</v>
      </c>
      <c r="J9" s="15" t="s">
        <v>1400</v>
      </c>
      <c r="K9" s="15" t="s">
        <v>2706</v>
      </c>
      <c r="L9" s="16">
        <v>4717.7285000000002</v>
      </c>
      <c r="M9" s="16">
        <v>4587.6354999999994</v>
      </c>
      <c r="N9" s="16"/>
      <c r="O9" s="16"/>
      <c r="P9" s="16"/>
      <c r="Q9" s="16">
        <f>SUM(Tabela1[[#This Row],[201805]:[201807]])</f>
        <v>9305.3639999999996</v>
      </c>
      <c r="R9" s="16">
        <f>SUM(Tabela1[[#This Row],[201905]:[201906]])</f>
        <v>0</v>
      </c>
      <c r="S9" s="16">
        <v>100000</v>
      </c>
      <c r="T9" s="16">
        <f>Tabela1[[#This Row],[Total 2019]]-Tabela1[[#This Row],[Total 2018]]</f>
        <v>-9305.3639999999996</v>
      </c>
      <c r="U9" s="40">
        <f>Tabela1[[#This Row],[Total 2019]]/Tabela1[[#This Row],[Meta]]</f>
        <v>0</v>
      </c>
      <c r="V9" s="17">
        <f>IFERROR(Tabela1[[#This Row],[Total 2019]]/Tabela1[[#This Row],[Total 2018]]-1,0)</f>
        <v>-1</v>
      </c>
      <c r="W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" s="48"/>
      <c r="Y9" s="19"/>
      <c r="Z9" s="66"/>
      <c r="AA9" s="32">
        <v>73</v>
      </c>
      <c r="AB9" s="33">
        <f t="shared" si="0"/>
        <v>0</v>
      </c>
      <c r="AC9" s="33">
        <f t="shared" si="1"/>
        <v>0</v>
      </c>
      <c r="AD9" s="33">
        <f t="shared" si="2"/>
        <v>0</v>
      </c>
      <c r="AE9" s="33">
        <f t="shared" si="3"/>
        <v>0</v>
      </c>
      <c r="AF9" s="34">
        <f t="shared" si="4"/>
        <v>0</v>
      </c>
    </row>
    <row r="10" spans="3:32" x14ac:dyDescent="0.35">
      <c r="C10" s="11" t="s">
        <v>2703</v>
      </c>
      <c r="D10" s="12" t="s">
        <v>2698</v>
      </c>
      <c r="E10" s="12">
        <v>3</v>
      </c>
      <c r="F10" s="13" t="s">
        <v>1450</v>
      </c>
      <c r="G10" s="14">
        <v>2</v>
      </c>
      <c r="H10" s="14" t="s">
        <v>1370</v>
      </c>
      <c r="I10" s="13">
        <v>3</v>
      </c>
      <c r="J10" s="15" t="s">
        <v>1402</v>
      </c>
      <c r="K10" s="15" t="s">
        <v>2706</v>
      </c>
      <c r="L10" s="16"/>
      <c r="M10" s="16"/>
      <c r="N10" s="16">
        <v>15655.059500000001</v>
      </c>
      <c r="O10" s="16"/>
      <c r="P10" s="16"/>
      <c r="Q10" s="16">
        <f>SUM(Tabela1[[#This Row],[201805]:[201807]])</f>
        <v>15655.059500000001</v>
      </c>
      <c r="R10" s="16">
        <f>SUM(Tabela1[[#This Row],[201905]:[201906]])</f>
        <v>0</v>
      </c>
      <c r="S10" s="16">
        <v>100000</v>
      </c>
      <c r="T10" s="16">
        <f>Tabela1[[#This Row],[Total 2019]]-Tabela1[[#This Row],[Total 2018]]</f>
        <v>-15655.059500000001</v>
      </c>
      <c r="U10" s="40">
        <f>Tabela1[[#This Row],[Total 2019]]/Tabela1[[#This Row],[Meta]]</f>
        <v>0</v>
      </c>
      <c r="V10" s="17">
        <f>IFERROR(Tabela1[[#This Row],[Total 2019]]/Tabela1[[#This Row],[Total 2018]]-1,0)</f>
        <v>-1</v>
      </c>
      <c r="W1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0" s="48"/>
      <c r="Y10" s="19"/>
      <c r="Z10" s="66"/>
      <c r="AA10" s="35">
        <v>80</v>
      </c>
      <c r="AB10" s="36">
        <f t="shared" si="0"/>
        <v>0</v>
      </c>
      <c r="AC10" s="36">
        <f t="shared" si="1"/>
        <v>0</v>
      </c>
      <c r="AD10" s="36">
        <f t="shared" si="2"/>
        <v>0</v>
      </c>
      <c r="AE10" s="36">
        <f t="shared" si="3"/>
        <v>0</v>
      </c>
      <c r="AF10" s="37">
        <f t="shared" si="4"/>
        <v>0</v>
      </c>
    </row>
    <row r="11" spans="3:32" x14ac:dyDescent="0.35">
      <c r="C11" s="11" t="s">
        <v>2704</v>
      </c>
      <c r="D11" s="12" t="s">
        <v>2700</v>
      </c>
      <c r="E11" s="12">
        <v>4</v>
      </c>
      <c r="F11" s="13" t="s">
        <v>1451</v>
      </c>
      <c r="G11" s="14">
        <v>3</v>
      </c>
      <c r="H11" s="14" t="s">
        <v>1371</v>
      </c>
      <c r="I11" s="13">
        <v>4</v>
      </c>
      <c r="J11" s="15" t="s">
        <v>1403</v>
      </c>
      <c r="K11" s="15" t="s">
        <v>2707</v>
      </c>
      <c r="L11" s="16">
        <v>4235.0335000000005</v>
      </c>
      <c r="M11" s="16">
        <v>10776.895</v>
      </c>
      <c r="N11" s="16"/>
      <c r="O11" s="16"/>
      <c r="P11" s="16"/>
      <c r="Q11" s="16">
        <f>SUM(Tabela1[[#This Row],[201805]:[201807]])</f>
        <v>15011.928500000002</v>
      </c>
      <c r="R11" s="16">
        <f>SUM(Tabela1[[#This Row],[201905]:[201906]])</f>
        <v>0</v>
      </c>
      <c r="S11" s="16">
        <v>100000</v>
      </c>
      <c r="T11" s="16">
        <f>Tabela1[[#This Row],[Total 2019]]-Tabela1[[#This Row],[Total 2018]]</f>
        <v>-15011.928500000002</v>
      </c>
      <c r="U11" s="40">
        <f>Tabela1[[#This Row],[Total 2019]]/Tabela1[[#This Row],[Meta]]</f>
        <v>0</v>
      </c>
      <c r="V11" s="17">
        <f>IFERROR(Tabela1[[#This Row],[Total 2019]]/Tabela1[[#This Row],[Total 2018]]-1,0)</f>
        <v>-1</v>
      </c>
      <c r="W1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" s="48"/>
      <c r="Y11" s="19"/>
      <c r="Z11" s="67"/>
      <c r="AA11" s="23" t="s">
        <v>0</v>
      </c>
      <c r="AB11" s="24">
        <f>SUM(AB5:AB10)</f>
        <v>0</v>
      </c>
      <c r="AC11" s="24">
        <f>SUM(AC5:AC10)</f>
        <v>0</v>
      </c>
      <c r="AD11" s="24">
        <f>SUM(AD5:AD10)</f>
        <v>0</v>
      </c>
      <c r="AE11" s="24">
        <f>SUM(AE5:AE10)</f>
        <v>0</v>
      </c>
      <c r="AF11" s="25">
        <f>SUM(AF5:AF10)</f>
        <v>0</v>
      </c>
    </row>
    <row r="12" spans="3:32" x14ac:dyDescent="0.35">
      <c r="C12" s="11" t="s">
        <v>2704</v>
      </c>
      <c r="D12" s="12" t="s">
        <v>2700</v>
      </c>
      <c r="E12" s="12">
        <v>5</v>
      </c>
      <c r="F12" s="13" t="s">
        <v>1452</v>
      </c>
      <c r="G12" s="14">
        <v>2</v>
      </c>
      <c r="H12" s="14" t="s">
        <v>1371</v>
      </c>
      <c r="I12" s="13">
        <v>5</v>
      </c>
      <c r="J12" s="15" t="s">
        <v>1404</v>
      </c>
      <c r="K12" s="15" t="s">
        <v>2707</v>
      </c>
      <c r="L12" s="16">
        <v>10401.322</v>
      </c>
      <c r="M12" s="16">
        <v>2707.6235000000001</v>
      </c>
      <c r="N12" s="16"/>
      <c r="O12" s="16"/>
      <c r="P12" s="16"/>
      <c r="Q12" s="16">
        <f>SUM(Tabela1[[#This Row],[201805]:[201807]])</f>
        <v>13108.9455</v>
      </c>
      <c r="R12" s="16">
        <f>SUM(Tabela1[[#This Row],[201905]:[201906]])</f>
        <v>0</v>
      </c>
      <c r="S12" s="16">
        <v>100000</v>
      </c>
      <c r="T12" s="16">
        <f>Tabela1[[#This Row],[Total 2019]]-Tabela1[[#This Row],[Total 2018]]</f>
        <v>-13108.9455</v>
      </c>
      <c r="U12" s="40">
        <f>Tabela1[[#This Row],[Total 2019]]/Tabela1[[#This Row],[Meta]]</f>
        <v>0</v>
      </c>
      <c r="V12" s="17">
        <f>IFERROR(Tabela1[[#This Row],[Total 2019]]/Tabela1[[#This Row],[Total 2018]]-1,0)</f>
        <v>-1</v>
      </c>
      <c r="W1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" s="48"/>
      <c r="Y12" s="19"/>
      <c r="Z12" s="68"/>
    </row>
    <row r="13" spans="3:32" x14ac:dyDescent="0.35">
      <c r="C13" s="11" t="s">
        <v>2703</v>
      </c>
      <c r="D13" s="12" t="s">
        <v>2700</v>
      </c>
      <c r="E13" s="12">
        <v>6</v>
      </c>
      <c r="F13" s="13" t="s">
        <v>1453</v>
      </c>
      <c r="G13" s="14">
        <v>3</v>
      </c>
      <c r="H13" s="14" t="s">
        <v>1372</v>
      </c>
      <c r="I13" s="13">
        <v>6</v>
      </c>
      <c r="J13" s="15" t="s">
        <v>1405</v>
      </c>
      <c r="K13" s="15" t="s">
        <v>2708</v>
      </c>
      <c r="L13" s="16">
        <v>5697.1119999999992</v>
      </c>
      <c r="M13" s="16">
        <v>9301.9534999999978</v>
      </c>
      <c r="N13" s="16">
        <v>1252.5749999999998</v>
      </c>
      <c r="O13" s="16">
        <v>10189.624</v>
      </c>
      <c r="P13" s="16">
        <v>10915.196</v>
      </c>
      <c r="Q13" s="16">
        <f>SUM(Tabela1[[#This Row],[201805]:[201807]])</f>
        <v>16251.640499999998</v>
      </c>
      <c r="R13" s="16">
        <f>SUM(Tabela1[[#This Row],[201905]:[201906]])</f>
        <v>21104.82</v>
      </c>
      <c r="S13" s="16">
        <v>100000</v>
      </c>
      <c r="T13" s="16">
        <f>Tabela1[[#This Row],[Total 2019]]-Tabela1[[#This Row],[Total 2018]]</f>
        <v>4853.179500000002</v>
      </c>
      <c r="U13" s="40">
        <f>Tabela1[[#This Row],[Total 2019]]/Tabela1[[#This Row],[Meta]]</f>
        <v>0.21104819999999999</v>
      </c>
      <c r="V13" s="17">
        <f>IFERROR(Tabela1[[#This Row],[Total 2019]]/Tabela1[[#This Row],[Total 2018]]-1,0)</f>
        <v>0.29862705245048971</v>
      </c>
      <c r="W1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13" s="48"/>
      <c r="Y13" s="19"/>
      <c r="Z13" s="68"/>
    </row>
    <row r="14" spans="3:32" x14ac:dyDescent="0.35">
      <c r="C14" s="11" t="s">
        <v>2702</v>
      </c>
      <c r="D14" s="12" t="s">
        <v>2699</v>
      </c>
      <c r="E14" s="12">
        <v>7</v>
      </c>
      <c r="F14" s="13" t="s">
        <v>1454</v>
      </c>
      <c r="G14" s="14">
        <v>1</v>
      </c>
      <c r="H14" s="14" t="s">
        <v>1371</v>
      </c>
      <c r="I14" s="13">
        <v>7</v>
      </c>
      <c r="J14" s="15" t="s">
        <v>1406</v>
      </c>
      <c r="K14" s="15" t="s">
        <v>2707</v>
      </c>
      <c r="L14" s="16"/>
      <c r="M14" s="16">
        <v>2332.4874999999997</v>
      </c>
      <c r="N14" s="16"/>
      <c r="O14" s="16"/>
      <c r="P14" s="16"/>
      <c r="Q14" s="16">
        <f>SUM(Tabela1[[#This Row],[201805]:[201807]])</f>
        <v>2332.4874999999997</v>
      </c>
      <c r="R14" s="16">
        <f>SUM(Tabela1[[#This Row],[201905]:[201906]])</f>
        <v>0</v>
      </c>
      <c r="S14" s="16">
        <v>100000</v>
      </c>
      <c r="T14" s="16">
        <f>Tabela1[[#This Row],[Total 2019]]-Tabela1[[#This Row],[Total 2018]]</f>
        <v>-2332.4874999999997</v>
      </c>
      <c r="U14" s="40">
        <f>Tabela1[[#This Row],[Total 2019]]/Tabela1[[#This Row],[Meta]]</f>
        <v>0</v>
      </c>
      <c r="V14" s="17">
        <f>IFERROR(Tabela1[[#This Row],[Total 2019]]/Tabela1[[#This Row],[Total 2018]]-1,0)</f>
        <v>-1</v>
      </c>
      <c r="W1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4" s="48"/>
      <c r="Y14" s="19"/>
      <c r="Z14" s="68"/>
    </row>
    <row r="15" spans="3:32" x14ac:dyDescent="0.35">
      <c r="C15" s="11" t="s">
        <v>2703</v>
      </c>
      <c r="D15" s="12" t="s">
        <v>2699</v>
      </c>
      <c r="E15" s="12">
        <v>8</v>
      </c>
      <c r="F15" s="13" t="s">
        <v>1455</v>
      </c>
      <c r="G15" s="14">
        <v>3</v>
      </c>
      <c r="H15" s="14" t="s">
        <v>1372</v>
      </c>
      <c r="I15" s="13">
        <v>6</v>
      </c>
      <c r="J15" s="15" t="s">
        <v>1405</v>
      </c>
      <c r="K15" s="15" t="s">
        <v>2708</v>
      </c>
      <c r="L15" s="16">
        <v>3530.8744999999999</v>
      </c>
      <c r="M15" s="16">
        <v>5413.0525000000007</v>
      </c>
      <c r="N15" s="16">
        <v>526.24299999999994</v>
      </c>
      <c r="O15" s="16">
        <v>4668.3</v>
      </c>
      <c r="P15" s="16">
        <v>4088.3819999999996</v>
      </c>
      <c r="Q15" s="16">
        <f>SUM(Tabela1[[#This Row],[201805]:[201807]])</f>
        <v>9470.17</v>
      </c>
      <c r="R15" s="16">
        <f>SUM(Tabela1[[#This Row],[201905]:[201906]])</f>
        <v>8756.6820000000007</v>
      </c>
      <c r="S15" s="16">
        <v>100000</v>
      </c>
      <c r="T15" s="16">
        <f>Tabela1[[#This Row],[Total 2019]]-Tabela1[[#This Row],[Total 2018]]</f>
        <v>-713.48799999999937</v>
      </c>
      <c r="U15" s="40">
        <f>Tabela1[[#This Row],[Total 2019]]/Tabela1[[#This Row],[Meta]]</f>
        <v>8.7566820000000004E-2</v>
      </c>
      <c r="V15" s="17">
        <f>IFERROR(Tabela1[[#This Row],[Total 2019]]/Tabela1[[#This Row],[Total 2018]]-1,0)</f>
        <v>-7.534056938787792E-2</v>
      </c>
      <c r="W1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15" s="48"/>
      <c r="Y15" s="19"/>
      <c r="Z15" s="68"/>
    </row>
    <row r="16" spans="3:32" x14ac:dyDescent="0.35">
      <c r="C16" s="11" t="s">
        <v>2704</v>
      </c>
      <c r="D16" s="12" t="s">
        <v>2700</v>
      </c>
      <c r="E16" s="12">
        <v>9</v>
      </c>
      <c r="F16" s="13" t="s">
        <v>1456</v>
      </c>
      <c r="G16" s="14">
        <v>2</v>
      </c>
      <c r="H16" s="14" t="s">
        <v>1370</v>
      </c>
      <c r="I16" s="13">
        <v>8</v>
      </c>
      <c r="J16" s="15" t="s">
        <v>1407</v>
      </c>
      <c r="K16" s="15" t="s">
        <v>2706</v>
      </c>
      <c r="L16" s="16"/>
      <c r="M16" s="16">
        <v>1911.3715</v>
      </c>
      <c r="N16" s="16"/>
      <c r="O16" s="16"/>
      <c r="P16" s="16"/>
      <c r="Q16" s="16">
        <f>SUM(Tabela1[[#This Row],[201805]:[201807]])</f>
        <v>1911.3715</v>
      </c>
      <c r="R16" s="16">
        <f>SUM(Tabela1[[#This Row],[201905]:[201906]])</f>
        <v>0</v>
      </c>
      <c r="S16" s="16">
        <v>100000</v>
      </c>
      <c r="T16" s="16">
        <f>Tabela1[[#This Row],[Total 2019]]-Tabela1[[#This Row],[Total 2018]]</f>
        <v>-1911.3715</v>
      </c>
      <c r="U16" s="40">
        <f>Tabela1[[#This Row],[Total 2019]]/Tabela1[[#This Row],[Meta]]</f>
        <v>0</v>
      </c>
      <c r="V16" s="17">
        <f>IFERROR(Tabela1[[#This Row],[Total 2019]]/Tabela1[[#This Row],[Total 2018]]-1,0)</f>
        <v>-1</v>
      </c>
      <c r="W1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6" s="48"/>
      <c r="Y16" s="19"/>
      <c r="Z16" s="68"/>
    </row>
    <row r="17" spans="3:26" x14ac:dyDescent="0.35">
      <c r="C17" s="11" t="s">
        <v>2702</v>
      </c>
      <c r="D17" s="12" t="s">
        <v>2699</v>
      </c>
      <c r="E17" s="12">
        <v>10</v>
      </c>
      <c r="F17" s="13" t="s">
        <v>1457</v>
      </c>
      <c r="G17" s="14">
        <v>3</v>
      </c>
      <c r="H17" s="14" t="s">
        <v>1370</v>
      </c>
      <c r="I17" s="13">
        <v>1</v>
      </c>
      <c r="J17" s="15" t="s">
        <v>1400</v>
      </c>
      <c r="K17" s="15" t="s">
        <v>2706</v>
      </c>
      <c r="L17" s="16">
        <v>5536.134500000001</v>
      </c>
      <c r="M17" s="16">
        <v>3211.8264999999997</v>
      </c>
      <c r="N17" s="16"/>
      <c r="O17" s="16"/>
      <c r="P17" s="16"/>
      <c r="Q17" s="16">
        <f>SUM(Tabela1[[#This Row],[201805]:[201807]])</f>
        <v>8747.9610000000011</v>
      </c>
      <c r="R17" s="16">
        <f>SUM(Tabela1[[#This Row],[201905]:[201906]])</f>
        <v>0</v>
      </c>
      <c r="S17" s="16">
        <v>100000</v>
      </c>
      <c r="T17" s="16">
        <f>Tabela1[[#This Row],[Total 2019]]-Tabela1[[#This Row],[Total 2018]]</f>
        <v>-8747.9610000000011</v>
      </c>
      <c r="U17" s="40">
        <f>Tabela1[[#This Row],[Total 2019]]/Tabela1[[#This Row],[Meta]]</f>
        <v>0</v>
      </c>
      <c r="V17" s="17">
        <f>IFERROR(Tabela1[[#This Row],[Total 2019]]/Tabela1[[#This Row],[Total 2018]]-1,0)</f>
        <v>-1</v>
      </c>
      <c r="W1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7" s="48"/>
      <c r="Y17" s="19"/>
      <c r="Z17" s="68"/>
    </row>
    <row r="18" spans="3:26" x14ac:dyDescent="0.35">
      <c r="C18" s="11" t="s">
        <v>2702</v>
      </c>
      <c r="D18" s="12" t="s">
        <v>2698</v>
      </c>
      <c r="E18" s="12">
        <v>11</v>
      </c>
      <c r="F18" s="13" t="s">
        <v>1458</v>
      </c>
      <c r="G18" s="14">
        <v>2</v>
      </c>
      <c r="H18" s="14" t="s">
        <v>1371</v>
      </c>
      <c r="I18" s="13">
        <v>9</v>
      </c>
      <c r="J18" s="15" t="s">
        <v>1408</v>
      </c>
      <c r="K18" s="15" t="s">
        <v>2707</v>
      </c>
      <c r="L18" s="16"/>
      <c r="M18" s="16"/>
      <c r="N18" s="16"/>
      <c r="O18" s="16">
        <v>5650.4004999999997</v>
      </c>
      <c r="P18" s="16"/>
      <c r="Q18" s="16">
        <f>SUM(Tabela1[[#This Row],[201805]:[201807]])</f>
        <v>0</v>
      </c>
      <c r="R18" s="16">
        <f>SUM(Tabela1[[#This Row],[201905]:[201906]])</f>
        <v>5650.4004999999997</v>
      </c>
      <c r="S18" s="16">
        <v>100000</v>
      </c>
      <c r="T18" s="16">
        <f>Tabela1[[#This Row],[Total 2019]]-Tabela1[[#This Row],[Total 2018]]</f>
        <v>5650.4004999999997</v>
      </c>
      <c r="U18" s="40">
        <f>Tabela1[[#This Row],[Total 2019]]/Tabela1[[#This Row],[Meta]]</f>
        <v>5.6504004999999996E-2</v>
      </c>
      <c r="V18" s="17">
        <f>IFERROR(Tabela1[[#This Row],[Total 2019]]/Tabela1[[#This Row],[Total 2018]]-1,0)</f>
        <v>0</v>
      </c>
      <c r="W1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8" s="48"/>
      <c r="Y18" s="19"/>
      <c r="Z18" s="68"/>
    </row>
    <row r="19" spans="3:26" x14ac:dyDescent="0.35">
      <c r="C19" s="11" t="s">
        <v>2703</v>
      </c>
      <c r="D19" s="12" t="s">
        <v>2699</v>
      </c>
      <c r="E19" s="12">
        <v>12</v>
      </c>
      <c r="F19" s="13" t="s">
        <v>1459</v>
      </c>
      <c r="G19" s="14">
        <v>1</v>
      </c>
      <c r="H19" s="14" t="s">
        <v>1372</v>
      </c>
      <c r="I19" s="13">
        <v>10</v>
      </c>
      <c r="J19" s="15" t="s">
        <v>1409</v>
      </c>
      <c r="K19" s="15" t="s">
        <v>2708</v>
      </c>
      <c r="L19" s="16">
        <v>2854.9304999999995</v>
      </c>
      <c r="M19" s="16">
        <v>6098.3444999999992</v>
      </c>
      <c r="N19" s="16">
        <v>1793.0395000000001</v>
      </c>
      <c r="O19" s="16"/>
      <c r="P19" s="16"/>
      <c r="Q19" s="16">
        <f>SUM(Tabela1[[#This Row],[201805]:[201807]])</f>
        <v>10746.314499999999</v>
      </c>
      <c r="R19" s="16">
        <f>SUM(Tabela1[[#This Row],[201905]:[201906]])</f>
        <v>0</v>
      </c>
      <c r="S19" s="16">
        <v>100000</v>
      </c>
      <c r="T19" s="16">
        <f>Tabela1[[#This Row],[Total 2019]]-Tabela1[[#This Row],[Total 2018]]</f>
        <v>-10746.314499999999</v>
      </c>
      <c r="U19" s="40">
        <f>Tabela1[[#This Row],[Total 2019]]/Tabela1[[#This Row],[Meta]]</f>
        <v>0</v>
      </c>
      <c r="V19" s="17">
        <f>IFERROR(Tabela1[[#This Row],[Total 2019]]/Tabela1[[#This Row],[Total 2018]]-1,0)</f>
        <v>-1</v>
      </c>
      <c r="W1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9" s="48"/>
      <c r="Y19" s="19"/>
      <c r="Z19" s="68"/>
    </row>
    <row r="20" spans="3:26" x14ac:dyDescent="0.35">
      <c r="C20" s="11" t="s">
        <v>2704</v>
      </c>
      <c r="D20" s="12" t="s">
        <v>2698</v>
      </c>
      <c r="E20" s="12">
        <v>13</v>
      </c>
      <c r="F20" s="13" t="s">
        <v>1460</v>
      </c>
      <c r="G20" s="14">
        <v>3</v>
      </c>
      <c r="H20" s="14" t="s">
        <v>1370</v>
      </c>
      <c r="I20" s="13">
        <v>11</v>
      </c>
      <c r="J20" s="15" t="s">
        <v>1410</v>
      </c>
      <c r="K20" s="15" t="s">
        <v>2706</v>
      </c>
      <c r="L20" s="16">
        <v>7320.2060000000001</v>
      </c>
      <c r="M20" s="16">
        <v>10189.32</v>
      </c>
      <c r="N20" s="16"/>
      <c r="O20" s="16"/>
      <c r="P20" s="16"/>
      <c r="Q20" s="16">
        <f>SUM(Tabela1[[#This Row],[201805]:[201807]])</f>
        <v>17509.525999999998</v>
      </c>
      <c r="R20" s="16">
        <f>SUM(Tabela1[[#This Row],[201905]:[201906]])</f>
        <v>0</v>
      </c>
      <c r="S20" s="16">
        <v>100000</v>
      </c>
      <c r="T20" s="16">
        <f>Tabela1[[#This Row],[Total 2019]]-Tabela1[[#This Row],[Total 2018]]</f>
        <v>-17509.525999999998</v>
      </c>
      <c r="U20" s="40">
        <f>Tabela1[[#This Row],[Total 2019]]/Tabela1[[#This Row],[Meta]]</f>
        <v>0</v>
      </c>
      <c r="V20" s="17">
        <f>IFERROR(Tabela1[[#This Row],[Total 2019]]/Tabela1[[#This Row],[Total 2018]]-1,0)</f>
        <v>-1</v>
      </c>
      <c r="W2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0" s="48"/>
      <c r="Y20" s="19"/>
      <c r="Z20" s="68"/>
    </row>
    <row r="21" spans="3:26" x14ac:dyDescent="0.35">
      <c r="C21" s="11" t="s">
        <v>2704</v>
      </c>
      <c r="D21" s="12" t="s">
        <v>2699</v>
      </c>
      <c r="E21" s="12">
        <v>14</v>
      </c>
      <c r="F21" s="13" t="s">
        <v>1461</v>
      </c>
      <c r="G21" s="14">
        <v>1</v>
      </c>
      <c r="H21" s="14" t="s">
        <v>1371</v>
      </c>
      <c r="I21" s="13">
        <v>12</v>
      </c>
      <c r="J21" s="15" t="s">
        <v>1411</v>
      </c>
      <c r="K21" s="15" t="s">
        <v>2707</v>
      </c>
      <c r="L21" s="16">
        <v>1573.5419999999999</v>
      </c>
      <c r="M21" s="16">
        <v>3542.7779999999993</v>
      </c>
      <c r="N21" s="16">
        <v>1063.8195000000001</v>
      </c>
      <c r="O21" s="16"/>
      <c r="P21" s="16"/>
      <c r="Q21" s="16">
        <f>SUM(Tabela1[[#This Row],[201805]:[201807]])</f>
        <v>6180.1394999999993</v>
      </c>
      <c r="R21" s="16">
        <f>SUM(Tabela1[[#This Row],[201905]:[201906]])</f>
        <v>0</v>
      </c>
      <c r="S21" s="16">
        <v>100000</v>
      </c>
      <c r="T21" s="16">
        <f>Tabela1[[#This Row],[Total 2019]]-Tabela1[[#This Row],[Total 2018]]</f>
        <v>-6180.1394999999993</v>
      </c>
      <c r="U21" s="40">
        <f>Tabela1[[#This Row],[Total 2019]]/Tabela1[[#This Row],[Meta]]</f>
        <v>0</v>
      </c>
      <c r="V21" s="17">
        <f>IFERROR(Tabela1[[#This Row],[Total 2019]]/Tabela1[[#This Row],[Total 2018]]-1,0)</f>
        <v>-1</v>
      </c>
      <c r="W2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1" s="48"/>
      <c r="Y21" s="19"/>
      <c r="Z21" s="68"/>
    </row>
    <row r="22" spans="3:26" x14ac:dyDescent="0.35">
      <c r="C22" s="11" t="s">
        <v>2704</v>
      </c>
      <c r="D22" s="12" t="s">
        <v>2700</v>
      </c>
      <c r="E22" s="12">
        <v>14</v>
      </c>
      <c r="F22" s="13" t="s">
        <v>1461</v>
      </c>
      <c r="G22" s="14">
        <v>1</v>
      </c>
      <c r="H22" s="14" t="s">
        <v>1371</v>
      </c>
      <c r="I22" s="13">
        <v>12</v>
      </c>
      <c r="J22" s="15" t="s">
        <v>1411</v>
      </c>
      <c r="K22" s="15" t="s">
        <v>2707</v>
      </c>
      <c r="L22" s="16"/>
      <c r="M22" s="16"/>
      <c r="N22" s="16"/>
      <c r="O22" s="16">
        <v>1878.8909999999998</v>
      </c>
      <c r="P22" s="16">
        <v>1270.3779999999999</v>
      </c>
      <c r="Q22" s="16">
        <f>SUM(Tabela1[[#This Row],[201805]:[201807]])</f>
        <v>0</v>
      </c>
      <c r="R22" s="16">
        <f>SUM(Tabela1[[#This Row],[201905]:[201906]])</f>
        <v>3149.2689999999998</v>
      </c>
      <c r="S22" s="16">
        <v>100000</v>
      </c>
      <c r="T22" s="16">
        <f>Tabela1[[#This Row],[Total 2019]]-Tabela1[[#This Row],[Total 2018]]</f>
        <v>3149.2689999999998</v>
      </c>
      <c r="U22" s="40">
        <f>Tabela1[[#This Row],[Total 2019]]/Tabela1[[#This Row],[Meta]]</f>
        <v>3.1492689999999997E-2</v>
      </c>
      <c r="V22" s="17">
        <f>IFERROR(Tabela1[[#This Row],[Total 2019]]/Tabela1[[#This Row],[Total 2018]]-1,0)</f>
        <v>0</v>
      </c>
      <c r="W2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22" s="48"/>
      <c r="Y22" s="19"/>
      <c r="Z22" s="68"/>
    </row>
    <row r="23" spans="3:26" x14ac:dyDescent="0.35">
      <c r="C23" s="11" t="s">
        <v>2704</v>
      </c>
      <c r="D23" s="12" t="s">
        <v>2700</v>
      </c>
      <c r="E23" s="12">
        <v>15</v>
      </c>
      <c r="F23" s="13" t="s">
        <v>1462</v>
      </c>
      <c r="G23" s="14">
        <v>3</v>
      </c>
      <c r="H23" s="14" t="s">
        <v>1372</v>
      </c>
      <c r="I23" s="13">
        <v>13</v>
      </c>
      <c r="J23" s="15" t="s">
        <v>1412</v>
      </c>
      <c r="K23" s="15" t="s">
        <v>2709</v>
      </c>
      <c r="L23" s="16">
        <v>2157.0699999999997</v>
      </c>
      <c r="M23" s="16">
        <v>465.80399999999997</v>
      </c>
      <c r="N23" s="16"/>
      <c r="O23" s="16"/>
      <c r="P23" s="16"/>
      <c r="Q23" s="16">
        <f>SUM(Tabela1[[#This Row],[201805]:[201807]])</f>
        <v>2622.8739999999998</v>
      </c>
      <c r="R23" s="16">
        <f>SUM(Tabela1[[#This Row],[201905]:[201906]])</f>
        <v>0</v>
      </c>
      <c r="S23" s="16">
        <v>100000</v>
      </c>
      <c r="T23" s="16">
        <f>Tabela1[[#This Row],[Total 2019]]-Tabela1[[#This Row],[Total 2018]]</f>
        <v>-2622.8739999999998</v>
      </c>
      <c r="U23" s="40">
        <f>Tabela1[[#This Row],[Total 2019]]/Tabela1[[#This Row],[Meta]]</f>
        <v>0</v>
      </c>
      <c r="V23" s="17">
        <f>IFERROR(Tabela1[[#This Row],[Total 2019]]/Tabela1[[#This Row],[Total 2018]]-1,0)</f>
        <v>-1</v>
      </c>
      <c r="W2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3" s="48"/>
      <c r="Y23" s="19"/>
      <c r="Z23" s="68"/>
    </row>
    <row r="24" spans="3:26" x14ac:dyDescent="0.35">
      <c r="C24" s="11" t="s">
        <v>2702</v>
      </c>
      <c r="D24" s="12" t="s">
        <v>2699</v>
      </c>
      <c r="E24" s="12">
        <v>16</v>
      </c>
      <c r="F24" s="13" t="s">
        <v>1463</v>
      </c>
      <c r="G24" s="14">
        <v>3</v>
      </c>
      <c r="H24" s="14" t="s">
        <v>1371</v>
      </c>
      <c r="I24" s="13">
        <v>14</v>
      </c>
      <c r="J24" s="15" t="s">
        <v>1413</v>
      </c>
      <c r="K24" s="15" t="s">
        <v>2707</v>
      </c>
      <c r="L24" s="16">
        <v>3313.5904999999998</v>
      </c>
      <c r="M24" s="16">
        <v>2973.9654999999998</v>
      </c>
      <c r="N24" s="16"/>
      <c r="O24" s="16"/>
      <c r="P24" s="16"/>
      <c r="Q24" s="16">
        <f>SUM(Tabela1[[#This Row],[201805]:[201807]])</f>
        <v>6287.5559999999996</v>
      </c>
      <c r="R24" s="16">
        <f>SUM(Tabela1[[#This Row],[201905]:[201906]])</f>
        <v>0</v>
      </c>
      <c r="S24" s="16">
        <v>100000</v>
      </c>
      <c r="T24" s="16">
        <f>Tabela1[[#This Row],[Total 2019]]-Tabela1[[#This Row],[Total 2018]]</f>
        <v>-6287.5559999999996</v>
      </c>
      <c r="U24" s="40">
        <f>Tabela1[[#This Row],[Total 2019]]/Tabela1[[#This Row],[Meta]]</f>
        <v>0</v>
      </c>
      <c r="V24" s="17">
        <f>IFERROR(Tabela1[[#This Row],[Total 2019]]/Tabela1[[#This Row],[Total 2018]]-1,0)</f>
        <v>-1</v>
      </c>
      <c r="W2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4" s="48"/>
      <c r="Y24" s="19"/>
      <c r="Z24" s="68"/>
    </row>
    <row r="25" spans="3:26" x14ac:dyDescent="0.35">
      <c r="C25" s="11" t="s">
        <v>2703</v>
      </c>
      <c r="D25" s="12" t="s">
        <v>2699</v>
      </c>
      <c r="E25" s="12">
        <v>17</v>
      </c>
      <c r="F25" s="13" t="s">
        <v>1464</v>
      </c>
      <c r="G25" s="14">
        <v>3</v>
      </c>
      <c r="H25" s="14" t="s">
        <v>1370</v>
      </c>
      <c r="I25" s="13">
        <v>15</v>
      </c>
      <c r="J25" s="15" t="s">
        <v>1414</v>
      </c>
      <c r="K25" s="15" t="s">
        <v>2706</v>
      </c>
      <c r="L25" s="16">
        <v>2667.7329999999997</v>
      </c>
      <c r="M25" s="16">
        <v>3609.6959999999999</v>
      </c>
      <c r="N25" s="16">
        <v>2227.2559999999999</v>
      </c>
      <c r="O25" s="16"/>
      <c r="P25" s="16"/>
      <c r="Q25" s="16">
        <f>SUM(Tabela1[[#This Row],[201805]:[201807]])</f>
        <v>8504.6849999999995</v>
      </c>
      <c r="R25" s="16">
        <f>SUM(Tabela1[[#This Row],[201905]:[201906]])</f>
        <v>0</v>
      </c>
      <c r="S25" s="16">
        <v>100000</v>
      </c>
      <c r="T25" s="16">
        <f>Tabela1[[#This Row],[Total 2019]]-Tabela1[[#This Row],[Total 2018]]</f>
        <v>-8504.6849999999995</v>
      </c>
      <c r="U25" s="40">
        <f>Tabela1[[#This Row],[Total 2019]]/Tabela1[[#This Row],[Meta]]</f>
        <v>0</v>
      </c>
      <c r="V25" s="17">
        <f>IFERROR(Tabela1[[#This Row],[Total 2019]]/Tabela1[[#This Row],[Total 2018]]-1,0)</f>
        <v>-1</v>
      </c>
      <c r="W2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5" s="48"/>
      <c r="Y25" s="19"/>
      <c r="Z25" s="68"/>
    </row>
    <row r="26" spans="3:26" x14ac:dyDescent="0.35">
      <c r="C26" s="11" t="s">
        <v>2703</v>
      </c>
      <c r="D26" s="12" t="s">
        <v>2698</v>
      </c>
      <c r="E26" s="12">
        <v>18</v>
      </c>
      <c r="F26" s="13" t="s">
        <v>1465</v>
      </c>
      <c r="G26" s="14">
        <v>1</v>
      </c>
      <c r="H26" s="14" t="s">
        <v>1370</v>
      </c>
      <c r="I26" s="13">
        <v>8</v>
      </c>
      <c r="J26" s="15" t="s">
        <v>1407</v>
      </c>
      <c r="K26" s="15" t="s">
        <v>2706</v>
      </c>
      <c r="L26" s="16">
        <v>2595.875</v>
      </c>
      <c r="M26" s="16">
        <v>1356.011</v>
      </c>
      <c r="N26" s="16"/>
      <c r="O26" s="16">
        <v>8495.735999999999</v>
      </c>
      <c r="P26" s="16">
        <v>4023.1644999999999</v>
      </c>
      <c r="Q26" s="16">
        <f>SUM(Tabela1[[#This Row],[201805]:[201807]])</f>
        <v>3951.886</v>
      </c>
      <c r="R26" s="16">
        <f>SUM(Tabela1[[#This Row],[201905]:[201906]])</f>
        <v>12518.9005</v>
      </c>
      <c r="S26" s="16">
        <v>100000</v>
      </c>
      <c r="T26" s="16">
        <f>Tabela1[[#This Row],[Total 2019]]-Tabela1[[#This Row],[Total 2018]]</f>
        <v>8567.0144999999993</v>
      </c>
      <c r="U26" s="40">
        <f>Tabela1[[#This Row],[Total 2019]]/Tabela1[[#This Row],[Meta]]</f>
        <v>0.12518900499999999</v>
      </c>
      <c r="V26" s="17">
        <f>IFERROR(Tabela1[[#This Row],[Total 2019]]/Tabela1[[#This Row],[Total 2018]]-1,0)</f>
        <v>2.1678293604623211</v>
      </c>
      <c r="W2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26" s="48"/>
      <c r="Y26" s="19"/>
      <c r="Z26" s="68"/>
    </row>
    <row r="27" spans="3:26" x14ac:dyDescent="0.35">
      <c r="C27" s="11" t="s">
        <v>2703</v>
      </c>
      <c r="D27" s="12" t="s">
        <v>2699</v>
      </c>
      <c r="E27" s="12">
        <v>19</v>
      </c>
      <c r="F27" s="13" t="s">
        <v>1466</v>
      </c>
      <c r="G27" s="14">
        <v>1</v>
      </c>
      <c r="H27" s="14" t="s">
        <v>1370</v>
      </c>
      <c r="I27" s="13">
        <v>8</v>
      </c>
      <c r="J27" s="15" t="s">
        <v>1407</v>
      </c>
      <c r="K27" s="15" t="s">
        <v>2706</v>
      </c>
      <c r="L27" s="16"/>
      <c r="M27" s="16">
        <v>1689.0335</v>
      </c>
      <c r="N27" s="16"/>
      <c r="O27" s="16"/>
      <c r="P27" s="16"/>
      <c r="Q27" s="16">
        <f>SUM(Tabela1[[#This Row],[201805]:[201807]])</f>
        <v>1689.0335</v>
      </c>
      <c r="R27" s="16">
        <f>SUM(Tabela1[[#This Row],[201905]:[201906]])</f>
        <v>0</v>
      </c>
      <c r="S27" s="16">
        <v>100000</v>
      </c>
      <c r="T27" s="16">
        <f>Tabela1[[#This Row],[Total 2019]]-Tabela1[[#This Row],[Total 2018]]</f>
        <v>-1689.0335</v>
      </c>
      <c r="U27" s="40">
        <f>Tabela1[[#This Row],[Total 2019]]/Tabela1[[#This Row],[Meta]]</f>
        <v>0</v>
      </c>
      <c r="V27" s="17">
        <f>IFERROR(Tabela1[[#This Row],[Total 2019]]/Tabela1[[#This Row],[Total 2018]]-1,0)</f>
        <v>-1</v>
      </c>
      <c r="W2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7" s="48"/>
      <c r="Y27" s="19"/>
      <c r="Z27" s="68"/>
    </row>
    <row r="28" spans="3:26" x14ac:dyDescent="0.35">
      <c r="C28" s="11" t="s">
        <v>2703</v>
      </c>
      <c r="D28" s="12" t="s">
        <v>2698</v>
      </c>
      <c r="E28" s="12">
        <v>20</v>
      </c>
      <c r="F28" s="13" t="s">
        <v>1467</v>
      </c>
      <c r="G28" s="14">
        <v>2</v>
      </c>
      <c r="H28" s="14" t="s">
        <v>1372</v>
      </c>
      <c r="I28" s="13">
        <v>16</v>
      </c>
      <c r="J28" s="15" t="s">
        <v>1415</v>
      </c>
      <c r="K28" s="15" t="s">
        <v>2708</v>
      </c>
      <c r="L28" s="16">
        <v>1288.7224999999999</v>
      </c>
      <c r="M28" s="16">
        <v>898.24399999999991</v>
      </c>
      <c r="N28" s="16">
        <v>399.46549999999996</v>
      </c>
      <c r="O28" s="16"/>
      <c r="P28" s="16"/>
      <c r="Q28" s="16">
        <f>SUM(Tabela1[[#This Row],[201805]:[201807]])</f>
        <v>2586.4319999999993</v>
      </c>
      <c r="R28" s="16">
        <f>SUM(Tabela1[[#This Row],[201905]:[201906]])</f>
        <v>0</v>
      </c>
      <c r="S28" s="16">
        <v>100000</v>
      </c>
      <c r="T28" s="16">
        <f>Tabela1[[#This Row],[Total 2019]]-Tabela1[[#This Row],[Total 2018]]</f>
        <v>-2586.4319999999993</v>
      </c>
      <c r="U28" s="40">
        <f>Tabela1[[#This Row],[Total 2019]]/Tabela1[[#This Row],[Meta]]</f>
        <v>0</v>
      </c>
      <c r="V28" s="17">
        <f>IFERROR(Tabela1[[#This Row],[Total 2019]]/Tabela1[[#This Row],[Total 2018]]-1,0)</f>
        <v>-1</v>
      </c>
      <c r="W2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8" s="48"/>
      <c r="Y28" s="19"/>
      <c r="Z28" s="68"/>
    </row>
    <row r="29" spans="3:26" x14ac:dyDescent="0.35">
      <c r="C29" s="11" t="s">
        <v>2703</v>
      </c>
      <c r="D29" s="12" t="s">
        <v>2699</v>
      </c>
      <c r="E29" s="12">
        <v>21</v>
      </c>
      <c r="F29" s="13" t="s">
        <v>1468</v>
      </c>
      <c r="G29" s="14">
        <v>1</v>
      </c>
      <c r="H29" s="14" t="s">
        <v>1372</v>
      </c>
      <c r="I29" s="13">
        <v>17</v>
      </c>
      <c r="J29" s="15" t="s">
        <v>1416</v>
      </c>
      <c r="K29" s="15" t="s">
        <v>2708</v>
      </c>
      <c r="L29" s="16">
        <v>1898.1759999999999</v>
      </c>
      <c r="M29" s="16">
        <v>3817.6889999999994</v>
      </c>
      <c r="N29" s="16"/>
      <c r="O29" s="16"/>
      <c r="P29" s="16"/>
      <c r="Q29" s="16">
        <f>SUM(Tabela1[[#This Row],[201805]:[201807]])</f>
        <v>5715.8649999999998</v>
      </c>
      <c r="R29" s="16">
        <f>SUM(Tabela1[[#This Row],[201905]:[201906]])</f>
        <v>0</v>
      </c>
      <c r="S29" s="16">
        <v>100000</v>
      </c>
      <c r="T29" s="16">
        <f>Tabela1[[#This Row],[Total 2019]]-Tabela1[[#This Row],[Total 2018]]</f>
        <v>-5715.8649999999998</v>
      </c>
      <c r="U29" s="40">
        <f>Tabela1[[#This Row],[Total 2019]]/Tabela1[[#This Row],[Meta]]</f>
        <v>0</v>
      </c>
      <c r="V29" s="17">
        <f>IFERROR(Tabela1[[#This Row],[Total 2019]]/Tabela1[[#This Row],[Total 2018]]-1,0)</f>
        <v>-1</v>
      </c>
      <c r="W2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9" s="48"/>
      <c r="Y29" s="19"/>
      <c r="Z29" s="68"/>
    </row>
    <row r="30" spans="3:26" x14ac:dyDescent="0.35">
      <c r="C30" s="11" t="s">
        <v>2702</v>
      </c>
      <c r="D30" s="12" t="s">
        <v>2700</v>
      </c>
      <c r="E30" s="12">
        <v>22</v>
      </c>
      <c r="F30" s="13" t="s">
        <v>1469</v>
      </c>
      <c r="G30" s="14">
        <v>1</v>
      </c>
      <c r="H30" s="14" t="s">
        <v>1371</v>
      </c>
      <c r="I30" s="13">
        <v>9</v>
      </c>
      <c r="J30" s="15" t="s">
        <v>1408</v>
      </c>
      <c r="K30" s="15" t="s">
        <v>2707</v>
      </c>
      <c r="L30" s="16"/>
      <c r="M30" s="16">
        <v>2541.5065</v>
      </c>
      <c r="N30" s="16"/>
      <c r="O30" s="16"/>
      <c r="P30" s="16"/>
      <c r="Q30" s="16">
        <f>SUM(Tabela1[[#This Row],[201805]:[201807]])</f>
        <v>2541.5065</v>
      </c>
      <c r="R30" s="16">
        <f>SUM(Tabela1[[#This Row],[201905]:[201906]])</f>
        <v>0</v>
      </c>
      <c r="S30" s="16">
        <v>100000</v>
      </c>
      <c r="T30" s="16">
        <f>Tabela1[[#This Row],[Total 2019]]-Tabela1[[#This Row],[Total 2018]]</f>
        <v>-2541.5065</v>
      </c>
      <c r="U30" s="40">
        <f>Tabela1[[#This Row],[Total 2019]]/Tabela1[[#This Row],[Meta]]</f>
        <v>0</v>
      </c>
      <c r="V30" s="17">
        <f>IFERROR(Tabela1[[#This Row],[Total 2019]]/Tabela1[[#This Row],[Total 2018]]-1,0)</f>
        <v>-1</v>
      </c>
      <c r="W3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0" s="48"/>
      <c r="Y30" s="19"/>
      <c r="Z30" s="68"/>
    </row>
    <row r="31" spans="3:26" x14ac:dyDescent="0.35">
      <c r="C31" s="11" t="s">
        <v>2703</v>
      </c>
      <c r="D31" s="12" t="s">
        <v>2700</v>
      </c>
      <c r="E31" s="12">
        <v>23</v>
      </c>
      <c r="F31" s="13" t="s">
        <v>1470</v>
      </c>
      <c r="G31" s="14">
        <v>3</v>
      </c>
      <c r="H31" s="14" t="s">
        <v>1372</v>
      </c>
      <c r="I31" s="13">
        <v>18</v>
      </c>
      <c r="J31" s="15" t="s">
        <v>1417</v>
      </c>
      <c r="K31" s="15" t="s">
        <v>2708</v>
      </c>
      <c r="L31" s="16">
        <v>4175.9245000000001</v>
      </c>
      <c r="M31" s="16">
        <v>8274.9179999999997</v>
      </c>
      <c r="N31" s="16">
        <v>3721.2165000000005</v>
      </c>
      <c r="O31" s="16">
        <v>18385.349999999999</v>
      </c>
      <c r="P31" s="16"/>
      <c r="Q31" s="16">
        <f>SUM(Tabela1[[#This Row],[201805]:[201807]])</f>
        <v>16172.058999999999</v>
      </c>
      <c r="R31" s="16">
        <f>SUM(Tabela1[[#This Row],[201905]:[201906]])</f>
        <v>18385.349999999999</v>
      </c>
      <c r="S31" s="16">
        <v>100000</v>
      </c>
      <c r="T31" s="16">
        <f>Tabela1[[#This Row],[Total 2019]]-Tabela1[[#This Row],[Total 2018]]</f>
        <v>2213.2909999999993</v>
      </c>
      <c r="U31" s="40">
        <f>Tabela1[[#This Row],[Total 2019]]/Tabela1[[#This Row],[Meta]]</f>
        <v>0.18385349999999998</v>
      </c>
      <c r="V31" s="17">
        <f>IFERROR(Tabela1[[#This Row],[Total 2019]]/Tabela1[[#This Row],[Total 2018]]-1,0)</f>
        <v>0.13685894912948315</v>
      </c>
      <c r="W3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31" s="48"/>
      <c r="Y31" s="19"/>
      <c r="Z31" s="68"/>
    </row>
    <row r="32" spans="3:26" x14ac:dyDescent="0.35">
      <c r="C32" s="11" t="s">
        <v>2703</v>
      </c>
      <c r="D32" s="12" t="s">
        <v>2698</v>
      </c>
      <c r="E32" s="12">
        <v>24</v>
      </c>
      <c r="F32" s="13" t="s">
        <v>1471</v>
      </c>
      <c r="G32" s="14">
        <v>3</v>
      </c>
      <c r="H32" s="14" t="s">
        <v>1370</v>
      </c>
      <c r="I32" s="13">
        <v>1</v>
      </c>
      <c r="J32" s="15" t="s">
        <v>1400</v>
      </c>
      <c r="K32" s="15" t="s">
        <v>2706</v>
      </c>
      <c r="L32" s="16">
        <v>2448.9670000000001</v>
      </c>
      <c r="M32" s="16">
        <v>4066.855</v>
      </c>
      <c r="N32" s="16"/>
      <c r="O32" s="16">
        <v>12282.264999999999</v>
      </c>
      <c r="P32" s="16">
        <v>7749.15</v>
      </c>
      <c r="Q32" s="16">
        <f>SUM(Tabela1[[#This Row],[201805]:[201807]])</f>
        <v>6515.8220000000001</v>
      </c>
      <c r="R32" s="16">
        <f>SUM(Tabela1[[#This Row],[201905]:[201906]])</f>
        <v>20031.415000000001</v>
      </c>
      <c r="S32" s="16">
        <v>100000</v>
      </c>
      <c r="T32" s="16">
        <f>Tabela1[[#This Row],[Total 2019]]-Tabela1[[#This Row],[Total 2018]]</f>
        <v>13515.593000000001</v>
      </c>
      <c r="U32" s="40">
        <f>Tabela1[[#This Row],[Total 2019]]/Tabela1[[#This Row],[Meta]]</f>
        <v>0.20031415</v>
      </c>
      <c r="V32" s="17">
        <f>IFERROR(Tabela1[[#This Row],[Total 2019]]/Tabela1[[#This Row],[Total 2018]]-1,0)</f>
        <v>2.0742729006409322</v>
      </c>
      <c r="W3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32" s="48"/>
      <c r="Y32" s="19"/>
      <c r="Z32" s="68"/>
    </row>
    <row r="33" spans="3:26" x14ac:dyDescent="0.35">
      <c r="C33" s="11" t="s">
        <v>2703</v>
      </c>
      <c r="D33" s="12" t="s">
        <v>2698</v>
      </c>
      <c r="E33" s="12">
        <v>25</v>
      </c>
      <c r="F33" s="13" t="s">
        <v>1472</v>
      </c>
      <c r="G33" s="14">
        <v>1</v>
      </c>
      <c r="H33" s="14" t="s">
        <v>1372</v>
      </c>
      <c r="I33" s="13">
        <v>6</v>
      </c>
      <c r="J33" s="15" t="s">
        <v>1405</v>
      </c>
      <c r="K33" s="15" t="s">
        <v>2708</v>
      </c>
      <c r="L33" s="16">
        <v>1570.027</v>
      </c>
      <c r="M33" s="16">
        <v>3720.4469999999997</v>
      </c>
      <c r="N33" s="16">
        <v>432.36399999999998</v>
      </c>
      <c r="O33" s="16"/>
      <c r="P33" s="16"/>
      <c r="Q33" s="16">
        <f>SUM(Tabela1[[#This Row],[201805]:[201807]])</f>
        <v>5722.8379999999997</v>
      </c>
      <c r="R33" s="16">
        <f>SUM(Tabela1[[#This Row],[201905]:[201906]])</f>
        <v>0</v>
      </c>
      <c r="S33" s="16">
        <v>100000</v>
      </c>
      <c r="T33" s="16">
        <f>Tabela1[[#This Row],[Total 2019]]-Tabela1[[#This Row],[Total 2018]]</f>
        <v>-5722.8379999999997</v>
      </c>
      <c r="U33" s="40">
        <f>Tabela1[[#This Row],[Total 2019]]/Tabela1[[#This Row],[Meta]]</f>
        <v>0</v>
      </c>
      <c r="V33" s="17">
        <f>IFERROR(Tabela1[[#This Row],[Total 2019]]/Tabela1[[#This Row],[Total 2018]]-1,0)</f>
        <v>-1</v>
      </c>
      <c r="W3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3" s="48"/>
      <c r="Y33" s="19"/>
      <c r="Z33" s="68"/>
    </row>
    <row r="34" spans="3:26" x14ac:dyDescent="0.35">
      <c r="C34" s="11" t="s">
        <v>2704</v>
      </c>
      <c r="D34" s="12" t="s">
        <v>2699</v>
      </c>
      <c r="E34" s="12">
        <v>26</v>
      </c>
      <c r="F34" s="13" t="s">
        <v>1473</v>
      </c>
      <c r="G34" s="14">
        <v>1</v>
      </c>
      <c r="H34" s="14" t="s">
        <v>1370</v>
      </c>
      <c r="I34" s="13">
        <v>8</v>
      </c>
      <c r="J34" s="15" t="s">
        <v>1407</v>
      </c>
      <c r="K34" s="15" t="s">
        <v>2706</v>
      </c>
      <c r="L34" s="16">
        <v>875.13049999999998</v>
      </c>
      <c r="M34" s="16">
        <v>4622.9945000000007</v>
      </c>
      <c r="N34" s="16"/>
      <c r="O34" s="16"/>
      <c r="P34" s="16"/>
      <c r="Q34" s="16">
        <f>SUM(Tabela1[[#This Row],[201805]:[201807]])</f>
        <v>5498.1250000000009</v>
      </c>
      <c r="R34" s="16">
        <f>SUM(Tabela1[[#This Row],[201905]:[201906]])</f>
        <v>0</v>
      </c>
      <c r="S34" s="16">
        <v>100000</v>
      </c>
      <c r="T34" s="16">
        <f>Tabela1[[#This Row],[Total 2019]]-Tabela1[[#This Row],[Total 2018]]</f>
        <v>-5498.1250000000009</v>
      </c>
      <c r="U34" s="40">
        <f>Tabela1[[#This Row],[Total 2019]]/Tabela1[[#This Row],[Meta]]</f>
        <v>0</v>
      </c>
      <c r="V34" s="17">
        <f>IFERROR(Tabela1[[#This Row],[Total 2019]]/Tabela1[[#This Row],[Total 2018]]-1,0)</f>
        <v>-1</v>
      </c>
      <c r="W3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4" s="48"/>
      <c r="Y34" s="19"/>
      <c r="Z34" s="68"/>
    </row>
    <row r="35" spans="3:26" x14ac:dyDescent="0.35">
      <c r="C35" s="11" t="s">
        <v>2702</v>
      </c>
      <c r="D35" s="12" t="s">
        <v>2700</v>
      </c>
      <c r="E35" s="12">
        <v>27</v>
      </c>
      <c r="F35" s="13" t="s">
        <v>1474</v>
      </c>
      <c r="G35" s="14">
        <v>3</v>
      </c>
      <c r="H35" s="14" t="s">
        <v>1372</v>
      </c>
      <c r="I35" s="13">
        <v>17</v>
      </c>
      <c r="J35" s="15" t="s">
        <v>1416</v>
      </c>
      <c r="K35" s="15" t="s">
        <v>2708</v>
      </c>
      <c r="L35" s="16"/>
      <c r="M35" s="16">
        <v>3896.1304999999998</v>
      </c>
      <c r="N35" s="16">
        <v>856.88099999999997</v>
      </c>
      <c r="O35" s="16"/>
      <c r="P35" s="16"/>
      <c r="Q35" s="16">
        <f>SUM(Tabela1[[#This Row],[201805]:[201807]])</f>
        <v>4753.0114999999996</v>
      </c>
      <c r="R35" s="16">
        <f>SUM(Tabela1[[#This Row],[201905]:[201906]])</f>
        <v>0</v>
      </c>
      <c r="S35" s="16">
        <v>100000</v>
      </c>
      <c r="T35" s="16">
        <f>Tabela1[[#This Row],[Total 2019]]-Tabela1[[#This Row],[Total 2018]]</f>
        <v>-4753.0114999999996</v>
      </c>
      <c r="U35" s="40">
        <f>Tabela1[[#This Row],[Total 2019]]/Tabela1[[#This Row],[Meta]]</f>
        <v>0</v>
      </c>
      <c r="V35" s="17">
        <f>IFERROR(Tabela1[[#This Row],[Total 2019]]/Tabela1[[#This Row],[Total 2018]]-1,0)</f>
        <v>-1</v>
      </c>
      <c r="W3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5" s="48"/>
      <c r="Y35" s="19"/>
      <c r="Z35" s="68"/>
    </row>
    <row r="36" spans="3:26" x14ac:dyDescent="0.35">
      <c r="C36" s="11" t="s">
        <v>2704</v>
      </c>
      <c r="D36" s="12" t="s">
        <v>2700</v>
      </c>
      <c r="E36" s="12">
        <v>28</v>
      </c>
      <c r="F36" s="13" t="s">
        <v>1475</v>
      </c>
      <c r="G36" s="14">
        <v>1</v>
      </c>
      <c r="H36" s="14" t="s">
        <v>1370</v>
      </c>
      <c r="I36" s="13">
        <v>8</v>
      </c>
      <c r="J36" s="15" t="s">
        <v>1407</v>
      </c>
      <c r="K36" s="15" t="s">
        <v>2706</v>
      </c>
      <c r="L36" s="16"/>
      <c r="M36" s="16"/>
      <c r="N36" s="16">
        <v>8599.3240000000005</v>
      </c>
      <c r="O36" s="16">
        <v>11009.36</v>
      </c>
      <c r="P36" s="16"/>
      <c r="Q36" s="16">
        <f>SUM(Tabela1[[#This Row],[201805]:[201807]])</f>
        <v>8599.3240000000005</v>
      </c>
      <c r="R36" s="16">
        <f>SUM(Tabela1[[#This Row],[201905]:[201906]])</f>
        <v>11009.36</v>
      </c>
      <c r="S36" s="16">
        <v>100000</v>
      </c>
      <c r="T36" s="16">
        <f>Tabela1[[#This Row],[Total 2019]]-Tabela1[[#This Row],[Total 2018]]</f>
        <v>2410.0360000000001</v>
      </c>
      <c r="U36" s="40">
        <f>Tabela1[[#This Row],[Total 2019]]/Tabela1[[#This Row],[Meta]]</f>
        <v>0.1100936</v>
      </c>
      <c r="V36" s="17">
        <f>IFERROR(Tabela1[[#This Row],[Total 2019]]/Tabela1[[#This Row],[Total 2018]]-1,0)</f>
        <v>0.28025877382919862</v>
      </c>
      <c r="W3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36" s="48"/>
      <c r="Y36" s="19"/>
      <c r="Z36" s="68"/>
    </row>
    <row r="37" spans="3:26" x14ac:dyDescent="0.35">
      <c r="C37" s="11" t="s">
        <v>2703</v>
      </c>
      <c r="D37" s="12" t="s">
        <v>2700</v>
      </c>
      <c r="E37" s="12">
        <v>29</v>
      </c>
      <c r="F37" s="13" t="s">
        <v>1476</v>
      </c>
      <c r="G37" s="14">
        <v>1</v>
      </c>
      <c r="H37" s="14" t="s">
        <v>1370</v>
      </c>
      <c r="I37" s="13">
        <v>1</v>
      </c>
      <c r="J37" s="15" t="s">
        <v>1400</v>
      </c>
      <c r="K37" s="15" t="s">
        <v>2706</v>
      </c>
      <c r="L37" s="16"/>
      <c r="M37" s="16">
        <v>1216.6364999999998</v>
      </c>
      <c r="N37" s="16"/>
      <c r="O37" s="16"/>
      <c r="P37" s="16"/>
      <c r="Q37" s="16">
        <f>SUM(Tabela1[[#This Row],[201805]:[201807]])</f>
        <v>1216.6364999999998</v>
      </c>
      <c r="R37" s="16">
        <f>SUM(Tabela1[[#This Row],[201905]:[201906]])</f>
        <v>0</v>
      </c>
      <c r="S37" s="16">
        <v>100000</v>
      </c>
      <c r="T37" s="16">
        <f>Tabela1[[#This Row],[Total 2019]]-Tabela1[[#This Row],[Total 2018]]</f>
        <v>-1216.6364999999998</v>
      </c>
      <c r="U37" s="40">
        <f>Tabela1[[#This Row],[Total 2019]]/Tabela1[[#This Row],[Meta]]</f>
        <v>0</v>
      </c>
      <c r="V37" s="17">
        <f>IFERROR(Tabela1[[#This Row],[Total 2019]]/Tabela1[[#This Row],[Total 2018]]-1,0)</f>
        <v>-1</v>
      </c>
      <c r="W3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7" s="48"/>
      <c r="Y37" s="19"/>
      <c r="Z37" s="68"/>
    </row>
    <row r="38" spans="3:26" x14ac:dyDescent="0.35">
      <c r="C38" s="11" t="s">
        <v>2703</v>
      </c>
      <c r="D38" s="12" t="s">
        <v>2699</v>
      </c>
      <c r="E38" s="12">
        <v>30</v>
      </c>
      <c r="F38" s="13" t="s">
        <v>1477</v>
      </c>
      <c r="G38" s="14">
        <v>1</v>
      </c>
      <c r="H38" s="14" t="s">
        <v>1371</v>
      </c>
      <c r="I38" s="13">
        <v>9</v>
      </c>
      <c r="J38" s="15" t="s">
        <v>1408</v>
      </c>
      <c r="K38" s="15" t="s">
        <v>2707</v>
      </c>
      <c r="L38" s="16">
        <v>3813.1005</v>
      </c>
      <c r="M38" s="16">
        <v>2045.5494999999999</v>
      </c>
      <c r="N38" s="16"/>
      <c r="O38" s="16"/>
      <c r="P38" s="16"/>
      <c r="Q38" s="16">
        <f>SUM(Tabela1[[#This Row],[201805]:[201807]])</f>
        <v>5858.65</v>
      </c>
      <c r="R38" s="16">
        <f>SUM(Tabela1[[#This Row],[201905]:[201906]])</f>
        <v>0</v>
      </c>
      <c r="S38" s="16">
        <v>100000</v>
      </c>
      <c r="T38" s="16">
        <f>Tabela1[[#This Row],[Total 2019]]-Tabela1[[#This Row],[Total 2018]]</f>
        <v>-5858.65</v>
      </c>
      <c r="U38" s="40">
        <f>Tabela1[[#This Row],[Total 2019]]/Tabela1[[#This Row],[Meta]]</f>
        <v>0</v>
      </c>
      <c r="V38" s="17">
        <f>IFERROR(Tabela1[[#This Row],[Total 2019]]/Tabela1[[#This Row],[Total 2018]]-1,0)</f>
        <v>-1</v>
      </c>
      <c r="W3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8" s="48"/>
      <c r="Y38" s="19"/>
      <c r="Z38" s="68"/>
    </row>
    <row r="39" spans="3:26" x14ac:dyDescent="0.35">
      <c r="C39" s="11" t="s">
        <v>2703</v>
      </c>
      <c r="D39" s="12" t="s">
        <v>2700</v>
      </c>
      <c r="E39" s="12">
        <v>31</v>
      </c>
      <c r="F39" s="13" t="s">
        <v>1478</v>
      </c>
      <c r="G39" s="14">
        <v>1</v>
      </c>
      <c r="H39" s="14" t="s">
        <v>1370</v>
      </c>
      <c r="I39" s="13">
        <v>19</v>
      </c>
      <c r="J39" s="15" t="s">
        <v>1418</v>
      </c>
      <c r="K39" s="15" t="s">
        <v>2706</v>
      </c>
      <c r="L39" s="16">
        <v>4649.3094999999994</v>
      </c>
      <c r="M39" s="16">
        <v>1114.9675</v>
      </c>
      <c r="N39" s="16"/>
      <c r="O39" s="16">
        <v>1873.8654999999999</v>
      </c>
      <c r="P39" s="16">
        <v>8815.259</v>
      </c>
      <c r="Q39" s="16">
        <f>SUM(Tabela1[[#This Row],[201805]:[201807]])</f>
        <v>5764.2769999999991</v>
      </c>
      <c r="R39" s="16">
        <f>SUM(Tabela1[[#This Row],[201905]:[201906]])</f>
        <v>10689.1245</v>
      </c>
      <c r="S39" s="16">
        <v>100000</v>
      </c>
      <c r="T39" s="16">
        <f>Tabela1[[#This Row],[Total 2019]]-Tabela1[[#This Row],[Total 2018]]</f>
        <v>4924.8475000000008</v>
      </c>
      <c r="U39" s="40">
        <f>Tabela1[[#This Row],[Total 2019]]/Tabela1[[#This Row],[Meta]]</f>
        <v>0.106891245</v>
      </c>
      <c r="V39" s="17">
        <f>IFERROR(Tabela1[[#This Row],[Total 2019]]/Tabela1[[#This Row],[Total 2018]]-1,0)</f>
        <v>0.85437384428263963</v>
      </c>
      <c r="W3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39" s="48"/>
      <c r="Y39" s="19"/>
      <c r="Z39" s="68"/>
    </row>
    <row r="40" spans="3:26" x14ac:dyDescent="0.35">
      <c r="C40" s="11" t="s">
        <v>2704</v>
      </c>
      <c r="D40" s="12" t="s">
        <v>2699</v>
      </c>
      <c r="E40" s="12">
        <v>32</v>
      </c>
      <c r="F40" s="13" t="s">
        <v>1479</v>
      </c>
      <c r="G40" s="14">
        <v>2</v>
      </c>
      <c r="H40" s="14" t="s">
        <v>1372</v>
      </c>
      <c r="I40" s="13">
        <v>20</v>
      </c>
      <c r="J40" s="15" t="s">
        <v>1419</v>
      </c>
      <c r="K40" s="15" t="s">
        <v>2708</v>
      </c>
      <c r="L40" s="16">
        <v>1382.991</v>
      </c>
      <c r="M40" s="16">
        <v>2089.259</v>
      </c>
      <c r="N40" s="16">
        <v>2184.5819999999999</v>
      </c>
      <c r="O40" s="16"/>
      <c r="P40" s="16"/>
      <c r="Q40" s="16">
        <f>SUM(Tabela1[[#This Row],[201805]:[201807]])</f>
        <v>5656.8320000000003</v>
      </c>
      <c r="R40" s="16">
        <f>SUM(Tabela1[[#This Row],[201905]:[201906]])</f>
        <v>0</v>
      </c>
      <c r="S40" s="16">
        <v>100000</v>
      </c>
      <c r="T40" s="16">
        <f>Tabela1[[#This Row],[Total 2019]]-Tabela1[[#This Row],[Total 2018]]</f>
        <v>-5656.8320000000003</v>
      </c>
      <c r="U40" s="40">
        <f>Tabela1[[#This Row],[Total 2019]]/Tabela1[[#This Row],[Meta]]</f>
        <v>0</v>
      </c>
      <c r="V40" s="17">
        <f>IFERROR(Tabela1[[#This Row],[Total 2019]]/Tabela1[[#This Row],[Total 2018]]-1,0)</f>
        <v>-1</v>
      </c>
      <c r="W4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0" s="48"/>
      <c r="Y40" s="19"/>
      <c r="Z40" s="68"/>
    </row>
    <row r="41" spans="3:26" x14ac:dyDescent="0.35">
      <c r="C41" s="11" t="s">
        <v>2702</v>
      </c>
      <c r="D41" s="12" t="s">
        <v>2698</v>
      </c>
      <c r="E41" s="12">
        <v>33</v>
      </c>
      <c r="F41" s="13" t="s">
        <v>1480</v>
      </c>
      <c r="G41" s="14">
        <v>3</v>
      </c>
      <c r="H41" s="14" t="s">
        <v>1370</v>
      </c>
      <c r="I41" s="13">
        <v>8</v>
      </c>
      <c r="J41" s="15" t="s">
        <v>1407</v>
      </c>
      <c r="K41" s="15" t="s">
        <v>2706</v>
      </c>
      <c r="L41" s="16">
        <v>9056.9675000000007</v>
      </c>
      <c r="M41" s="16">
        <v>4564.8734999999997</v>
      </c>
      <c r="N41" s="16"/>
      <c r="O41" s="16"/>
      <c r="P41" s="16"/>
      <c r="Q41" s="16">
        <f>SUM(Tabela1[[#This Row],[201805]:[201807]])</f>
        <v>13621.841</v>
      </c>
      <c r="R41" s="16">
        <f>SUM(Tabela1[[#This Row],[201905]:[201906]])</f>
        <v>0</v>
      </c>
      <c r="S41" s="16">
        <v>100000</v>
      </c>
      <c r="T41" s="16">
        <f>Tabela1[[#This Row],[Total 2019]]-Tabela1[[#This Row],[Total 2018]]</f>
        <v>-13621.841</v>
      </c>
      <c r="U41" s="40">
        <f>Tabela1[[#This Row],[Total 2019]]/Tabela1[[#This Row],[Meta]]</f>
        <v>0</v>
      </c>
      <c r="V41" s="17">
        <f>IFERROR(Tabela1[[#This Row],[Total 2019]]/Tabela1[[#This Row],[Total 2018]]-1,0)</f>
        <v>-1</v>
      </c>
      <c r="W4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1" s="48"/>
      <c r="Y41" s="19"/>
      <c r="Z41" s="68"/>
    </row>
    <row r="42" spans="3:26" x14ac:dyDescent="0.35">
      <c r="C42" s="11" t="s">
        <v>2702</v>
      </c>
      <c r="D42" s="12" t="s">
        <v>2699</v>
      </c>
      <c r="E42" s="12">
        <v>34</v>
      </c>
      <c r="F42" s="13" t="s">
        <v>1481</v>
      </c>
      <c r="G42" s="14">
        <v>3</v>
      </c>
      <c r="H42" s="14" t="s">
        <v>1370</v>
      </c>
      <c r="I42" s="13">
        <v>1</v>
      </c>
      <c r="J42" s="15" t="s">
        <v>1400</v>
      </c>
      <c r="K42" s="15" t="s">
        <v>2706</v>
      </c>
      <c r="L42" s="16">
        <v>4276.9854999999998</v>
      </c>
      <c r="M42" s="16">
        <v>1506.2914999999998</v>
      </c>
      <c r="N42" s="16"/>
      <c r="O42" s="16">
        <v>7741.74</v>
      </c>
      <c r="P42" s="16">
        <v>4571.3524999999991</v>
      </c>
      <c r="Q42" s="16">
        <f>SUM(Tabela1[[#This Row],[201805]:[201807]])</f>
        <v>5783.277</v>
      </c>
      <c r="R42" s="16">
        <f>SUM(Tabela1[[#This Row],[201905]:[201906]])</f>
        <v>12313.092499999999</v>
      </c>
      <c r="S42" s="16">
        <v>100000</v>
      </c>
      <c r="T42" s="16">
        <f>Tabela1[[#This Row],[Total 2019]]-Tabela1[[#This Row],[Total 2018]]</f>
        <v>6529.8154999999988</v>
      </c>
      <c r="U42" s="40">
        <f>Tabela1[[#This Row],[Total 2019]]/Tabela1[[#This Row],[Meta]]</f>
        <v>0.12313092499999999</v>
      </c>
      <c r="V42" s="17">
        <f>IFERROR(Tabela1[[#This Row],[Total 2019]]/Tabela1[[#This Row],[Total 2018]]-1,0)</f>
        <v>1.1290857242355847</v>
      </c>
      <c r="W4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42" s="48"/>
      <c r="Y42" s="19"/>
      <c r="Z42" s="68"/>
    </row>
    <row r="43" spans="3:26" x14ac:dyDescent="0.35">
      <c r="C43" s="11" t="s">
        <v>2704</v>
      </c>
      <c r="D43" s="12" t="s">
        <v>2700</v>
      </c>
      <c r="E43" s="12">
        <v>35</v>
      </c>
      <c r="F43" s="13" t="s">
        <v>1482</v>
      </c>
      <c r="G43" s="14">
        <v>3</v>
      </c>
      <c r="H43" s="14" t="s">
        <v>1370</v>
      </c>
      <c r="I43" s="13">
        <v>15</v>
      </c>
      <c r="J43" s="15" t="s">
        <v>1414</v>
      </c>
      <c r="K43" s="15" t="s">
        <v>2706</v>
      </c>
      <c r="L43" s="16">
        <v>1740.02</v>
      </c>
      <c r="M43" s="16">
        <v>3255.0230000000001</v>
      </c>
      <c r="N43" s="16">
        <v>1284.8654999999999</v>
      </c>
      <c r="O43" s="16"/>
      <c r="P43" s="16"/>
      <c r="Q43" s="16">
        <f>SUM(Tabela1[[#This Row],[201805]:[201807]])</f>
        <v>6279.9084999999995</v>
      </c>
      <c r="R43" s="16">
        <f>SUM(Tabela1[[#This Row],[201905]:[201906]])</f>
        <v>0</v>
      </c>
      <c r="S43" s="16">
        <v>100000</v>
      </c>
      <c r="T43" s="16">
        <f>Tabela1[[#This Row],[Total 2019]]-Tabela1[[#This Row],[Total 2018]]</f>
        <v>-6279.9084999999995</v>
      </c>
      <c r="U43" s="40">
        <f>Tabela1[[#This Row],[Total 2019]]/Tabela1[[#This Row],[Meta]]</f>
        <v>0</v>
      </c>
      <c r="V43" s="17">
        <f>IFERROR(Tabela1[[#This Row],[Total 2019]]/Tabela1[[#This Row],[Total 2018]]-1,0)</f>
        <v>-1</v>
      </c>
      <c r="W4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3" s="48"/>
      <c r="Y43" s="19"/>
      <c r="Z43" s="68"/>
    </row>
    <row r="44" spans="3:26" x14ac:dyDescent="0.35">
      <c r="C44" s="11" t="s">
        <v>2704</v>
      </c>
      <c r="D44" s="12" t="s">
        <v>2700</v>
      </c>
      <c r="E44" s="12">
        <v>36</v>
      </c>
      <c r="F44" s="13" t="s">
        <v>1483</v>
      </c>
      <c r="G44" s="14">
        <v>2</v>
      </c>
      <c r="H44" s="14" t="s">
        <v>1370</v>
      </c>
      <c r="I44" s="13">
        <v>15</v>
      </c>
      <c r="J44" s="15" t="s">
        <v>1414</v>
      </c>
      <c r="K44" s="15" t="s">
        <v>2706</v>
      </c>
      <c r="L44" s="16">
        <v>12251.998000000001</v>
      </c>
      <c r="M44" s="16">
        <v>3186.8795</v>
      </c>
      <c r="N44" s="16">
        <v>7245.3269999999993</v>
      </c>
      <c r="O44" s="16">
        <v>10954.098500000002</v>
      </c>
      <c r="P44" s="16">
        <v>8533.7644999999993</v>
      </c>
      <c r="Q44" s="16">
        <f>SUM(Tabela1[[#This Row],[201805]:[201807]])</f>
        <v>22684.2045</v>
      </c>
      <c r="R44" s="16">
        <f>SUM(Tabela1[[#This Row],[201905]:[201906]])</f>
        <v>19487.863000000001</v>
      </c>
      <c r="S44" s="16">
        <v>100000</v>
      </c>
      <c r="T44" s="16">
        <f>Tabela1[[#This Row],[Total 2019]]-Tabela1[[#This Row],[Total 2018]]</f>
        <v>-3196.3414999999986</v>
      </c>
      <c r="U44" s="40">
        <f>Tabela1[[#This Row],[Total 2019]]/Tabela1[[#This Row],[Meta]]</f>
        <v>0.19487863000000002</v>
      </c>
      <c r="V44" s="17">
        <f>IFERROR(Tabela1[[#This Row],[Total 2019]]/Tabela1[[#This Row],[Total 2018]]-1,0)</f>
        <v>-0.14090604323374001</v>
      </c>
      <c r="W4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44" s="48"/>
      <c r="Y44" s="19"/>
      <c r="Z44" s="68"/>
    </row>
    <row r="45" spans="3:26" x14ac:dyDescent="0.35">
      <c r="C45" s="11" t="s">
        <v>2702</v>
      </c>
      <c r="D45" s="12" t="s">
        <v>2699</v>
      </c>
      <c r="E45" s="12">
        <v>37</v>
      </c>
      <c r="F45" s="13" t="s">
        <v>1484</v>
      </c>
      <c r="G45" s="14">
        <v>3</v>
      </c>
      <c r="H45" s="14" t="s">
        <v>1372</v>
      </c>
      <c r="I45" s="13">
        <v>10</v>
      </c>
      <c r="J45" s="15" t="s">
        <v>1409</v>
      </c>
      <c r="K45" s="15" t="s">
        <v>2708</v>
      </c>
      <c r="L45" s="16">
        <v>1625.2599999999998</v>
      </c>
      <c r="M45" s="16">
        <v>386.87799999999999</v>
      </c>
      <c r="N45" s="16"/>
      <c r="O45" s="16"/>
      <c r="P45" s="16"/>
      <c r="Q45" s="16">
        <f>SUM(Tabela1[[#This Row],[201805]:[201807]])</f>
        <v>2012.1379999999997</v>
      </c>
      <c r="R45" s="16">
        <f>SUM(Tabela1[[#This Row],[201905]:[201906]])</f>
        <v>0</v>
      </c>
      <c r="S45" s="16">
        <v>100000</v>
      </c>
      <c r="T45" s="16">
        <f>Tabela1[[#This Row],[Total 2019]]-Tabela1[[#This Row],[Total 2018]]</f>
        <v>-2012.1379999999997</v>
      </c>
      <c r="U45" s="40">
        <f>Tabela1[[#This Row],[Total 2019]]/Tabela1[[#This Row],[Meta]]</f>
        <v>0</v>
      </c>
      <c r="V45" s="17">
        <f>IFERROR(Tabela1[[#This Row],[Total 2019]]/Tabela1[[#This Row],[Total 2018]]-1,0)</f>
        <v>-1</v>
      </c>
      <c r="W4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5" s="48"/>
      <c r="Y45" s="19"/>
      <c r="Z45" s="68"/>
    </row>
    <row r="46" spans="3:26" x14ac:dyDescent="0.35">
      <c r="C46" s="11" t="s">
        <v>2702</v>
      </c>
      <c r="D46" s="12" t="s">
        <v>2698</v>
      </c>
      <c r="E46" s="12">
        <v>38</v>
      </c>
      <c r="F46" s="13" t="s">
        <v>1485</v>
      </c>
      <c r="G46" s="14">
        <v>1</v>
      </c>
      <c r="H46" s="14" t="s">
        <v>1372</v>
      </c>
      <c r="I46" s="13">
        <v>21</v>
      </c>
      <c r="J46" s="15" t="s">
        <v>1420</v>
      </c>
      <c r="K46" s="15" t="s">
        <v>2708</v>
      </c>
      <c r="L46" s="16"/>
      <c r="M46" s="16">
        <v>3075.4255000000003</v>
      </c>
      <c r="N46" s="16"/>
      <c r="O46" s="16">
        <v>5142.5779999999995</v>
      </c>
      <c r="P46" s="16"/>
      <c r="Q46" s="16">
        <f>SUM(Tabela1[[#This Row],[201805]:[201807]])</f>
        <v>3075.4255000000003</v>
      </c>
      <c r="R46" s="16">
        <f>SUM(Tabela1[[#This Row],[201905]:[201906]])</f>
        <v>5142.5779999999995</v>
      </c>
      <c r="S46" s="16">
        <v>100000</v>
      </c>
      <c r="T46" s="16">
        <f>Tabela1[[#This Row],[Total 2019]]-Tabela1[[#This Row],[Total 2018]]</f>
        <v>2067.1524999999992</v>
      </c>
      <c r="U46" s="40">
        <f>Tabela1[[#This Row],[Total 2019]]/Tabela1[[#This Row],[Meta]]</f>
        <v>5.1425779999999997E-2</v>
      </c>
      <c r="V46" s="17">
        <f>IFERROR(Tabela1[[#This Row],[Total 2019]]/Tabela1[[#This Row],[Total 2018]]-1,0)</f>
        <v>0.67215170713776007</v>
      </c>
      <c r="W4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46" s="48"/>
      <c r="Y46" s="19"/>
      <c r="Z46" s="68"/>
    </row>
    <row r="47" spans="3:26" x14ac:dyDescent="0.35">
      <c r="C47" s="11" t="s">
        <v>2703</v>
      </c>
      <c r="D47" s="12" t="s">
        <v>2700</v>
      </c>
      <c r="E47" s="12">
        <v>39</v>
      </c>
      <c r="F47" s="13" t="s">
        <v>1486</v>
      </c>
      <c r="G47" s="14">
        <v>1</v>
      </c>
      <c r="H47" s="14" t="s">
        <v>1372</v>
      </c>
      <c r="I47" s="13">
        <v>22</v>
      </c>
      <c r="J47" s="15" t="s">
        <v>1421</v>
      </c>
      <c r="K47" s="15" t="s">
        <v>2708</v>
      </c>
      <c r="L47" s="16">
        <v>5760.1824999999999</v>
      </c>
      <c r="M47" s="16">
        <v>4654.3159999999998</v>
      </c>
      <c r="N47" s="16"/>
      <c r="O47" s="16"/>
      <c r="P47" s="16"/>
      <c r="Q47" s="16">
        <f>SUM(Tabela1[[#This Row],[201805]:[201807]])</f>
        <v>10414.4985</v>
      </c>
      <c r="R47" s="16">
        <f>SUM(Tabela1[[#This Row],[201905]:[201906]])</f>
        <v>0</v>
      </c>
      <c r="S47" s="16">
        <v>100000</v>
      </c>
      <c r="T47" s="16">
        <f>Tabela1[[#This Row],[Total 2019]]-Tabela1[[#This Row],[Total 2018]]</f>
        <v>-10414.4985</v>
      </c>
      <c r="U47" s="40">
        <f>Tabela1[[#This Row],[Total 2019]]/Tabela1[[#This Row],[Meta]]</f>
        <v>0</v>
      </c>
      <c r="V47" s="17">
        <f>IFERROR(Tabela1[[#This Row],[Total 2019]]/Tabela1[[#This Row],[Total 2018]]-1,0)</f>
        <v>-1</v>
      </c>
      <c r="W4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7" s="48"/>
      <c r="Y47" s="19"/>
      <c r="Z47" s="68"/>
    </row>
    <row r="48" spans="3:26" x14ac:dyDescent="0.35">
      <c r="C48" s="11" t="s">
        <v>2703</v>
      </c>
      <c r="D48" s="12" t="s">
        <v>2700</v>
      </c>
      <c r="E48" s="12">
        <v>40</v>
      </c>
      <c r="F48" s="13" t="s">
        <v>1487</v>
      </c>
      <c r="G48" s="14">
        <v>1</v>
      </c>
      <c r="H48" s="14" t="s">
        <v>1372</v>
      </c>
      <c r="I48" s="13">
        <v>22</v>
      </c>
      <c r="J48" s="15" t="s">
        <v>1421</v>
      </c>
      <c r="K48" s="15" t="s">
        <v>2708</v>
      </c>
      <c r="L48" s="16">
        <v>2628.3364999999999</v>
      </c>
      <c r="M48" s="16">
        <v>5621.5774999999985</v>
      </c>
      <c r="N48" s="16"/>
      <c r="O48" s="16"/>
      <c r="P48" s="16"/>
      <c r="Q48" s="16">
        <f>SUM(Tabela1[[#This Row],[201805]:[201807]])</f>
        <v>8249.9139999999989</v>
      </c>
      <c r="R48" s="16">
        <f>SUM(Tabela1[[#This Row],[201905]:[201906]])</f>
        <v>0</v>
      </c>
      <c r="S48" s="16">
        <v>100000</v>
      </c>
      <c r="T48" s="16">
        <f>Tabela1[[#This Row],[Total 2019]]-Tabela1[[#This Row],[Total 2018]]</f>
        <v>-8249.9139999999989</v>
      </c>
      <c r="U48" s="40">
        <f>Tabela1[[#This Row],[Total 2019]]/Tabela1[[#This Row],[Meta]]</f>
        <v>0</v>
      </c>
      <c r="V48" s="17">
        <f>IFERROR(Tabela1[[#This Row],[Total 2019]]/Tabela1[[#This Row],[Total 2018]]-1,0)</f>
        <v>-1</v>
      </c>
      <c r="W4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8" s="48"/>
      <c r="Y48" s="19"/>
      <c r="Z48" s="68"/>
    </row>
    <row r="49" spans="3:26" x14ac:dyDescent="0.35">
      <c r="C49" s="11" t="s">
        <v>2702</v>
      </c>
      <c r="D49" s="12" t="s">
        <v>2698</v>
      </c>
      <c r="E49" s="12">
        <v>41</v>
      </c>
      <c r="F49" s="13" t="s">
        <v>1488</v>
      </c>
      <c r="G49" s="14">
        <v>3</v>
      </c>
      <c r="H49" s="14" t="s">
        <v>1372</v>
      </c>
      <c r="I49" s="13">
        <v>20</v>
      </c>
      <c r="J49" s="15" t="s">
        <v>1419</v>
      </c>
      <c r="K49" s="15" t="s">
        <v>2708</v>
      </c>
      <c r="L49" s="16">
        <v>3684.8125000000005</v>
      </c>
      <c r="M49" s="16">
        <v>4671.8814999999995</v>
      </c>
      <c r="N49" s="16"/>
      <c r="O49" s="16">
        <v>4776.7235000000001</v>
      </c>
      <c r="P49" s="16"/>
      <c r="Q49" s="16">
        <f>SUM(Tabela1[[#This Row],[201805]:[201807]])</f>
        <v>8356.6939999999995</v>
      </c>
      <c r="R49" s="16">
        <f>SUM(Tabela1[[#This Row],[201905]:[201906]])</f>
        <v>4776.7235000000001</v>
      </c>
      <c r="S49" s="16">
        <v>100000</v>
      </c>
      <c r="T49" s="16">
        <f>Tabela1[[#This Row],[Total 2019]]-Tabela1[[#This Row],[Total 2018]]</f>
        <v>-3579.9704999999994</v>
      </c>
      <c r="U49" s="40">
        <f>Tabela1[[#This Row],[Total 2019]]/Tabela1[[#This Row],[Meta]]</f>
        <v>4.7767234999999998E-2</v>
      </c>
      <c r="V49" s="17">
        <f>IFERROR(Tabela1[[#This Row],[Total 2019]]/Tabela1[[#This Row],[Total 2018]]-1,0)</f>
        <v>-0.42839554733008045</v>
      </c>
      <c r="W4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49" s="48"/>
      <c r="Y49" s="19"/>
      <c r="Z49" s="68"/>
    </row>
    <row r="50" spans="3:26" x14ac:dyDescent="0.35">
      <c r="C50" s="11" t="s">
        <v>2704</v>
      </c>
      <c r="D50" s="12" t="s">
        <v>2698</v>
      </c>
      <c r="E50" s="12">
        <v>42</v>
      </c>
      <c r="F50" s="13" t="s">
        <v>1489</v>
      </c>
      <c r="G50" s="14">
        <v>1</v>
      </c>
      <c r="H50" s="14" t="s">
        <v>1372</v>
      </c>
      <c r="I50" s="13">
        <v>22</v>
      </c>
      <c r="J50" s="15" t="s">
        <v>1421</v>
      </c>
      <c r="K50" s="15" t="s">
        <v>2708</v>
      </c>
      <c r="L50" s="16"/>
      <c r="M50" s="16">
        <v>1912.3974999999998</v>
      </c>
      <c r="N50" s="16"/>
      <c r="O50" s="16"/>
      <c r="P50" s="16"/>
      <c r="Q50" s="16">
        <f>SUM(Tabela1[[#This Row],[201805]:[201807]])</f>
        <v>1912.3974999999998</v>
      </c>
      <c r="R50" s="16">
        <f>SUM(Tabela1[[#This Row],[201905]:[201906]])</f>
        <v>0</v>
      </c>
      <c r="S50" s="16">
        <v>100000</v>
      </c>
      <c r="T50" s="16">
        <f>Tabela1[[#This Row],[Total 2019]]-Tabela1[[#This Row],[Total 2018]]</f>
        <v>-1912.3974999999998</v>
      </c>
      <c r="U50" s="40">
        <f>Tabela1[[#This Row],[Total 2019]]/Tabela1[[#This Row],[Meta]]</f>
        <v>0</v>
      </c>
      <c r="V50" s="17">
        <f>IFERROR(Tabela1[[#This Row],[Total 2019]]/Tabela1[[#This Row],[Total 2018]]-1,0)</f>
        <v>-1</v>
      </c>
      <c r="W5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0" s="48"/>
      <c r="Y50" s="19"/>
      <c r="Z50" s="68"/>
    </row>
    <row r="51" spans="3:26" x14ac:dyDescent="0.35">
      <c r="C51" s="11" t="s">
        <v>2703</v>
      </c>
      <c r="D51" s="12" t="s">
        <v>2699</v>
      </c>
      <c r="E51" s="12">
        <v>43</v>
      </c>
      <c r="F51" s="13" t="s">
        <v>1490</v>
      </c>
      <c r="G51" s="14">
        <v>1</v>
      </c>
      <c r="H51" s="14" t="s">
        <v>1370</v>
      </c>
      <c r="I51" s="13">
        <v>8</v>
      </c>
      <c r="J51" s="15" t="s">
        <v>1407</v>
      </c>
      <c r="K51" s="15" t="s">
        <v>2706</v>
      </c>
      <c r="L51" s="16">
        <v>9208.3595000000005</v>
      </c>
      <c r="M51" s="16">
        <v>5891.7574999999988</v>
      </c>
      <c r="N51" s="16"/>
      <c r="O51" s="16"/>
      <c r="P51" s="16"/>
      <c r="Q51" s="16">
        <f>SUM(Tabela1[[#This Row],[201805]:[201807]])</f>
        <v>15100.116999999998</v>
      </c>
      <c r="R51" s="16">
        <f>SUM(Tabela1[[#This Row],[201905]:[201906]])</f>
        <v>0</v>
      </c>
      <c r="S51" s="16">
        <v>100000</v>
      </c>
      <c r="T51" s="16">
        <f>Tabela1[[#This Row],[Total 2019]]-Tabela1[[#This Row],[Total 2018]]</f>
        <v>-15100.116999999998</v>
      </c>
      <c r="U51" s="40">
        <f>Tabela1[[#This Row],[Total 2019]]/Tabela1[[#This Row],[Meta]]</f>
        <v>0</v>
      </c>
      <c r="V51" s="17">
        <f>IFERROR(Tabela1[[#This Row],[Total 2019]]/Tabela1[[#This Row],[Total 2018]]-1,0)</f>
        <v>-1</v>
      </c>
      <c r="W5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1" s="48"/>
      <c r="Y51" s="19"/>
      <c r="Z51" s="68"/>
    </row>
    <row r="52" spans="3:26" x14ac:dyDescent="0.35">
      <c r="C52" s="11" t="s">
        <v>2702</v>
      </c>
      <c r="D52" s="12" t="s">
        <v>2700</v>
      </c>
      <c r="E52" s="12">
        <v>44</v>
      </c>
      <c r="F52" s="13" t="s">
        <v>1491</v>
      </c>
      <c r="G52" s="14">
        <v>2</v>
      </c>
      <c r="H52" s="14" t="s">
        <v>1372</v>
      </c>
      <c r="I52" s="13">
        <v>23</v>
      </c>
      <c r="J52" s="15" t="s">
        <v>1422</v>
      </c>
      <c r="K52" s="15" t="s">
        <v>2708</v>
      </c>
      <c r="L52" s="16">
        <v>2737.7574999999997</v>
      </c>
      <c r="M52" s="16">
        <v>5371.0244999999995</v>
      </c>
      <c r="N52" s="16">
        <v>1323.1030000000001</v>
      </c>
      <c r="O52" s="16"/>
      <c r="P52" s="16"/>
      <c r="Q52" s="16">
        <f>SUM(Tabela1[[#This Row],[201805]:[201807]])</f>
        <v>9431.8849999999984</v>
      </c>
      <c r="R52" s="16">
        <f>SUM(Tabela1[[#This Row],[201905]:[201906]])</f>
        <v>0</v>
      </c>
      <c r="S52" s="16">
        <v>100000</v>
      </c>
      <c r="T52" s="16">
        <f>Tabela1[[#This Row],[Total 2019]]-Tabela1[[#This Row],[Total 2018]]</f>
        <v>-9431.8849999999984</v>
      </c>
      <c r="U52" s="40">
        <f>Tabela1[[#This Row],[Total 2019]]/Tabela1[[#This Row],[Meta]]</f>
        <v>0</v>
      </c>
      <c r="V52" s="17">
        <f>IFERROR(Tabela1[[#This Row],[Total 2019]]/Tabela1[[#This Row],[Total 2018]]-1,0)</f>
        <v>-1</v>
      </c>
      <c r="W5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2" s="48"/>
      <c r="Y52" s="19"/>
      <c r="Z52" s="68"/>
    </row>
    <row r="53" spans="3:26" x14ac:dyDescent="0.35">
      <c r="C53" s="11" t="s">
        <v>2703</v>
      </c>
      <c r="D53" s="12" t="s">
        <v>2698</v>
      </c>
      <c r="E53" s="12">
        <v>45</v>
      </c>
      <c r="F53" s="13" t="s">
        <v>1492</v>
      </c>
      <c r="G53" s="14">
        <v>2</v>
      </c>
      <c r="H53" s="14" t="s">
        <v>1372</v>
      </c>
      <c r="I53" s="13">
        <v>22</v>
      </c>
      <c r="J53" s="15" t="s">
        <v>1421</v>
      </c>
      <c r="K53" s="15" t="s">
        <v>2708</v>
      </c>
      <c r="L53" s="16">
        <v>1443.829</v>
      </c>
      <c r="M53" s="16">
        <v>2641.9404999999997</v>
      </c>
      <c r="N53" s="16">
        <v>697.86999999999989</v>
      </c>
      <c r="O53" s="16"/>
      <c r="P53" s="16"/>
      <c r="Q53" s="16">
        <f>SUM(Tabela1[[#This Row],[201805]:[201807]])</f>
        <v>4783.6394999999993</v>
      </c>
      <c r="R53" s="16">
        <f>SUM(Tabela1[[#This Row],[201905]:[201906]])</f>
        <v>0</v>
      </c>
      <c r="S53" s="16">
        <v>100000</v>
      </c>
      <c r="T53" s="16">
        <f>Tabela1[[#This Row],[Total 2019]]-Tabela1[[#This Row],[Total 2018]]</f>
        <v>-4783.6394999999993</v>
      </c>
      <c r="U53" s="40">
        <f>Tabela1[[#This Row],[Total 2019]]/Tabela1[[#This Row],[Meta]]</f>
        <v>0</v>
      </c>
      <c r="V53" s="17">
        <f>IFERROR(Tabela1[[#This Row],[Total 2019]]/Tabela1[[#This Row],[Total 2018]]-1,0)</f>
        <v>-1</v>
      </c>
      <c r="W5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3" s="48"/>
      <c r="Y53" s="19"/>
      <c r="Z53" s="68"/>
    </row>
    <row r="54" spans="3:26" x14ac:dyDescent="0.35">
      <c r="C54" s="11" t="s">
        <v>2704</v>
      </c>
      <c r="D54" s="12" t="s">
        <v>2699</v>
      </c>
      <c r="E54" s="12">
        <v>46</v>
      </c>
      <c r="F54" s="13" t="s">
        <v>1493</v>
      </c>
      <c r="G54" s="14">
        <v>1</v>
      </c>
      <c r="H54" s="14" t="s">
        <v>1370</v>
      </c>
      <c r="I54" s="13">
        <v>1</v>
      </c>
      <c r="J54" s="15" t="s">
        <v>1400</v>
      </c>
      <c r="K54" s="15" t="s">
        <v>2706</v>
      </c>
      <c r="L54" s="16"/>
      <c r="M54" s="16">
        <v>1840.1785</v>
      </c>
      <c r="N54" s="16"/>
      <c r="O54" s="16">
        <v>6134.4919999999993</v>
      </c>
      <c r="P54" s="16">
        <v>3924.0604999999996</v>
      </c>
      <c r="Q54" s="16">
        <f>SUM(Tabela1[[#This Row],[201805]:[201807]])</f>
        <v>1840.1785</v>
      </c>
      <c r="R54" s="16">
        <f>SUM(Tabela1[[#This Row],[201905]:[201906]])</f>
        <v>10058.552499999998</v>
      </c>
      <c r="S54" s="16">
        <v>100000</v>
      </c>
      <c r="T54" s="16">
        <f>Tabela1[[#This Row],[Total 2019]]-Tabela1[[#This Row],[Total 2018]]</f>
        <v>8218.373999999998</v>
      </c>
      <c r="U54" s="40">
        <f>Tabela1[[#This Row],[Total 2019]]/Tabela1[[#This Row],[Meta]]</f>
        <v>0.10058552499999998</v>
      </c>
      <c r="V54" s="17">
        <f>IFERROR(Tabela1[[#This Row],[Total 2019]]/Tabela1[[#This Row],[Total 2018]]-1,0)</f>
        <v>4.4660743509393237</v>
      </c>
      <c r="W5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54" s="48"/>
      <c r="Y54" s="19"/>
      <c r="Z54" s="68"/>
    </row>
    <row r="55" spans="3:26" x14ac:dyDescent="0.35">
      <c r="C55" s="11" t="s">
        <v>2702</v>
      </c>
      <c r="D55" s="12" t="s">
        <v>2699</v>
      </c>
      <c r="E55" s="12">
        <v>47</v>
      </c>
      <c r="F55" s="13" t="s">
        <v>1494</v>
      </c>
      <c r="G55" s="14">
        <v>2</v>
      </c>
      <c r="H55" s="14" t="s">
        <v>1372</v>
      </c>
      <c r="I55" s="13">
        <v>6</v>
      </c>
      <c r="J55" s="15" t="s">
        <v>1405</v>
      </c>
      <c r="K55" s="15" t="s">
        <v>2708</v>
      </c>
      <c r="L55" s="16">
        <v>2602.5439999999999</v>
      </c>
      <c r="M55" s="16">
        <v>4136.9839999999995</v>
      </c>
      <c r="N55" s="16">
        <v>818.577</v>
      </c>
      <c r="O55" s="16"/>
      <c r="P55" s="16"/>
      <c r="Q55" s="16">
        <f>SUM(Tabela1[[#This Row],[201805]:[201807]])</f>
        <v>7558.1049999999996</v>
      </c>
      <c r="R55" s="16">
        <f>SUM(Tabela1[[#This Row],[201905]:[201906]])</f>
        <v>0</v>
      </c>
      <c r="S55" s="16">
        <v>100000</v>
      </c>
      <c r="T55" s="16">
        <f>Tabela1[[#This Row],[Total 2019]]-Tabela1[[#This Row],[Total 2018]]</f>
        <v>-7558.1049999999996</v>
      </c>
      <c r="U55" s="40">
        <f>Tabela1[[#This Row],[Total 2019]]/Tabela1[[#This Row],[Meta]]</f>
        <v>0</v>
      </c>
      <c r="V55" s="17">
        <f>IFERROR(Tabela1[[#This Row],[Total 2019]]/Tabela1[[#This Row],[Total 2018]]-1,0)</f>
        <v>-1</v>
      </c>
      <c r="W5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5" s="48"/>
      <c r="Y55" s="19"/>
      <c r="Z55" s="68"/>
    </row>
    <row r="56" spans="3:26" x14ac:dyDescent="0.35">
      <c r="C56" s="11" t="s">
        <v>2703</v>
      </c>
      <c r="D56" s="12" t="s">
        <v>2699</v>
      </c>
      <c r="E56" s="12">
        <v>48</v>
      </c>
      <c r="F56" s="13" t="s">
        <v>1495</v>
      </c>
      <c r="G56" s="14">
        <v>3</v>
      </c>
      <c r="H56" s="14" t="s">
        <v>1371</v>
      </c>
      <c r="I56" s="13">
        <v>5</v>
      </c>
      <c r="J56" s="15" t="s">
        <v>1404</v>
      </c>
      <c r="K56" s="15" t="s">
        <v>2707</v>
      </c>
      <c r="L56" s="16"/>
      <c r="M56" s="16">
        <v>18147.954500000003</v>
      </c>
      <c r="N56" s="16"/>
      <c r="O56" s="16"/>
      <c r="P56" s="16"/>
      <c r="Q56" s="16">
        <f>SUM(Tabela1[[#This Row],[201805]:[201807]])</f>
        <v>18147.954500000003</v>
      </c>
      <c r="R56" s="16">
        <f>SUM(Tabela1[[#This Row],[201905]:[201906]])</f>
        <v>0</v>
      </c>
      <c r="S56" s="16">
        <v>100000</v>
      </c>
      <c r="T56" s="16">
        <f>Tabela1[[#This Row],[Total 2019]]-Tabela1[[#This Row],[Total 2018]]</f>
        <v>-18147.954500000003</v>
      </c>
      <c r="U56" s="40">
        <f>Tabela1[[#This Row],[Total 2019]]/Tabela1[[#This Row],[Meta]]</f>
        <v>0</v>
      </c>
      <c r="V56" s="17">
        <f>IFERROR(Tabela1[[#This Row],[Total 2019]]/Tabela1[[#This Row],[Total 2018]]-1,0)</f>
        <v>-1</v>
      </c>
      <c r="W5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6" s="48"/>
      <c r="Y56" s="19"/>
      <c r="Z56" s="68"/>
    </row>
    <row r="57" spans="3:26" x14ac:dyDescent="0.35">
      <c r="C57" s="11" t="s">
        <v>2704</v>
      </c>
      <c r="D57" s="12" t="s">
        <v>2698</v>
      </c>
      <c r="E57" s="12">
        <v>49</v>
      </c>
      <c r="F57" s="13" t="s">
        <v>1496</v>
      </c>
      <c r="G57" s="14">
        <v>3</v>
      </c>
      <c r="H57" s="14" t="s">
        <v>1371</v>
      </c>
      <c r="I57" s="13">
        <v>24</v>
      </c>
      <c r="J57" s="15" t="s">
        <v>1423</v>
      </c>
      <c r="K57" s="15" t="s">
        <v>2707</v>
      </c>
      <c r="L57" s="16">
        <v>2993.3454999999999</v>
      </c>
      <c r="M57" s="16">
        <v>6667.1569999999992</v>
      </c>
      <c r="N57" s="16"/>
      <c r="O57" s="16"/>
      <c r="P57" s="16"/>
      <c r="Q57" s="16">
        <f>SUM(Tabela1[[#This Row],[201805]:[201807]])</f>
        <v>9660.5024999999987</v>
      </c>
      <c r="R57" s="16">
        <f>SUM(Tabela1[[#This Row],[201905]:[201906]])</f>
        <v>0</v>
      </c>
      <c r="S57" s="16">
        <v>100000</v>
      </c>
      <c r="T57" s="16">
        <f>Tabela1[[#This Row],[Total 2019]]-Tabela1[[#This Row],[Total 2018]]</f>
        <v>-9660.5024999999987</v>
      </c>
      <c r="U57" s="40">
        <f>Tabela1[[#This Row],[Total 2019]]/Tabela1[[#This Row],[Meta]]</f>
        <v>0</v>
      </c>
      <c r="V57" s="17">
        <f>IFERROR(Tabela1[[#This Row],[Total 2019]]/Tabela1[[#This Row],[Total 2018]]-1,0)</f>
        <v>-1</v>
      </c>
      <c r="W5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7" s="48"/>
      <c r="Y57" s="19"/>
      <c r="Z57" s="68"/>
    </row>
    <row r="58" spans="3:26" x14ac:dyDescent="0.35">
      <c r="C58" s="11" t="s">
        <v>2704</v>
      </c>
      <c r="D58" s="12" t="s">
        <v>2698</v>
      </c>
      <c r="E58" s="12">
        <v>50</v>
      </c>
      <c r="F58" s="13" t="s">
        <v>1497</v>
      </c>
      <c r="G58" s="14">
        <v>3</v>
      </c>
      <c r="H58" s="14" t="s">
        <v>1372</v>
      </c>
      <c r="I58" s="13">
        <v>25</v>
      </c>
      <c r="J58" s="15" t="s">
        <v>1424</v>
      </c>
      <c r="K58" s="15" t="s">
        <v>2708</v>
      </c>
      <c r="L58" s="16">
        <v>5748.4025000000001</v>
      </c>
      <c r="M58" s="16">
        <v>4888.0540000000001</v>
      </c>
      <c r="N58" s="16">
        <v>2200.9314999999997</v>
      </c>
      <c r="O58" s="16"/>
      <c r="P58" s="16"/>
      <c r="Q58" s="16">
        <f>SUM(Tabela1[[#This Row],[201805]:[201807]])</f>
        <v>12837.387999999999</v>
      </c>
      <c r="R58" s="16">
        <f>SUM(Tabela1[[#This Row],[201905]:[201906]])</f>
        <v>0</v>
      </c>
      <c r="S58" s="16">
        <v>100000</v>
      </c>
      <c r="T58" s="16">
        <f>Tabela1[[#This Row],[Total 2019]]-Tabela1[[#This Row],[Total 2018]]</f>
        <v>-12837.387999999999</v>
      </c>
      <c r="U58" s="40">
        <f>Tabela1[[#This Row],[Total 2019]]/Tabela1[[#This Row],[Meta]]</f>
        <v>0</v>
      </c>
      <c r="V58" s="17">
        <f>IFERROR(Tabela1[[#This Row],[Total 2019]]/Tabela1[[#This Row],[Total 2018]]-1,0)</f>
        <v>-1</v>
      </c>
      <c r="W5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8" s="48"/>
      <c r="Y58" s="19"/>
      <c r="Z58" s="68"/>
    </row>
    <row r="59" spans="3:26" x14ac:dyDescent="0.35">
      <c r="C59" s="11" t="s">
        <v>2702</v>
      </c>
      <c r="D59" s="12" t="s">
        <v>2699</v>
      </c>
      <c r="E59" s="12">
        <v>51</v>
      </c>
      <c r="F59" s="13" t="s">
        <v>1498</v>
      </c>
      <c r="G59" s="14">
        <v>3</v>
      </c>
      <c r="H59" s="14" t="s">
        <v>1371</v>
      </c>
      <c r="I59" s="13">
        <v>7</v>
      </c>
      <c r="J59" s="15" t="s">
        <v>1406</v>
      </c>
      <c r="K59" s="15" t="s">
        <v>2707</v>
      </c>
      <c r="L59" s="16">
        <v>1177.4679999999998</v>
      </c>
      <c r="M59" s="16">
        <v>2745.2814999999996</v>
      </c>
      <c r="N59" s="16">
        <v>6304.7509999999993</v>
      </c>
      <c r="O59" s="16">
        <v>20391.065999999999</v>
      </c>
      <c r="P59" s="16"/>
      <c r="Q59" s="16">
        <f>SUM(Tabela1[[#This Row],[201805]:[201807]])</f>
        <v>10227.500499999998</v>
      </c>
      <c r="R59" s="16">
        <f>SUM(Tabela1[[#This Row],[201905]:[201906]])</f>
        <v>20391.065999999999</v>
      </c>
      <c r="S59" s="16">
        <v>100000</v>
      </c>
      <c r="T59" s="16">
        <f>Tabela1[[#This Row],[Total 2019]]-Tabela1[[#This Row],[Total 2018]]</f>
        <v>10163.565500000001</v>
      </c>
      <c r="U59" s="40">
        <f>Tabela1[[#This Row],[Total 2019]]/Tabela1[[#This Row],[Meta]]</f>
        <v>0.20391065999999999</v>
      </c>
      <c r="V59" s="17">
        <f>IFERROR(Tabela1[[#This Row],[Total 2019]]/Tabela1[[#This Row],[Total 2018]]-1,0)</f>
        <v>0.99374871700079637</v>
      </c>
      <c r="W5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59" s="48"/>
      <c r="Y59" s="19"/>
      <c r="Z59" s="68"/>
    </row>
    <row r="60" spans="3:26" x14ac:dyDescent="0.35">
      <c r="C60" s="11" t="s">
        <v>2703</v>
      </c>
      <c r="D60" s="12" t="s">
        <v>2700</v>
      </c>
      <c r="E60" s="12">
        <v>52</v>
      </c>
      <c r="F60" s="13" t="s">
        <v>1499</v>
      </c>
      <c r="G60" s="14">
        <v>1</v>
      </c>
      <c r="H60" s="14" t="s">
        <v>1370</v>
      </c>
      <c r="I60" s="13">
        <v>19</v>
      </c>
      <c r="J60" s="15" t="s">
        <v>1418</v>
      </c>
      <c r="K60" s="15" t="s">
        <v>2706</v>
      </c>
      <c r="L60" s="16"/>
      <c r="M60" s="16">
        <v>10768.297500000001</v>
      </c>
      <c r="N60" s="16">
        <v>1738.8989999999999</v>
      </c>
      <c r="O60" s="16"/>
      <c r="P60" s="16"/>
      <c r="Q60" s="16">
        <f>SUM(Tabela1[[#This Row],[201805]:[201807]])</f>
        <v>12507.1965</v>
      </c>
      <c r="R60" s="16">
        <f>SUM(Tabela1[[#This Row],[201905]:[201906]])</f>
        <v>0</v>
      </c>
      <c r="S60" s="16">
        <v>100000</v>
      </c>
      <c r="T60" s="16">
        <f>Tabela1[[#This Row],[Total 2019]]-Tabela1[[#This Row],[Total 2018]]</f>
        <v>-12507.1965</v>
      </c>
      <c r="U60" s="40">
        <f>Tabela1[[#This Row],[Total 2019]]/Tabela1[[#This Row],[Meta]]</f>
        <v>0</v>
      </c>
      <c r="V60" s="17">
        <f>IFERROR(Tabela1[[#This Row],[Total 2019]]/Tabela1[[#This Row],[Total 2018]]-1,0)</f>
        <v>-1</v>
      </c>
      <c r="W6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0" s="48"/>
      <c r="Y60" s="19"/>
      <c r="Z60" s="68"/>
    </row>
    <row r="61" spans="3:26" x14ac:dyDescent="0.35">
      <c r="C61" s="11" t="s">
        <v>2703</v>
      </c>
      <c r="D61" s="12" t="s">
        <v>2700</v>
      </c>
      <c r="E61" s="12">
        <v>53</v>
      </c>
      <c r="F61" s="13" t="s">
        <v>1500</v>
      </c>
      <c r="G61" s="14">
        <v>1</v>
      </c>
      <c r="H61" s="14" t="s">
        <v>1372</v>
      </c>
      <c r="I61" s="13">
        <v>6</v>
      </c>
      <c r="J61" s="15" t="s">
        <v>1405</v>
      </c>
      <c r="K61" s="15" t="s">
        <v>2708</v>
      </c>
      <c r="L61" s="16">
        <v>1227.229</v>
      </c>
      <c r="M61" s="16">
        <v>1531.4949999999999</v>
      </c>
      <c r="N61" s="16">
        <v>484.44299999999998</v>
      </c>
      <c r="O61" s="16"/>
      <c r="P61" s="16"/>
      <c r="Q61" s="16">
        <f>SUM(Tabela1[[#This Row],[201805]:[201807]])</f>
        <v>3243.1670000000004</v>
      </c>
      <c r="R61" s="16">
        <f>SUM(Tabela1[[#This Row],[201905]:[201906]])</f>
        <v>0</v>
      </c>
      <c r="S61" s="16">
        <v>100000</v>
      </c>
      <c r="T61" s="16">
        <f>Tabela1[[#This Row],[Total 2019]]-Tabela1[[#This Row],[Total 2018]]</f>
        <v>-3243.1670000000004</v>
      </c>
      <c r="U61" s="40">
        <f>Tabela1[[#This Row],[Total 2019]]/Tabela1[[#This Row],[Meta]]</f>
        <v>0</v>
      </c>
      <c r="V61" s="17">
        <f>IFERROR(Tabela1[[#This Row],[Total 2019]]/Tabela1[[#This Row],[Total 2018]]-1,0)</f>
        <v>-1</v>
      </c>
      <c r="W6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1" s="48"/>
      <c r="Y61" s="19"/>
      <c r="Z61" s="68"/>
    </row>
    <row r="62" spans="3:26" x14ac:dyDescent="0.35">
      <c r="C62" s="11" t="s">
        <v>2702</v>
      </c>
      <c r="D62" s="12" t="s">
        <v>2699</v>
      </c>
      <c r="E62" s="12">
        <v>54</v>
      </c>
      <c r="F62" s="13" t="s">
        <v>1501</v>
      </c>
      <c r="G62" s="14">
        <v>2</v>
      </c>
      <c r="H62" s="14" t="s">
        <v>1371</v>
      </c>
      <c r="I62" s="13">
        <v>14</v>
      </c>
      <c r="J62" s="15" t="s">
        <v>1413</v>
      </c>
      <c r="K62" s="15" t="s">
        <v>2707</v>
      </c>
      <c r="L62" s="16">
        <v>3217.5264999999999</v>
      </c>
      <c r="M62" s="16">
        <v>10767.775</v>
      </c>
      <c r="N62" s="16"/>
      <c r="O62" s="16"/>
      <c r="P62" s="16"/>
      <c r="Q62" s="16">
        <f>SUM(Tabela1[[#This Row],[201805]:[201807]])</f>
        <v>13985.3015</v>
      </c>
      <c r="R62" s="16">
        <f>SUM(Tabela1[[#This Row],[201905]:[201906]])</f>
        <v>0</v>
      </c>
      <c r="S62" s="16">
        <v>100000</v>
      </c>
      <c r="T62" s="16">
        <f>Tabela1[[#This Row],[Total 2019]]-Tabela1[[#This Row],[Total 2018]]</f>
        <v>-13985.3015</v>
      </c>
      <c r="U62" s="40">
        <f>Tabela1[[#This Row],[Total 2019]]/Tabela1[[#This Row],[Meta]]</f>
        <v>0</v>
      </c>
      <c r="V62" s="17">
        <f>IFERROR(Tabela1[[#This Row],[Total 2019]]/Tabela1[[#This Row],[Total 2018]]-1,0)</f>
        <v>-1</v>
      </c>
      <c r="W6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2" s="48"/>
      <c r="Y62" s="19"/>
      <c r="Z62" s="68"/>
    </row>
    <row r="63" spans="3:26" x14ac:dyDescent="0.35">
      <c r="C63" s="11" t="s">
        <v>2704</v>
      </c>
      <c r="D63" s="12" t="s">
        <v>2699</v>
      </c>
      <c r="E63" s="12">
        <v>55</v>
      </c>
      <c r="F63" s="13" t="s">
        <v>1502</v>
      </c>
      <c r="G63" s="14">
        <v>2</v>
      </c>
      <c r="H63" s="14" t="s">
        <v>1370</v>
      </c>
      <c r="I63" s="13">
        <v>3</v>
      </c>
      <c r="J63" s="15" t="s">
        <v>1402</v>
      </c>
      <c r="K63" s="15" t="s">
        <v>2706</v>
      </c>
      <c r="L63" s="16">
        <v>4331.8005000000003</v>
      </c>
      <c r="M63" s="16">
        <v>2881.3119999999999</v>
      </c>
      <c r="N63" s="16"/>
      <c r="O63" s="16"/>
      <c r="P63" s="16"/>
      <c r="Q63" s="16">
        <f>SUM(Tabela1[[#This Row],[201805]:[201807]])</f>
        <v>7213.1125000000002</v>
      </c>
      <c r="R63" s="16">
        <f>SUM(Tabela1[[#This Row],[201905]:[201906]])</f>
        <v>0</v>
      </c>
      <c r="S63" s="16">
        <v>100000</v>
      </c>
      <c r="T63" s="16">
        <f>Tabela1[[#This Row],[Total 2019]]-Tabela1[[#This Row],[Total 2018]]</f>
        <v>-7213.1125000000002</v>
      </c>
      <c r="U63" s="40">
        <f>Tabela1[[#This Row],[Total 2019]]/Tabela1[[#This Row],[Meta]]</f>
        <v>0</v>
      </c>
      <c r="V63" s="17">
        <f>IFERROR(Tabela1[[#This Row],[Total 2019]]/Tabela1[[#This Row],[Total 2018]]-1,0)</f>
        <v>-1</v>
      </c>
      <c r="W6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3" s="48"/>
      <c r="Y63" s="19"/>
      <c r="Z63" s="68"/>
    </row>
    <row r="64" spans="3:26" x14ac:dyDescent="0.35">
      <c r="C64" s="11" t="s">
        <v>2703</v>
      </c>
      <c r="D64" s="12" t="s">
        <v>2700</v>
      </c>
      <c r="E64" s="12">
        <v>56</v>
      </c>
      <c r="F64" s="13" t="s">
        <v>1503</v>
      </c>
      <c r="G64" s="14">
        <v>2</v>
      </c>
      <c r="H64" s="14" t="s">
        <v>1372</v>
      </c>
      <c r="I64" s="13">
        <v>22</v>
      </c>
      <c r="J64" s="15" t="s">
        <v>1421</v>
      </c>
      <c r="K64" s="15" t="s">
        <v>2708</v>
      </c>
      <c r="L64" s="16"/>
      <c r="M64" s="16">
        <v>3666.4395</v>
      </c>
      <c r="N64" s="16"/>
      <c r="O64" s="16"/>
      <c r="P64" s="16"/>
      <c r="Q64" s="16">
        <f>SUM(Tabela1[[#This Row],[201805]:[201807]])</f>
        <v>3666.4395</v>
      </c>
      <c r="R64" s="16">
        <f>SUM(Tabela1[[#This Row],[201905]:[201906]])</f>
        <v>0</v>
      </c>
      <c r="S64" s="16">
        <v>100000</v>
      </c>
      <c r="T64" s="16">
        <f>Tabela1[[#This Row],[Total 2019]]-Tabela1[[#This Row],[Total 2018]]</f>
        <v>-3666.4395</v>
      </c>
      <c r="U64" s="40">
        <f>Tabela1[[#This Row],[Total 2019]]/Tabela1[[#This Row],[Meta]]</f>
        <v>0</v>
      </c>
      <c r="V64" s="17">
        <f>IFERROR(Tabela1[[#This Row],[Total 2019]]/Tabela1[[#This Row],[Total 2018]]-1,0)</f>
        <v>-1</v>
      </c>
      <c r="W6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4" s="48"/>
      <c r="Y64" s="19"/>
      <c r="Z64" s="68"/>
    </row>
    <row r="65" spans="3:26" x14ac:dyDescent="0.35">
      <c r="C65" s="11" t="s">
        <v>2704</v>
      </c>
      <c r="D65" s="12" t="s">
        <v>2699</v>
      </c>
      <c r="E65" s="12">
        <v>57</v>
      </c>
      <c r="F65" s="13" t="s">
        <v>1504</v>
      </c>
      <c r="G65" s="14">
        <v>1</v>
      </c>
      <c r="H65" s="14" t="s">
        <v>1370</v>
      </c>
      <c r="I65" s="13">
        <v>1</v>
      </c>
      <c r="J65" s="15" t="s">
        <v>1400</v>
      </c>
      <c r="K65" s="15" t="s">
        <v>2706</v>
      </c>
      <c r="L65" s="16"/>
      <c r="M65" s="16">
        <v>9027.3179999999993</v>
      </c>
      <c r="N65" s="16"/>
      <c r="O65" s="16"/>
      <c r="P65" s="16"/>
      <c r="Q65" s="16">
        <f>SUM(Tabela1[[#This Row],[201805]:[201807]])</f>
        <v>9027.3179999999993</v>
      </c>
      <c r="R65" s="16">
        <f>SUM(Tabela1[[#This Row],[201905]:[201906]])</f>
        <v>0</v>
      </c>
      <c r="S65" s="16">
        <v>100000</v>
      </c>
      <c r="T65" s="16">
        <f>Tabela1[[#This Row],[Total 2019]]-Tabela1[[#This Row],[Total 2018]]</f>
        <v>-9027.3179999999993</v>
      </c>
      <c r="U65" s="40">
        <f>Tabela1[[#This Row],[Total 2019]]/Tabela1[[#This Row],[Meta]]</f>
        <v>0</v>
      </c>
      <c r="V65" s="17">
        <f>IFERROR(Tabela1[[#This Row],[Total 2019]]/Tabela1[[#This Row],[Total 2018]]-1,0)</f>
        <v>-1</v>
      </c>
      <c r="W6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5" s="48"/>
      <c r="Y65" s="19"/>
      <c r="Z65" s="68"/>
    </row>
    <row r="66" spans="3:26" x14ac:dyDescent="0.35">
      <c r="C66" s="11" t="s">
        <v>2703</v>
      </c>
      <c r="D66" s="12" t="s">
        <v>2699</v>
      </c>
      <c r="E66" s="12">
        <v>58</v>
      </c>
      <c r="F66" s="13" t="s">
        <v>1505</v>
      </c>
      <c r="G66" s="14">
        <v>1</v>
      </c>
      <c r="H66" s="14" t="s">
        <v>1371</v>
      </c>
      <c r="I66" s="13">
        <v>5</v>
      </c>
      <c r="J66" s="15" t="s">
        <v>1404</v>
      </c>
      <c r="K66" s="15" t="s">
        <v>2707</v>
      </c>
      <c r="L66" s="16"/>
      <c r="M66" s="16">
        <v>4240.9425000000001</v>
      </c>
      <c r="N66" s="16"/>
      <c r="O66" s="16">
        <v>365.161</v>
      </c>
      <c r="P66" s="16">
        <v>6760.3710000000001</v>
      </c>
      <c r="Q66" s="16">
        <f>SUM(Tabela1[[#This Row],[201805]:[201807]])</f>
        <v>4240.9425000000001</v>
      </c>
      <c r="R66" s="16">
        <f>SUM(Tabela1[[#This Row],[201905]:[201906]])</f>
        <v>7125.5320000000002</v>
      </c>
      <c r="S66" s="16">
        <v>100000</v>
      </c>
      <c r="T66" s="16">
        <f>Tabela1[[#This Row],[Total 2019]]-Tabela1[[#This Row],[Total 2018]]</f>
        <v>2884.5895</v>
      </c>
      <c r="U66" s="40">
        <f>Tabela1[[#This Row],[Total 2019]]/Tabela1[[#This Row],[Meta]]</f>
        <v>7.1255319999999997E-2</v>
      </c>
      <c r="V66" s="17">
        <f>IFERROR(Tabela1[[#This Row],[Total 2019]]/Tabela1[[#This Row],[Total 2018]]-1,0)</f>
        <v>0.68017651736612783</v>
      </c>
      <c r="W6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66" s="48"/>
      <c r="Y66" s="19"/>
      <c r="Z66" s="68"/>
    </row>
    <row r="67" spans="3:26" x14ac:dyDescent="0.35">
      <c r="C67" s="11" t="s">
        <v>2704</v>
      </c>
      <c r="D67" s="12" t="s">
        <v>2700</v>
      </c>
      <c r="E67" s="12">
        <v>59</v>
      </c>
      <c r="F67" s="13" t="s">
        <v>1506</v>
      </c>
      <c r="G67" s="14">
        <v>2</v>
      </c>
      <c r="H67" s="14" t="s">
        <v>1372</v>
      </c>
      <c r="I67" s="13">
        <v>23</v>
      </c>
      <c r="J67" s="15" t="s">
        <v>1422</v>
      </c>
      <c r="K67" s="15" t="s">
        <v>2708</v>
      </c>
      <c r="L67" s="16">
        <v>622.99099999999999</v>
      </c>
      <c r="M67" s="16">
        <v>2634.8819999999996</v>
      </c>
      <c r="N67" s="16"/>
      <c r="O67" s="16">
        <v>9445.1944999999996</v>
      </c>
      <c r="P67" s="16">
        <v>3786.9089999999997</v>
      </c>
      <c r="Q67" s="16">
        <f>SUM(Tabela1[[#This Row],[201805]:[201807]])</f>
        <v>3257.8729999999996</v>
      </c>
      <c r="R67" s="16">
        <f>SUM(Tabela1[[#This Row],[201905]:[201906]])</f>
        <v>13232.103499999999</v>
      </c>
      <c r="S67" s="16">
        <v>100000</v>
      </c>
      <c r="T67" s="16">
        <f>Tabela1[[#This Row],[Total 2019]]-Tabela1[[#This Row],[Total 2018]]</f>
        <v>9974.2304999999997</v>
      </c>
      <c r="U67" s="40">
        <f>Tabela1[[#This Row],[Total 2019]]/Tabela1[[#This Row],[Meta]]</f>
        <v>0.132321035</v>
      </c>
      <c r="V67" s="17">
        <f>IFERROR(Tabela1[[#This Row],[Total 2019]]/Tabela1[[#This Row],[Total 2018]]-1,0)</f>
        <v>3.0615774463891015</v>
      </c>
      <c r="W6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67" s="48"/>
      <c r="Y67" s="19"/>
      <c r="Z67" s="68"/>
    </row>
    <row r="68" spans="3:26" x14ac:dyDescent="0.35">
      <c r="C68" s="11" t="s">
        <v>2704</v>
      </c>
      <c r="D68" s="12" t="s">
        <v>2699</v>
      </c>
      <c r="E68" s="12">
        <v>60</v>
      </c>
      <c r="F68" s="13" t="s">
        <v>1507</v>
      </c>
      <c r="G68" s="14">
        <v>2</v>
      </c>
      <c r="H68" s="14" t="s">
        <v>1371</v>
      </c>
      <c r="I68" s="13">
        <v>9</v>
      </c>
      <c r="J68" s="15" t="s">
        <v>1408</v>
      </c>
      <c r="K68" s="15" t="s">
        <v>2707</v>
      </c>
      <c r="L68" s="16">
        <v>3541.3054999999999</v>
      </c>
      <c r="M68" s="16">
        <v>2011.4729999999997</v>
      </c>
      <c r="N68" s="16"/>
      <c r="O68" s="16"/>
      <c r="P68" s="16"/>
      <c r="Q68" s="16">
        <f>SUM(Tabela1[[#This Row],[201805]:[201807]])</f>
        <v>5552.7784999999994</v>
      </c>
      <c r="R68" s="16">
        <f>SUM(Tabela1[[#This Row],[201905]:[201906]])</f>
        <v>0</v>
      </c>
      <c r="S68" s="16">
        <v>100000</v>
      </c>
      <c r="T68" s="16">
        <f>Tabela1[[#This Row],[Total 2019]]-Tabela1[[#This Row],[Total 2018]]</f>
        <v>-5552.7784999999994</v>
      </c>
      <c r="U68" s="40">
        <f>Tabela1[[#This Row],[Total 2019]]/Tabela1[[#This Row],[Meta]]</f>
        <v>0</v>
      </c>
      <c r="V68" s="17">
        <f>IFERROR(Tabela1[[#This Row],[Total 2019]]/Tabela1[[#This Row],[Total 2018]]-1,0)</f>
        <v>-1</v>
      </c>
      <c r="W6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8" s="48"/>
      <c r="Y68" s="19"/>
      <c r="Z68" s="68"/>
    </row>
    <row r="69" spans="3:26" x14ac:dyDescent="0.35">
      <c r="C69" s="11" t="s">
        <v>2703</v>
      </c>
      <c r="D69" s="12" t="s">
        <v>2700</v>
      </c>
      <c r="E69" s="12">
        <v>61</v>
      </c>
      <c r="F69" s="13" t="s">
        <v>1508</v>
      </c>
      <c r="G69" s="14">
        <v>2</v>
      </c>
      <c r="H69" s="14" t="s">
        <v>1372</v>
      </c>
      <c r="I69" s="13">
        <v>18</v>
      </c>
      <c r="J69" s="15" t="s">
        <v>1417</v>
      </c>
      <c r="K69" s="15" t="s">
        <v>2708</v>
      </c>
      <c r="L69" s="16">
        <v>2569.6549999999997</v>
      </c>
      <c r="M69" s="16">
        <v>2152.7854999999995</v>
      </c>
      <c r="N69" s="16"/>
      <c r="O69" s="16"/>
      <c r="P69" s="16"/>
      <c r="Q69" s="16">
        <f>SUM(Tabela1[[#This Row],[201805]:[201807]])</f>
        <v>4722.4404999999988</v>
      </c>
      <c r="R69" s="16">
        <f>SUM(Tabela1[[#This Row],[201905]:[201906]])</f>
        <v>0</v>
      </c>
      <c r="S69" s="16">
        <v>100000</v>
      </c>
      <c r="T69" s="16">
        <f>Tabela1[[#This Row],[Total 2019]]-Tabela1[[#This Row],[Total 2018]]</f>
        <v>-4722.4404999999988</v>
      </c>
      <c r="U69" s="40">
        <f>Tabela1[[#This Row],[Total 2019]]/Tabela1[[#This Row],[Meta]]</f>
        <v>0</v>
      </c>
      <c r="V69" s="17">
        <f>IFERROR(Tabela1[[#This Row],[Total 2019]]/Tabela1[[#This Row],[Total 2018]]-1,0)</f>
        <v>-1</v>
      </c>
      <c r="W6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9" s="48"/>
      <c r="Y69" s="19"/>
      <c r="Z69" s="68"/>
    </row>
    <row r="70" spans="3:26" x14ac:dyDescent="0.35">
      <c r="C70" s="11" t="s">
        <v>2704</v>
      </c>
      <c r="D70" s="12" t="s">
        <v>2700</v>
      </c>
      <c r="E70" s="12">
        <v>62</v>
      </c>
      <c r="F70" s="13" t="s">
        <v>1509</v>
      </c>
      <c r="G70" s="14">
        <v>3</v>
      </c>
      <c r="H70" s="14" t="s">
        <v>1370</v>
      </c>
      <c r="I70" s="13">
        <v>8</v>
      </c>
      <c r="J70" s="15" t="s">
        <v>1407</v>
      </c>
      <c r="K70" s="15" t="s">
        <v>2706</v>
      </c>
      <c r="L70" s="16">
        <v>9089.8850000000002</v>
      </c>
      <c r="M70" s="16">
        <v>5864.16</v>
      </c>
      <c r="N70" s="16"/>
      <c r="O70" s="16">
        <v>10138.105499999998</v>
      </c>
      <c r="P70" s="16">
        <v>7028.4989999999998</v>
      </c>
      <c r="Q70" s="16">
        <f>SUM(Tabela1[[#This Row],[201805]:[201807]])</f>
        <v>14954.045</v>
      </c>
      <c r="R70" s="16">
        <f>SUM(Tabela1[[#This Row],[201905]:[201906]])</f>
        <v>17166.604499999998</v>
      </c>
      <c r="S70" s="16">
        <v>100000</v>
      </c>
      <c r="T70" s="16">
        <f>Tabela1[[#This Row],[Total 2019]]-Tabela1[[#This Row],[Total 2018]]</f>
        <v>2212.5594999999976</v>
      </c>
      <c r="U70" s="40">
        <f>Tabela1[[#This Row],[Total 2019]]/Tabela1[[#This Row],[Meta]]</f>
        <v>0.17166604499999999</v>
      </c>
      <c r="V70" s="17">
        <f>IFERROR(Tabela1[[#This Row],[Total 2019]]/Tabela1[[#This Row],[Total 2018]]-1,0)</f>
        <v>0.14795725838727902</v>
      </c>
      <c r="W7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70" s="48"/>
      <c r="Y70" s="19"/>
      <c r="Z70" s="68"/>
    </row>
    <row r="71" spans="3:26" x14ac:dyDescent="0.35">
      <c r="C71" s="11" t="s">
        <v>2704</v>
      </c>
      <c r="D71" s="12" t="s">
        <v>2698</v>
      </c>
      <c r="E71" s="12">
        <v>63</v>
      </c>
      <c r="F71" s="13" t="s">
        <v>1510</v>
      </c>
      <c r="G71" s="14">
        <v>1</v>
      </c>
      <c r="H71" s="14" t="s">
        <v>1372</v>
      </c>
      <c r="I71" s="13">
        <v>20</v>
      </c>
      <c r="J71" s="15" t="s">
        <v>1419</v>
      </c>
      <c r="K71" s="15" t="s">
        <v>2708</v>
      </c>
      <c r="L71" s="16">
        <v>2971.2105000000001</v>
      </c>
      <c r="M71" s="16">
        <v>3225.5634999999997</v>
      </c>
      <c r="N71" s="16">
        <v>1064.2660000000001</v>
      </c>
      <c r="O71" s="16">
        <v>8990.116</v>
      </c>
      <c r="P71" s="16"/>
      <c r="Q71" s="16">
        <f>SUM(Tabela1[[#This Row],[201805]:[201807]])</f>
        <v>7261.0399999999991</v>
      </c>
      <c r="R71" s="16">
        <f>SUM(Tabela1[[#This Row],[201905]:[201906]])</f>
        <v>8990.116</v>
      </c>
      <c r="S71" s="16">
        <v>100000</v>
      </c>
      <c r="T71" s="16">
        <f>Tabela1[[#This Row],[Total 2019]]-Tabela1[[#This Row],[Total 2018]]</f>
        <v>1729.0760000000009</v>
      </c>
      <c r="U71" s="40">
        <f>Tabela1[[#This Row],[Total 2019]]/Tabela1[[#This Row],[Meta]]</f>
        <v>8.9901159999999994E-2</v>
      </c>
      <c r="V71" s="17">
        <f>IFERROR(Tabela1[[#This Row],[Total 2019]]/Tabela1[[#This Row],[Total 2018]]-1,0)</f>
        <v>0.23813062591584688</v>
      </c>
      <c r="W7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71" s="48"/>
      <c r="Y71" s="19"/>
      <c r="Z71" s="68"/>
    </row>
    <row r="72" spans="3:26" x14ac:dyDescent="0.35">
      <c r="C72" s="11" t="s">
        <v>2704</v>
      </c>
      <c r="D72" s="12" t="s">
        <v>2698</v>
      </c>
      <c r="E72" s="12">
        <v>64</v>
      </c>
      <c r="F72" s="13" t="s">
        <v>1511</v>
      </c>
      <c r="G72" s="14">
        <v>3</v>
      </c>
      <c r="H72" s="14" t="s">
        <v>1370</v>
      </c>
      <c r="I72" s="13">
        <v>11</v>
      </c>
      <c r="J72" s="15" t="s">
        <v>1410</v>
      </c>
      <c r="K72" s="15" t="s">
        <v>2706</v>
      </c>
      <c r="L72" s="16"/>
      <c r="M72" s="16">
        <v>4163.4319999999998</v>
      </c>
      <c r="N72" s="16"/>
      <c r="O72" s="16"/>
      <c r="P72" s="16"/>
      <c r="Q72" s="16">
        <f>SUM(Tabela1[[#This Row],[201805]:[201807]])</f>
        <v>4163.4319999999998</v>
      </c>
      <c r="R72" s="16">
        <f>SUM(Tabela1[[#This Row],[201905]:[201906]])</f>
        <v>0</v>
      </c>
      <c r="S72" s="16">
        <v>100000</v>
      </c>
      <c r="T72" s="16">
        <f>Tabela1[[#This Row],[Total 2019]]-Tabela1[[#This Row],[Total 2018]]</f>
        <v>-4163.4319999999998</v>
      </c>
      <c r="U72" s="40">
        <f>Tabela1[[#This Row],[Total 2019]]/Tabela1[[#This Row],[Meta]]</f>
        <v>0</v>
      </c>
      <c r="V72" s="17">
        <f>IFERROR(Tabela1[[#This Row],[Total 2019]]/Tabela1[[#This Row],[Total 2018]]-1,0)</f>
        <v>-1</v>
      </c>
      <c r="W7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2" s="48"/>
      <c r="Y72" s="19"/>
      <c r="Z72" s="68"/>
    </row>
    <row r="73" spans="3:26" x14ac:dyDescent="0.35">
      <c r="C73" s="11" t="s">
        <v>2703</v>
      </c>
      <c r="D73" s="12" t="s">
        <v>2698</v>
      </c>
      <c r="E73" s="12">
        <v>65</v>
      </c>
      <c r="F73" s="13" t="s">
        <v>1512</v>
      </c>
      <c r="G73" s="14">
        <v>1</v>
      </c>
      <c r="H73" s="14" t="s">
        <v>1370</v>
      </c>
      <c r="I73" s="13">
        <v>19</v>
      </c>
      <c r="J73" s="15" t="s">
        <v>1418</v>
      </c>
      <c r="K73" s="15" t="s">
        <v>2706</v>
      </c>
      <c r="L73" s="16">
        <v>1558.5225</v>
      </c>
      <c r="M73" s="16">
        <v>272.08949999999999</v>
      </c>
      <c r="N73" s="16"/>
      <c r="O73" s="16"/>
      <c r="P73" s="16"/>
      <c r="Q73" s="16">
        <f>SUM(Tabela1[[#This Row],[201805]:[201807]])</f>
        <v>1830.6120000000001</v>
      </c>
      <c r="R73" s="16">
        <f>SUM(Tabela1[[#This Row],[201905]:[201906]])</f>
        <v>0</v>
      </c>
      <c r="S73" s="16">
        <v>100000</v>
      </c>
      <c r="T73" s="16">
        <f>Tabela1[[#This Row],[Total 2019]]-Tabela1[[#This Row],[Total 2018]]</f>
        <v>-1830.6120000000001</v>
      </c>
      <c r="U73" s="40">
        <f>Tabela1[[#This Row],[Total 2019]]/Tabela1[[#This Row],[Meta]]</f>
        <v>0</v>
      </c>
      <c r="V73" s="17">
        <f>IFERROR(Tabela1[[#This Row],[Total 2019]]/Tabela1[[#This Row],[Total 2018]]-1,0)</f>
        <v>-1</v>
      </c>
      <c r="W7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3" s="48"/>
      <c r="Y73" s="19"/>
      <c r="Z73" s="68"/>
    </row>
    <row r="74" spans="3:26" x14ac:dyDescent="0.35">
      <c r="C74" s="11" t="s">
        <v>2704</v>
      </c>
      <c r="D74" s="12" t="s">
        <v>2698</v>
      </c>
      <c r="E74" s="12">
        <v>66</v>
      </c>
      <c r="F74" s="13" t="s">
        <v>1513</v>
      </c>
      <c r="G74" s="14">
        <v>1</v>
      </c>
      <c r="H74" s="14" t="s">
        <v>1370</v>
      </c>
      <c r="I74" s="13">
        <v>19</v>
      </c>
      <c r="J74" s="15" t="s">
        <v>1418</v>
      </c>
      <c r="K74" s="15" t="s">
        <v>2706</v>
      </c>
      <c r="L74" s="16">
        <v>4461.0954999999994</v>
      </c>
      <c r="M74" s="16">
        <v>1486.7499999999998</v>
      </c>
      <c r="N74" s="16"/>
      <c r="O74" s="16"/>
      <c r="P74" s="16"/>
      <c r="Q74" s="16">
        <f>SUM(Tabela1[[#This Row],[201805]:[201807]])</f>
        <v>5947.8454999999994</v>
      </c>
      <c r="R74" s="16">
        <f>SUM(Tabela1[[#This Row],[201905]:[201906]])</f>
        <v>0</v>
      </c>
      <c r="S74" s="16">
        <v>100000</v>
      </c>
      <c r="T74" s="16">
        <f>Tabela1[[#This Row],[Total 2019]]-Tabela1[[#This Row],[Total 2018]]</f>
        <v>-5947.8454999999994</v>
      </c>
      <c r="U74" s="40">
        <f>Tabela1[[#This Row],[Total 2019]]/Tabela1[[#This Row],[Meta]]</f>
        <v>0</v>
      </c>
      <c r="V74" s="17">
        <f>IFERROR(Tabela1[[#This Row],[Total 2019]]/Tabela1[[#This Row],[Total 2018]]-1,0)</f>
        <v>-1</v>
      </c>
      <c r="W7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4" s="48"/>
      <c r="Y74" s="19"/>
      <c r="Z74" s="68"/>
    </row>
    <row r="75" spans="3:26" x14ac:dyDescent="0.35">
      <c r="C75" s="11" t="s">
        <v>2702</v>
      </c>
      <c r="D75" s="12" t="s">
        <v>2699</v>
      </c>
      <c r="E75" s="12">
        <v>67</v>
      </c>
      <c r="F75" s="13" t="s">
        <v>1514</v>
      </c>
      <c r="G75" s="14">
        <v>2</v>
      </c>
      <c r="H75" s="14" t="s">
        <v>1370</v>
      </c>
      <c r="I75" s="13">
        <v>15</v>
      </c>
      <c r="J75" s="15" t="s">
        <v>1414</v>
      </c>
      <c r="K75" s="15" t="s">
        <v>2706</v>
      </c>
      <c r="L75" s="16"/>
      <c r="M75" s="16">
        <v>2645.5789999999997</v>
      </c>
      <c r="N75" s="16"/>
      <c r="O75" s="16">
        <v>2619.4444999999996</v>
      </c>
      <c r="P75" s="16">
        <v>1902.4034999999999</v>
      </c>
      <c r="Q75" s="16">
        <f>SUM(Tabela1[[#This Row],[201805]:[201807]])</f>
        <v>2645.5789999999997</v>
      </c>
      <c r="R75" s="16">
        <f>SUM(Tabela1[[#This Row],[201905]:[201906]])</f>
        <v>4521.848</v>
      </c>
      <c r="S75" s="16">
        <v>100000</v>
      </c>
      <c r="T75" s="16">
        <f>Tabela1[[#This Row],[Total 2019]]-Tabela1[[#This Row],[Total 2018]]</f>
        <v>1876.2690000000002</v>
      </c>
      <c r="U75" s="40">
        <f>Tabela1[[#This Row],[Total 2019]]/Tabela1[[#This Row],[Meta]]</f>
        <v>4.5218479999999998E-2</v>
      </c>
      <c r="V75" s="17">
        <f>IFERROR(Tabela1[[#This Row],[Total 2019]]/Tabela1[[#This Row],[Total 2018]]-1,0)</f>
        <v>0.7092092128037002</v>
      </c>
      <c r="W7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75" s="48"/>
      <c r="Y75" s="19"/>
      <c r="Z75" s="68"/>
    </row>
    <row r="76" spans="3:26" x14ac:dyDescent="0.35">
      <c r="C76" s="11" t="s">
        <v>2704</v>
      </c>
      <c r="D76" s="12" t="s">
        <v>2699</v>
      </c>
      <c r="E76" s="12">
        <v>68</v>
      </c>
      <c r="F76" s="13" t="s">
        <v>1515</v>
      </c>
      <c r="G76" s="14">
        <v>1</v>
      </c>
      <c r="H76" s="14" t="s">
        <v>1371</v>
      </c>
      <c r="I76" s="13">
        <v>4</v>
      </c>
      <c r="J76" s="15" t="s">
        <v>1403</v>
      </c>
      <c r="K76" s="15" t="s">
        <v>2707</v>
      </c>
      <c r="L76" s="16"/>
      <c r="M76" s="16"/>
      <c r="N76" s="16">
        <v>1354.3579999999999</v>
      </c>
      <c r="O76" s="16"/>
      <c r="P76" s="16"/>
      <c r="Q76" s="16">
        <f>SUM(Tabela1[[#This Row],[201805]:[201807]])</f>
        <v>1354.3579999999999</v>
      </c>
      <c r="R76" s="16">
        <f>SUM(Tabela1[[#This Row],[201905]:[201906]])</f>
        <v>0</v>
      </c>
      <c r="S76" s="16">
        <v>100000</v>
      </c>
      <c r="T76" s="16">
        <f>Tabela1[[#This Row],[Total 2019]]-Tabela1[[#This Row],[Total 2018]]</f>
        <v>-1354.3579999999999</v>
      </c>
      <c r="U76" s="40">
        <f>Tabela1[[#This Row],[Total 2019]]/Tabela1[[#This Row],[Meta]]</f>
        <v>0</v>
      </c>
      <c r="V76" s="17">
        <f>IFERROR(Tabela1[[#This Row],[Total 2019]]/Tabela1[[#This Row],[Total 2018]]-1,0)</f>
        <v>-1</v>
      </c>
      <c r="W7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6" s="48"/>
      <c r="Y76" s="19"/>
      <c r="Z76" s="68"/>
    </row>
    <row r="77" spans="3:26" x14ac:dyDescent="0.35">
      <c r="C77" s="11" t="s">
        <v>2703</v>
      </c>
      <c r="D77" s="12" t="s">
        <v>2700</v>
      </c>
      <c r="E77" s="12">
        <v>69</v>
      </c>
      <c r="F77" s="13" t="s">
        <v>1516</v>
      </c>
      <c r="G77" s="14">
        <v>1</v>
      </c>
      <c r="H77" s="14" t="s">
        <v>1370</v>
      </c>
      <c r="I77" s="13">
        <v>1</v>
      </c>
      <c r="J77" s="15" t="s">
        <v>1400</v>
      </c>
      <c r="K77" s="15" t="s">
        <v>2706</v>
      </c>
      <c r="L77" s="16">
        <v>1930.1434999999999</v>
      </c>
      <c r="M77" s="16">
        <v>896.62899999999991</v>
      </c>
      <c r="N77" s="16"/>
      <c r="O77" s="16">
        <v>4699.1844999999994</v>
      </c>
      <c r="P77" s="16">
        <v>3329.009</v>
      </c>
      <c r="Q77" s="16">
        <f>SUM(Tabela1[[#This Row],[201805]:[201807]])</f>
        <v>2826.7725</v>
      </c>
      <c r="R77" s="16">
        <f>SUM(Tabela1[[#This Row],[201905]:[201906]])</f>
        <v>8028.1934999999994</v>
      </c>
      <c r="S77" s="16">
        <v>100000</v>
      </c>
      <c r="T77" s="16">
        <f>Tabela1[[#This Row],[Total 2019]]-Tabela1[[#This Row],[Total 2018]]</f>
        <v>5201.4209999999994</v>
      </c>
      <c r="U77" s="40">
        <f>Tabela1[[#This Row],[Total 2019]]/Tabela1[[#This Row],[Meta]]</f>
        <v>8.0281934999999999E-2</v>
      </c>
      <c r="V77" s="17">
        <f>IFERROR(Tabela1[[#This Row],[Total 2019]]/Tabela1[[#This Row],[Total 2018]]-1,0)</f>
        <v>1.8400564601502243</v>
      </c>
      <c r="W7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77" s="48"/>
      <c r="Y77" s="19"/>
      <c r="Z77" s="68"/>
    </row>
    <row r="78" spans="3:26" x14ac:dyDescent="0.35">
      <c r="C78" s="11" t="s">
        <v>2704</v>
      </c>
      <c r="D78" s="12" t="s">
        <v>2699</v>
      </c>
      <c r="E78" s="12">
        <v>70</v>
      </c>
      <c r="F78" s="13" t="s">
        <v>1517</v>
      </c>
      <c r="G78" s="14">
        <v>3</v>
      </c>
      <c r="H78" s="14" t="s">
        <v>1372</v>
      </c>
      <c r="I78" s="13">
        <v>16</v>
      </c>
      <c r="J78" s="15" t="s">
        <v>1415</v>
      </c>
      <c r="K78" s="15" t="s">
        <v>2708</v>
      </c>
      <c r="L78" s="16"/>
      <c r="M78" s="16"/>
      <c r="N78" s="16"/>
      <c r="O78" s="16">
        <v>1421.9694999999999</v>
      </c>
      <c r="P78" s="16">
        <v>1229.1859999999999</v>
      </c>
      <c r="Q78" s="16">
        <f>SUM(Tabela1[[#This Row],[201805]:[201807]])</f>
        <v>0</v>
      </c>
      <c r="R78" s="16">
        <f>SUM(Tabela1[[#This Row],[201905]:[201906]])</f>
        <v>2651.1554999999998</v>
      </c>
      <c r="S78" s="16">
        <v>100000</v>
      </c>
      <c r="T78" s="16">
        <f>Tabela1[[#This Row],[Total 2019]]-Tabela1[[#This Row],[Total 2018]]</f>
        <v>2651.1554999999998</v>
      </c>
      <c r="U78" s="40">
        <f>Tabela1[[#This Row],[Total 2019]]/Tabela1[[#This Row],[Meta]]</f>
        <v>2.6511554999999999E-2</v>
      </c>
      <c r="V78" s="17">
        <f>IFERROR(Tabela1[[#This Row],[Total 2019]]/Tabela1[[#This Row],[Total 2018]]-1,0)</f>
        <v>0</v>
      </c>
      <c r="W7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78" s="48"/>
      <c r="Y78" s="19"/>
      <c r="Z78" s="68"/>
    </row>
    <row r="79" spans="3:26" x14ac:dyDescent="0.35">
      <c r="C79" s="11" t="s">
        <v>2702</v>
      </c>
      <c r="D79" s="12" t="s">
        <v>2698</v>
      </c>
      <c r="E79" s="12">
        <v>71</v>
      </c>
      <c r="F79" s="13" t="s">
        <v>1518</v>
      </c>
      <c r="G79" s="14">
        <v>1</v>
      </c>
      <c r="H79" s="14" t="s">
        <v>1370</v>
      </c>
      <c r="I79" s="13">
        <v>19</v>
      </c>
      <c r="J79" s="15" t="s">
        <v>1418</v>
      </c>
      <c r="K79" s="15" t="s">
        <v>2706</v>
      </c>
      <c r="L79" s="16">
        <v>1766.4109999999998</v>
      </c>
      <c r="M79" s="16">
        <v>1478.3899999999999</v>
      </c>
      <c r="N79" s="16"/>
      <c r="O79" s="16"/>
      <c r="P79" s="16"/>
      <c r="Q79" s="16">
        <f>SUM(Tabela1[[#This Row],[201805]:[201807]])</f>
        <v>3244.8009999999995</v>
      </c>
      <c r="R79" s="16">
        <f>SUM(Tabela1[[#This Row],[201905]:[201906]])</f>
        <v>0</v>
      </c>
      <c r="S79" s="16">
        <v>100000</v>
      </c>
      <c r="T79" s="16">
        <f>Tabela1[[#This Row],[Total 2019]]-Tabela1[[#This Row],[Total 2018]]</f>
        <v>-3244.8009999999995</v>
      </c>
      <c r="U79" s="40">
        <f>Tabela1[[#This Row],[Total 2019]]/Tabela1[[#This Row],[Meta]]</f>
        <v>0</v>
      </c>
      <c r="V79" s="17">
        <f>IFERROR(Tabela1[[#This Row],[Total 2019]]/Tabela1[[#This Row],[Total 2018]]-1,0)</f>
        <v>-1</v>
      </c>
      <c r="W7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9" s="48"/>
      <c r="Y79" s="19"/>
      <c r="Z79" s="68"/>
    </row>
    <row r="80" spans="3:26" x14ac:dyDescent="0.35">
      <c r="C80" s="11" t="s">
        <v>2702</v>
      </c>
      <c r="D80" s="12" t="s">
        <v>2699</v>
      </c>
      <c r="E80" s="12">
        <v>72</v>
      </c>
      <c r="F80" s="13" t="s">
        <v>1519</v>
      </c>
      <c r="G80" s="14">
        <v>2</v>
      </c>
      <c r="H80" s="14" t="s">
        <v>1372</v>
      </c>
      <c r="I80" s="13">
        <v>22</v>
      </c>
      <c r="J80" s="15" t="s">
        <v>1421</v>
      </c>
      <c r="K80" s="15" t="s">
        <v>2708</v>
      </c>
      <c r="L80" s="16">
        <v>3688.6979999999999</v>
      </c>
      <c r="M80" s="16">
        <v>8604.6535000000003</v>
      </c>
      <c r="N80" s="16"/>
      <c r="O80" s="16"/>
      <c r="P80" s="16"/>
      <c r="Q80" s="16">
        <f>SUM(Tabela1[[#This Row],[201805]:[201807]])</f>
        <v>12293.351500000001</v>
      </c>
      <c r="R80" s="16">
        <f>SUM(Tabela1[[#This Row],[201905]:[201906]])</f>
        <v>0</v>
      </c>
      <c r="S80" s="16">
        <v>100000</v>
      </c>
      <c r="T80" s="16">
        <f>Tabela1[[#This Row],[Total 2019]]-Tabela1[[#This Row],[Total 2018]]</f>
        <v>-12293.351500000001</v>
      </c>
      <c r="U80" s="40">
        <f>Tabela1[[#This Row],[Total 2019]]/Tabela1[[#This Row],[Meta]]</f>
        <v>0</v>
      </c>
      <c r="V80" s="17">
        <f>IFERROR(Tabela1[[#This Row],[Total 2019]]/Tabela1[[#This Row],[Total 2018]]-1,0)</f>
        <v>-1</v>
      </c>
      <c r="W8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0" s="48"/>
      <c r="Y80" s="19"/>
      <c r="Z80" s="68"/>
    </row>
    <row r="81" spans="3:26" x14ac:dyDescent="0.35">
      <c r="C81" s="11" t="s">
        <v>2704</v>
      </c>
      <c r="D81" s="12" t="s">
        <v>2700</v>
      </c>
      <c r="E81" s="12">
        <v>73</v>
      </c>
      <c r="F81" s="13" t="s">
        <v>1520</v>
      </c>
      <c r="G81" s="14">
        <v>1</v>
      </c>
      <c r="H81" s="14" t="s">
        <v>1372</v>
      </c>
      <c r="I81" s="13">
        <v>16</v>
      </c>
      <c r="J81" s="15" t="s">
        <v>1415</v>
      </c>
      <c r="K81" s="15" t="s">
        <v>2708</v>
      </c>
      <c r="L81" s="16">
        <v>888.49699999999996</v>
      </c>
      <c r="M81" s="16">
        <v>260.2525</v>
      </c>
      <c r="N81" s="16"/>
      <c r="O81" s="16"/>
      <c r="P81" s="16"/>
      <c r="Q81" s="16">
        <f>SUM(Tabela1[[#This Row],[201805]:[201807]])</f>
        <v>1148.7494999999999</v>
      </c>
      <c r="R81" s="16">
        <f>SUM(Tabela1[[#This Row],[201905]:[201906]])</f>
        <v>0</v>
      </c>
      <c r="S81" s="16">
        <v>100000</v>
      </c>
      <c r="T81" s="16">
        <f>Tabela1[[#This Row],[Total 2019]]-Tabela1[[#This Row],[Total 2018]]</f>
        <v>-1148.7494999999999</v>
      </c>
      <c r="U81" s="40">
        <f>Tabela1[[#This Row],[Total 2019]]/Tabela1[[#This Row],[Meta]]</f>
        <v>0</v>
      </c>
      <c r="V81" s="17">
        <f>IFERROR(Tabela1[[#This Row],[Total 2019]]/Tabela1[[#This Row],[Total 2018]]-1,0)</f>
        <v>-1</v>
      </c>
      <c r="W8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1" s="48"/>
      <c r="Y81" s="19"/>
      <c r="Z81" s="68"/>
    </row>
    <row r="82" spans="3:26" x14ac:dyDescent="0.35">
      <c r="C82" s="11" t="s">
        <v>2702</v>
      </c>
      <c r="D82" s="12" t="s">
        <v>2699</v>
      </c>
      <c r="E82" s="12">
        <v>74</v>
      </c>
      <c r="F82" s="13" t="s">
        <v>1521</v>
      </c>
      <c r="G82" s="14">
        <v>1</v>
      </c>
      <c r="H82" s="14" t="s">
        <v>1371</v>
      </c>
      <c r="I82" s="13">
        <v>26</v>
      </c>
      <c r="J82" s="15" t="s">
        <v>1425</v>
      </c>
      <c r="K82" s="15" t="s">
        <v>2707</v>
      </c>
      <c r="L82" s="16">
        <v>5131.3964999999998</v>
      </c>
      <c r="M82" s="16">
        <v>3209.2520000000004</v>
      </c>
      <c r="N82" s="16"/>
      <c r="O82" s="16"/>
      <c r="P82" s="16"/>
      <c r="Q82" s="16">
        <f>SUM(Tabela1[[#This Row],[201805]:[201807]])</f>
        <v>8340.6484999999993</v>
      </c>
      <c r="R82" s="16">
        <f>SUM(Tabela1[[#This Row],[201905]:[201906]])</f>
        <v>0</v>
      </c>
      <c r="S82" s="16">
        <v>100000</v>
      </c>
      <c r="T82" s="16">
        <f>Tabela1[[#This Row],[Total 2019]]-Tabela1[[#This Row],[Total 2018]]</f>
        <v>-8340.6484999999993</v>
      </c>
      <c r="U82" s="40">
        <f>Tabela1[[#This Row],[Total 2019]]/Tabela1[[#This Row],[Meta]]</f>
        <v>0</v>
      </c>
      <c r="V82" s="17">
        <f>IFERROR(Tabela1[[#This Row],[Total 2019]]/Tabela1[[#This Row],[Total 2018]]-1,0)</f>
        <v>-1</v>
      </c>
      <c r="W8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2" s="48"/>
      <c r="Y82" s="19"/>
      <c r="Z82" s="68"/>
    </row>
    <row r="83" spans="3:26" x14ac:dyDescent="0.35">
      <c r="C83" s="11" t="s">
        <v>2703</v>
      </c>
      <c r="D83" s="12" t="s">
        <v>2700</v>
      </c>
      <c r="E83" s="12">
        <v>75</v>
      </c>
      <c r="F83" s="13" t="s">
        <v>1522</v>
      </c>
      <c r="G83" s="14">
        <v>3</v>
      </c>
      <c r="H83" s="14" t="s">
        <v>1372</v>
      </c>
      <c r="I83" s="13">
        <v>21</v>
      </c>
      <c r="J83" s="15" t="s">
        <v>1420</v>
      </c>
      <c r="K83" s="15" t="s">
        <v>2708</v>
      </c>
      <c r="L83" s="16"/>
      <c r="M83" s="16"/>
      <c r="N83" s="16"/>
      <c r="O83" s="16">
        <v>3995.7095000000004</v>
      </c>
      <c r="P83" s="16"/>
      <c r="Q83" s="16">
        <f>SUM(Tabela1[[#This Row],[201805]:[201807]])</f>
        <v>0</v>
      </c>
      <c r="R83" s="16">
        <f>SUM(Tabela1[[#This Row],[201905]:[201906]])</f>
        <v>3995.7095000000004</v>
      </c>
      <c r="S83" s="16">
        <v>100000</v>
      </c>
      <c r="T83" s="16">
        <f>Tabela1[[#This Row],[Total 2019]]-Tabela1[[#This Row],[Total 2018]]</f>
        <v>3995.7095000000004</v>
      </c>
      <c r="U83" s="40">
        <f>Tabela1[[#This Row],[Total 2019]]/Tabela1[[#This Row],[Meta]]</f>
        <v>3.9957095000000005E-2</v>
      </c>
      <c r="V83" s="17">
        <f>IFERROR(Tabela1[[#This Row],[Total 2019]]/Tabela1[[#This Row],[Total 2018]]-1,0)</f>
        <v>0</v>
      </c>
      <c r="W8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83" s="48"/>
      <c r="Y83" s="19"/>
      <c r="Z83" s="68"/>
    </row>
    <row r="84" spans="3:26" x14ac:dyDescent="0.35">
      <c r="C84" s="11" t="s">
        <v>2702</v>
      </c>
      <c r="D84" s="12" t="s">
        <v>2699</v>
      </c>
      <c r="E84" s="12">
        <v>76</v>
      </c>
      <c r="F84" s="13" t="s">
        <v>1523</v>
      </c>
      <c r="G84" s="14">
        <v>3</v>
      </c>
      <c r="H84" s="14" t="s">
        <v>1370</v>
      </c>
      <c r="I84" s="13">
        <v>3</v>
      </c>
      <c r="J84" s="15" t="s">
        <v>1402</v>
      </c>
      <c r="K84" s="15" t="s">
        <v>2706</v>
      </c>
      <c r="L84" s="16"/>
      <c r="M84" s="16">
        <v>2199.3069999999998</v>
      </c>
      <c r="N84" s="16"/>
      <c r="O84" s="16"/>
      <c r="P84" s="16"/>
      <c r="Q84" s="16">
        <f>SUM(Tabela1[[#This Row],[201805]:[201807]])</f>
        <v>2199.3069999999998</v>
      </c>
      <c r="R84" s="16">
        <f>SUM(Tabela1[[#This Row],[201905]:[201906]])</f>
        <v>0</v>
      </c>
      <c r="S84" s="16">
        <v>100000</v>
      </c>
      <c r="T84" s="16">
        <f>Tabela1[[#This Row],[Total 2019]]-Tabela1[[#This Row],[Total 2018]]</f>
        <v>-2199.3069999999998</v>
      </c>
      <c r="U84" s="40">
        <f>Tabela1[[#This Row],[Total 2019]]/Tabela1[[#This Row],[Meta]]</f>
        <v>0</v>
      </c>
      <c r="V84" s="17">
        <f>IFERROR(Tabela1[[#This Row],[Total 2019]]/Tabela1[[#This Row],[Total 2018]]-1,0)</f>
        <v>-1</v>
      </c>
      <c r="W8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4" s="48"/>
      <c r="Y84" s="19"/>
      <c r="Z84" s="68"/>
    </row>
    <row r="85" spans="3:26" x14ac:dyDescent="0.35">
      <c r="C85" s="11" t="s">
        <v>2704</v>
      </c>
      <c r="D85" s="12" t="s">
        <v>2698</v>
      </c>
      <c r="E85" s="12">
        <v>77</v>
      </c>
      <c r="F85" s="13" t="s">
        <v>1524</v>
      </c>
      <c r="G85" s="14">
        <v>2</v>
      </c>
      <c r="H85" s="14" t="s">
        <v>1372</v>
      </c>
      <c r="I85" s="13">
        <v>20</v>
      </c>
      <c r="J85" s="15" t="s">
        <v>1419</v>
      </c>
      <c r="K85" s="15" t="s">
        <v>2708</v>
      </c>
      <c r="L85" s="16">
        <v>2452.3869999999997</v>
      </c>
      <c r="M85" s="16">
        <v>5044.1389999999992</v>
      </c>
      <c r="N85" s="16">
        <v>2773.9429999999993</v>
      </c>
      <c r="O85" s="16">
        <v>2172.1559999999999</v>
      </c>
      <c r="P85" s="16"/>
      <c r="Q85" s="16">
        <f>SUM(Tabela1[[#This Row],[201805]:[201807]])</f>
        <v>10270.468999999997</v>
      </c>
      <c r="R85" s="16">
        <f>SUM(Tabela1[[#This Row],[201905]:[201906]])</f>
        <v>2172.1559999999999</v>
      </c>
      <c r="S85" s="16">
        <v>100000</v>
      </c>
      <c r="T85" s="16">
        <f>Tabela1[[#This Row],[Total 2019]]-Tabela1[[#This Row],[Total 2018]]</f>
        <v>-8098.3129999999974</v>
      </c>
      <c r="U85" s="40">
        <f>Tabela1[[#This Row],[Total 2019]]/Tabela1[[#This Row],[Meta]]</f>
        <v>2.1721560000000001E-2</v>
      </c>
      <c r="V85" s="17">
        <f>IFERROR(Tabela1[[#This Row],[Total 2019]]/Tabela1[[#This Row],[Total 2018]]-1,0)</f>
        <v>-0.7885046924342014</v>
      </c>
      <c r="W8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85" s="48"/>
      <c r="Y85" s="19"/>
      <c r="Z85" s="68"/>
    </row>
    <row r="86" spans="3:26" x14ac:dyDescent="0.35">
      <c r="C86" s="11" t="s">
        <v>2702</v>
      </c>
      <c r="D86" s="12" t="s">
        <v>2700</v>
      </c>
      <c r="E86" s="12">
        <v>78</v>
      </c>
      <c r="F86" s="13" t="s">
        <v>1525</v>
      </c>
      <c r="G86" s="14">
        <v>1</v>
      </c>
      <c r="H86" s="14" t="s">
        <v>1372</v>
      </c>
      <c r="I86" s="13">
        <v>20</v>
      </c>
      <c r="J86" s="15" t="s">
        <v>1419</v>
      </c>
      <c r="K86" s="15" t="s">
        <v>2708</v>
      </c>
      <c r="L86" s="16">
        <v>3073.2499999999995</v>
      </c>
      <c r="M86" s="16">
        <v>4719.2674999999999</v>
      </c>
      <c r="N86" s="16">
        <v>1484.0995</v>
      </c>
      <c r="O86" s="16">
        <v>8374.8294999999998</v>
      </c>
      <c r="P86" s="16"/>
      <c r="Q86" s="16">
        <f>SUM(Tabela1[[#This Row],[201805]:[201807]])</f>
        <v>9276.6170000000002</v>
      </c>
      <c r="R86" s="16">
        <f>SUM(Tabela1[[#This Row],[201905]:[201906]])</f>
        <v>8374.8294999999998</v>
      </c>
      <c r="S86" s="16">
        <v>100000</v>
      </c>
      <c r="T86" s="16">
        <f>Tabela1[[#This Row],[Total 2019]]-Tabela1[[#This Row],[Total 2018]]</f>
        <v>-901.78750000000036</v>
      </c>
      <c r="U86" s="40">
        <f>Tabela1[[#This Row],[Total 2019]]/Tabela1[[#This Row],[Meta]]</f>
        <v>8.3748295E-2</v>
      </c>
      <c r="V86" s="17">
        <f>IFERROR(Tabela1[[#This Row],[Total 2019]]/Tabela1[[#This Row],[Total 2018]]-1,0)</f>
        <v>-9.7210815106412163E-2</v>
      </c>
      <c r="W8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86" s="48"/>
      <c r="Y86" s="19"/>
      <c r="Z86" s="68"/>
    </row>
    <row r="87" spans="3:26" x14ac:dyDescent="0.35">
      <c r="C87" s="11" t="s">
        <v>2702</v>
      </c>
      <c r="D87" s="12" t="s">
        <v>2700</v>
      </c>
      <c r="E87" s="12">
        <v>79</v>
      </c>
      <c r="F87" s="13" t="s">
        <v>1526</v>
      </c>
      <c r="G87" s="14">
        <v>2</v>
      </c>
      <c r="H87" s="14" t="s">
        <v>1371</v>
      </c>
      <c r="I87" s="13">
        <v>9</v>
      </c>
      <c r="J87" s="15" t="s">
        <v>1408</v>
      </c>
      <c r="K87" s="15" t="s">
        <v>2707</v>
      </c>
      <c r="L87" s="16"/>
      <c r="M87" s="16">
        <v>6003.6009999999987</v>
      </c>
      <c r="N87" s="16"/>
      <c r="O87" s="16"/>
      <c r="P87" s="16"/>
      <c r="Q87" s="16">
        <f>SUM(Tabela1[[#This Row],[201805]:[201807]])</f>
        <v>6003.6009999999987</v>
      </c>
      <c r="R87" s="16">
        <f>SUM(Tabela1[[#This Row],[201905]:[201906]])</f>
        <v>0</v>
      </c>
      <c r="S87" s="16">
        <v>100000</v>
      </c>
      <c r="T87" s="16">
        <f>Tabela1[[#This Row],[Total 2019]]-Tabela1[[#This Row],[Total 2018]]</f>
        <v>-6003.6009999999987</v>
      </c>
      <c r="U87" s="40">
        <f>Tabela1[[#This Row],[Total 2019]]/Tabela1[[#This Row],[Meta]]</f>
        <v>0</v>
      </c>
      <c r="V87" s="17">
        <f>IFERROR(Tabela1[[#This Row],[Total 2019]]/Tabela1[[#This Row],[Total 2018]]-1,0)</f>
        <v>-1</v>
      </c>
      <c r="W8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7" s="48"/>
      <c r="Y87" s="19"/>
      <c r="Z87" s="68"/>
    </row>
    <row r="88" spans="3:26" x14ac:dyDescent="0.35">
      <c r="C88" s="11" t="s">
        <v>2704</v>
      </c>
      <c r="D88" s="12" t="s">
        <v>2699</v>
      </c>
      <c r="E88" s="12">
        <v>80</v>
      </c>
      <c r="F88" s="13" t="s">
        <v>1527</v>
      </c>
      <c r="G88" s="14">
        <v>3</v>
      </c>
      <c r="H88" s="14" t="s">
        <v>1372</v>
      </c>
      <c r="I88" s="13">
        <v>27</v>
      </c>
      <c r="J88" s="15" t="s">
        <v>1426</v>
      </c>
      <c r="K88" s="15" t="s">
        <v>2708</v>
      </c>
      <c r="L88" s="16"/>
      <c r="M88" s="16">
        <v>3312.0135</v>
      </c>
      <c r="N88" s="16"/>
      <c r="O88" s="16">
        <v>2468.8409999999999</v>
      </c>
      <c r="P88" s="16">
        <v>2151.0565000000001</v>
      </c>
      <c r="Q88" s="16">
        <f>SUM(Tabela1[[#This Row],[201805]:[201807]])</f>
        <v>3312.0135</v>
      </c>
      <c r="R88" s="16">
        <f>SUM(Tabela1[[#This Row],[201905]:[201906]])</f>
        <v>4619.8975</v>
      </c>
      <c r="S88" s="16">
        <v>100000</v>
      </c>
      <c r="T88" s="16">
        <f>Tabela1[[#This Row],[Total 2019]]-Tabela1[[#This Row],[Total 2018]]</f>
        <v>1307.884</v>
      </c>
      <c r="U88" s="40">
        <f>Tabela1[[#This Row],[Total 2019]]/Tabela1[[#This Row],[Meta]]</f>
        <v>4.6198975000000003E-2</v>
      </c>
      <c r="V88" s="17">
        <f>IFERROR(Tabela1[[#This Row],[Total 2019]]/Tabela1[[#This Row],[Total 2018]]-1,0)</f>
        <v>0.39489090246763792</v>
      </c>
      <c r="W8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88" s="48"/>
      <c r="Y88" s="19"/>
      <c r="Z88" s="68"/>
    </row>
    <row r="89" spans="3:26" x14ac:dyDescent="0.35">
      <c r="C89" s="11" t="s">
        <v>2703</v>
      </c>
      <c r="D89" s="12" t="s">
        <v>2700</v>
      </c>
      <c r="E89" s="12">
        <v>81</v>
      </c>
      <c r="F89" s="13" t="s">
        <v>1528</v>
      </c>
      <c r="G89" s="14">
        <v>2</v>
      </c>
      <c r="H89" s="14" t="s">
        <v>1372</v>
      </c>
      <c r="I89" s="13">
        <v>21</v>
      </c>
      <c r="J89" s="15" t="s">
        <v>1420</v>
      </c>
      <c r="K89" s="15" t="s">
        <v>2708</v>
      </c>
      <c r="L89" s="16">
        <v>2399.3579999999997</v>
      </c>
      <c r="M89" s="16">
        <v>4829.1824999999999</v>
      </c>
      <c r="N89" s="16">
        <v>657.72299999999996</v>
      </c>
      <c r="O89" s="16">
        <v>5660.3279999999995</v>
      </c>
      <c r="P89" s="16"/>
      <c r="Q89" s="16">
        <f>SUM(Tabela1[[#This Row],[201805]:[201807]])</f>
        <v>7886.2634999999991</v>
      </c>
      <c r="R89" s="16">
        <f>SUM(Tabela1[[#This Row],[201905]:[201906]])</f>
        <v>5660.3279999999995</v>
      </c>
      <c r="S89" s="16">
        <v>100000</v>
      </c>
      <c r="T89" s="16">
        <f>Tabela1[[#This Row],[Total 2019]]-Tabela1[[#This Row],[Total 2018]]</f>
        <v>-2225.9354999999996</v>
      </c>
      <c r="U89" s="40">
        <f>Tabela1[[#This Row],[Total 2019]]/Tabela1[[#This Row],[Meta]]</f>
        <v>5.6603279999999992E-2</v>
      </c>
      <c r="V89" s="17">
        <f>IFERROR(Tabela1[[#This Row],[Total 2019]]/Tabela1[[#This Row],[Total 2018]]-1,0)</f>
        <v>-0.28225477122340636</v>
      </c>
      <c r="W8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89" s="48"/>
      <c r="Y89" s="19"/>
      <c r="Z89" s="68"/>
    </row>
    <row r="90" spans="3:26" x14ac:dyDescent="0.35">
      <c r="C90" s="11" t="s">
        <v>2704</v>
      </c>
      <c r="D90" s="12" t="s">
        <v>2699</v>
      </c>
      <c r="E90" s="12">
        <v>82</v>
      </c>
      <c r="F90" s="13" t="s">
        <v>1529</v>
      </c>
      <c r="G90" s="14">
        <v>1</v>
      </c>
      <c r="H90" s="14" t="s">
        <v>1372</v>
      </c>
      <c r="I90" s="13">
        <v>20</v>
      </c>
      <c r="J90" s="15" t="s">
        <v>1419</v>
      </c>
      <c r="K90" s="15" t="s">
        <v>2708</v>
      </c>
      <c r="L90" s="16">
        <v>2761.7449999999994</v>
      </c>
      <c r="M90" s="16">
        <v>6605.4449999999997</v>
      </c>
      <c r="N90" s="16">
        <v>2850.38</v>
      </c>
      <c r="O90" s="16">
        <v>6066.4719999999998</v>
      </c>
      <c r="P90" s="16"/>
      <c r="Q90" s="16">
        <f>SUM(Tabela1[[#This Row],[201805]:[201807]])</f>
        <v>12217.57</v>
      </c>
      <c r="R90" s="16">
        <f>SUM(Tabela1[[#This Row],[201905]:[201906]])</f>
        <v>6066.4719999999998</v>
      </c>
      <c r="S90" s="16">
        <v>100000</v>
      </c>
      <c r="T90" s="16">
        <f>Tabela1[[#This Row],[Total 2019]]-Tabela1[[#This Row],[Total 2018]]</f>
        <v>-6151.098</v>
      </c>
      <c r="U90" s="40">
        <f>Tabela1[[#This Row],[Total 2019]]/Tabela1[[#This Row],[Meta]]</f>
        <v>6.0664719999999998E-2</v>
      </c>
      <c r="V90" s="17">
        <f>IFERROR(Tabela1[[#This Row],[Total 2019]]/Tabela1[[#This Row],[Total 2018]]-1,0)</f>
        <v>-0.50346329098175824</v>
      </c>
      <c r="W9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90" s="48"/>
      <c r="Y90" s="19"/>
      <c r="Z90" s="68"/>
    </row>
    <row r="91" spans="3:26" x14ac:dyDescent="0.35">
      <c r="C91" s="11" t="s">
        <v>2702</v>
      </c>
      <c r="D91" s="12" t="s">
        <v>2698</v>
      </c>
      <c r="E91" s="12">
        <v>83</v>
      </c>
      <c r="F91" s="13" t="s">
        <v>1530</v>
      </c>
      <c r="G91" s="14">
        <v>1</v>
      </c>
      <c r="H91" s="14" t="s">
        <v>1372</v>
      </c>
      <c r="I91" s="13">
        <v>18</v>
      </c>
      <c r="J91" s="15" t="s">
        <v>1417</v>
      </c>
      <c r="K91" s="15" t="s">
        <v>2708</v>
      </c>
      <c r="L91" s="16">
        <v>935.60749999999996</v>
      </c>
      <c r="M91" s="16">
        <v>12531.468999999999</v>
      </c>
      <c r="N91" s="16">
        <v>5634.4404999999988</v>
      </c>
      <c r="O91" s="16"/>
      <c r="P91" s="16"/>
      <c r="Q91" s="16">
        <f>SUM(Tabela1[[#This Row],[201805]:[201807]])</f>
        <v>19101.517</v>
      </c>
      <c r="R91" s="16">
        <f>SUM(Tabela1[[#This Row],[201905]:[201906]])</f>
        <v>0</v>
      </c>
      <c r="S91" s="16">
        <v>100000</v>
      </c>
      <c r="T91" s="16">
        <f>Tabela1[[#This Row],[Total 2019]]-Tabela1[[#This Row],[Total 2018]]</f>
        <v>-19101.517</v>
      </c>
      <c r="U91" s="40">
        <f>Tabela1[[#This Row],[Total 2019]]/Tabela1[[#This Row],[Meta]]</f>
        <v>0</v>
      </c>
      <c r="V91" s="17">
        <f>IFERROR(Tabela1[[#This Row],[Total 2019]]/Tabela1[[#This Row],[Total 2018]]-1,0)</f>
        <v>-1</v>
      </c>
      <c r="W9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1" s="48"/>
      <c r="Y91" s="19"/>
      <c r="Z91" s="68"/>
    </row>
    <row r="92" spans="3:26" x14ac:dyDescent="0.35">
      <c r="C92" s="11" t="s">
        <v>2702</v>
      </c>
      <c r="D92" s="12" t="s">
        <v>2698</v>
      </c>
      <c r="E92" s="12">
        <v>84</v>
      </c>
      <c r="F92" s="13" t="s">
        <v>1531</v>
      </c>
      <c r="G92" s="14">
        <v>1</v>
      </c>
      <c r="H92" s="14" t="s">
        <v>1370</v>
      </c>
      <c r="I92" s="13">
        <v>1</v>
      </c>
      <c r="J92" s="15" t="s">
        <v>1400</v>
      </c>
      <c r="K92" s="15" t="s">
        <v>2706</v>
      </c>
      <c r="L92" s="16"/>
      <c r="M92" s="16"/>
      <c r="N92" s="16"/>
      <c r="O92" s="16">
        <v>15667.656499999999</v>
      </c>
      <c r="P92" s="16">
        <v>8679.1239999999998</v>
      </c>
      <c r="Q92" s="16">
        <f>SUM(Tabela1[[#This Row],[201805]:[201807]])</f>
        <v>0</v>
      </c>
      <c r="R92" s="16">
        <f>SUM(Tabela1[[#This Row],[201905]:[201906]])</f>
        <v>24346.780500000001</v>
      </c>
      <c r="S92" s="16">
        <v>100000</v>
      </c>
      <c r="T92" s="16">
        <f>Tabela1[[#This Row],[Total 2019]]-Tabela1[[#This Row],[Total 2018]]</f>
        <v>24346.780500000001</v>
      </c>
      <c r="U92" s="40">
        <f>Tabela1[[#This Row],[Total 2019]]/Tabela1[[#This Row],[Meta]]</f>
        <v>0.24346780500000001</v>
      </c>
      <c r="V92" s="17">
        <f>IFERROR(Tabela1[[#This Row],[Total 2019]]/Tabela1[[#This Row],[Total 2018]]-1,0)</f>
        <v>0</v>
      </c>
      <c r="W9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92" s="48"/>
      <c r="Y92" s="19"/>
      <c r="Z92" s="68"/>
    </row>
    <row r="93" spans="3:26" x14ac:dyDescent="0.35">
      <c r="C93" s="11" t="s">
        <v>2703</v>
      </c>
      <c r="D93" s="12" t="s">
        <v>2699</v>
      </c>
      <c r="E93" s="12">
        <v>85</v>
      </c>
      <c r="F93" s="13" t="s">
        <v>1532</v>
      </c>
      <c r="G93" s="14">
        <v>2</v>
      </c>
      <c r="H93" s="14" t="s">
        <v>1370</v>
      </c>
      <c r="I93" s="13">
        <v>11</v>
      </c>
      <c r="J93" s="15" t="s">
        <v>1410</v>
      </c>
      <c r="K93" s="15" t="s">
        <v>2706</v>
      </c>
      <c r="L93" s="16">
        <v>4424.9479999999994</v>
      </c>
      <c r="M93" s="16">
        <v>5048.6039999999994</v>
      </c>
      <c r="N93" s="16"/>
      <c r="O93" s="16">
        <v>11135.159</v>
      </c>
      <c r="P93" s="16">
        <v>2126.6320000000001</v>
      </c>
      <c r="Q93" s="16">
        <f>SUM(Tabela1[[#This Row],[201805]:[201807]])</f>
        <v>9473.5519999999997</v>
      </c>
      <c r="R93" s="16">
        <f>SUM(Tabela1[[#This Row],[201905]:[201906]])</f>
        <v>13261.790999999999</v>
      </c>
      <c r="S93" s="16">
        <v>100000</v>
      </c>
      <c r="T93" s="16">
        <f>Tabela1[[#This Row],[Total 2019]]-Tabela1[[#This Row],[Total 2018]]</f>
        <v>3788.2389999999996</v>
      </c>
      <c r="U93" s="40">
        <f>Tabela1[[#This Row],[Total 2019]]/Tabela1[[#This Row],[Meta]]</f>
        <v>0.13261791000000001</v>
      </c>
      <c r="V93" s="17">
        <f>IFERROR(Tabela1[[#This Row],[Total 2019]]/Tabela1[[#This Row],[Total 2018]]-1,0)</f>
        <v>0.39987525270352653</v>
      </c>
      <c r="W9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93" s="48"/>
      <c r="Y93" s="19"/>
      <c r="Z93" s="68"/>
    </row>
    <row r="94" spans="3:26" x14ac:dyDescent="0.35">
      <c r="C94" s="11" t="s">
        <v>2702</v>
      </c>
      <c r="D94" s="12" t="s">
        <v>2700</v>
      </c>
      <c r="E94" s="12">
        <v>86</v>
      </c>
      <c r="F94" s="13" t="s">
        <v>1533</v>
      </c>
      <c r="G94" s="14">
        <v>3</v>
      </c>
      <c r="H94" s="14" t="s">
        <v>1370</v>
      </c>
      <c r="I94" s="13">
        <v>11</v>
      </c>
      <c r="J94" s="15" t="s">
        <v>1410</v>
      </c>
      <c r="K94" s="15" t="s">
        <v>2706</v>
      </c>
      <c r="L94" s="16">
        <v>6736.1175000000003</v>
      </c>
      <c r="M94" s="16">
        <v>4784.6369999999997</v>
      </c>
      <c r="N94" s="16"/>
      <c r="O94" s="16"/>
      <c r="P94" s="16"/>
      <c r="Q94" s="16">
        <f>SUM(Tabela1[[#This Row],[201805]:[201807]])</f>
        <v>11520.754499999999</v>
      </c>
      <c r="R94" s="16">
        <f>SUM(Tabela1[[#This Row],[201905]:[201906]])</f>
        <v>0</v>
      </c>
      <c r="S94" s="16">
        <v>100000</v>
      </c>
      <c r="T94" s="16">
        <f>Tabela1[[#This Row],[Total 2019]]-Tabela1[[#This Row],[Total 2018]]</f>
        <v>-11520.754499999999</v>
      </c>
      <c r="U94" s="40">
        <f>Tabela1[[#This Row],[Total 2019]]/Tabela1[[#This Row],[Meta]]</f>
        <v>0</v>
      </c>
      <c r="V94" s="17">
        <f>IFERROR(Tabela1[[#This Row],[Total 2019]]/Tabela1[[#This Row],[Total 2018]]-1,0)</f>
        <v>-1</v>
      </c>
      <c r="W9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4" s="48"/>
      <c r="Y94" s="19"/>
      <c r="Z94" s="68"/>
    </row>
    <row r="95" spans="3:26" x14ac:dyDescent="0.35">
      <c r="C95" s="11" t="s">
        <v>2704</v>
      </c>
      <c r="D95" s="12" t="s">
        <v>2698</v>
      </c>
      <c r="E95" s="12">
        <v>87</v>
      </c>
      <c r="F95" s="13" t="s">
        <v>1534</v>
      </c>
      <c r="G95" s="14">
        <v>2</v>
      </c>
      <c r="H95" s="14" t="s">
        <v>1372</v>
      </c>
      <c r="I95" s="13">
        <v>25</v>
      </c>
      <c r="J95" s="15" t="s">
        <v>1424</v>
      </c>
      <c r="K95" s="15" t="s">
        <v>2708</v>
      </c>
      <c r="L95" s="16"/>
      <c r="M95" s="16"/>
      <c r="N95" s="16">
        <v>10496.084500000001</v>
      </c>
      <c r="O95" s="16">
        <v>16072.062</v>
      </c>
      <c r="P95" s="16">
        <v>1971.8674999999998</v>
      </c>
      <c r="Q95" s="16">
        <f>SUM(Tabela1[[#This Row],[201805]:[201807]])</f>
        <v>10496.084500000001</v>
      </c>
      <c r="R95" s="16">
        <f>SUM(Tabela1[[#This Row],[201905]:[201906]])</f>
        <v>18043.929499999998</v>
      </c>
      <c r="S95" s="16">
        <v>100000</v>
      </c>
      <c r="T95" s="16">
        <f>Tabela1[[#This Row],[Total 2019]]-Tabela1[[#This Row],[Total 2018]]</f>
        <v>7547.8449999999975</v>
      </c>
      <c r="U95" s="40">
        <f>Tabela1[[#This Row],[Total 2019]]/Tabela1[[#This Row],[Meta]]</f>
        <v>0.18043929499999997</v>
      </c>
      <c r="V95" s="17">
        <f>IFERROR(Tabela1[[#This Row],[Total 2019]]/Tabela1[[#This Row],[Total 2018]]-1,0)</f>
        <v>0.71911054069734259</v>
      </c>
      <c r="W9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95" s="48"/>
      <c r="Y95" s="19"/>
      <c r="Z95" s="68"/>
    </row>
    <row r="96" spans="3:26" x14ac:dyDescent="0.35">
      <c r="C96" s="11" t="s">
        <v>2703</v>
      </c>
      <c r="D96" s="12" t="s">
        <v>2700</v>
      </c>
      <c r="E96" s="12">
        <v>88</v>
      </c>
      <c r="F96" s="13" t="s">
        <v>1535</v>
      </c>
      <c r="G96" s="14">
        <v>3</v>
      </c>
      <c r="H96" s="14" t="s">
        <v>1373</v>
      </c>
      <c r="I96" s="13">
        <v>28</v>
      </c>
      <c r="J96" s="15" t="s">
        <v>1427</v>
      </c>
      <c r="K96" s="15" t="s">
        <v>2710</v>
      </c>
      <c r="L96" s="16"/>
      <c r="M96" s="16">
        <v>31252.244999999995</v>
      </c>
      <c r="N96" s="16"/>
      <c r="O96" s="16"/>
      <c r="P96" s="16"/>
      <c r="Q96" s="16">
        <f>SUM(Tabela1[[#This Row],[201805]:[201807]])</f>
        <v>31252.244999999995</v>
      </c>
      <c r="R96" s="16">
        <f>SUM(Tabela1[[#This Row],[201905]:[201906]])</f>
        <v>0</v>
      </c>
      <c r="S96" s="16">
        <v>100000</v>
      </c>
      <c r="T96" s="16">
        <f>Tabela1[[#This Row],[Total 2019]]-Tabela1[[#This Row],[Total 2018]]</f>
        <v>-31252.244999999995</v>
      </c>
      <c r="U96" s="40">
        <f>Tabela1[[#This Row],[Total 2019]]/Tabela1[[#This Row],[Meta]]</f>
        <v>0</v>
      </c>
      <c r="V96" s="17">
        <f>IFERROR(Tabela1[[#This Row],[Total 2019]]/Tabela1[[#This Row],[Total 2018]]-1,0)</f>
        <v>-1</v>
      </c>
      <c r="W9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6" s="48"/>
      <c r="Y96" s="19"/>
      <c r="Z96" s="68"/>
    </row>
    <row r="97" spans="3:26" x14ac:dyDescent="0.35">
      <c r="C97" s="11" t="s">
        <v>2702</v>
      </c>
      <c r="D97" s="12" t="s">
        <v>2699</v>
      </c>
      <c r="E97" s="12">
        <v>89</v>
      </c>
      <c r="F97" s="13" t="s">
        <v>1536</v>
      </c>
      <c r="G97" s="14">
        <v>2</v>
      </c>
      <c r="H97" s="14" t="s">
        <v>1371</v>
      </c>
      <c r="I97" s="13">
        <v>9</v>
      </c>
      <c r="J97" s="15" t="s">
        <v>1408</v>
      </c>
      <c r="K97" s="15" t="s">
        <v>2707</v>
      </c>
      <c r="L97" s="16"/>
      <c r="M97" s="16">
        <v>5791.0479999999998</v>
      </c>
      <c r="N97" s="16"/>
      <c r="O97" s="16"/>
      <c r="P97" s="16"/>
      <c r="Q97" s="16">
        <f>SUM(Tabela1[[#This Row],[201805]:[201807]])</f>
        <v>5791.0479999999998</v>
      </c>
      <c r="R97" s="16">
        <f>SUM(Tabela1[[#This Row],[201905]:[201906]])</f>
        <v>0</v>
      </c>
      <c r="S97" s="16">
        <v>100000</v>
      </c>
      <c r="T97" s="16">
        <f>Tabela1[[#This Row],[Total 2019]]-Tabela1[[#This Row],[Total 2018]]</f>
        <v>-5791.0479999999998</v>
      </c>
      <c r="U97" s="40">
        <f>Tabela1[[#This Row],[Total 2019]]/Tabela1[[#This Row],[Meta]]</f>
        <v>0</v>
      </c>
      <c r="V97" s="17">
        <f>IFERROR(Tabela1[[#This Row],[Total 2019]]/Tabela1[[#This Row],[Total 2018]]-1,0)</f>
        <v>-1</v>
      </c>
      <c r="W9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7" s="48"/>
      <c r="Y97" s="19"/>
      <c r="Z97" s="68"/>
    </row>
    <row r="98" spans="3:26" x14ac:dyDescent="0.35">
      <c r="C98" s="11" t="s">
        <v>2703</v>
      </c>
      <c r="D98" s="12" t="s">
        <v>2700</v>
      </c>
      <c r="E98" s="12">
        <v>90</v>
      </c>
      <c r="F98" s="13" t="s">
        <v>1537</v>
      </c>
      <c r="G98" s="14">
        <v>2</v>
      </c>
      <c r="H98" s="14" t="s">
        <v>1371</v>
      </c>
      <c r="I98" s="13">
        <v>14</v>
      </c>
      <c r="J98" s="15" t="s">
        <v>1413</v>
      </c>
      <c r="K98" s="15" t="s">
        <v>2707</v>
      </c>
      <c r="L98" s="16"/>
      <c r="M98" s="16"/>
      <c r="N98" s="16"/>
      <c r="O98" s="16">
        <v>3275.3339999999998</v>
      </c>
      <c r="P98" s="16">
        <v>3299.7680000000005</v>
      </c>
      <c r="Q98" s="16">
        <f>SUM(Tabela1[[#This Row],[201805]:[201807]])</f>
        <v>0</v>
      </c>
      <c r="R98" s="16">
        <f>SUM(Tabela1[[#This Row],[201905]:[201906]])</f>
        <v>6575.1020000000008</v>
      </c>
      <c r="S98" s="16">
        <v>100000</v>
      </c>
      <c r="T98" s="16">
        <f>Tabela1[[#This Row],[Total 2019]]-Tabela1[[#This Row],[Total 2018]]</f>
        <v>6575.1020000000008</v>
      </c>
      <c r="U98" s="40">
        <f>Tabela1[[#This Row],[Total 2019]]/Tabela1[[#This Row],[Meta]]</f>
        <v>6.5751020000000007E-2</v>
      </c>
      <c r="V98" s="17">
        <f>IFERROR(Tabela1[[#This Row],[Total 2019]]/Tabela1[[#This Row],[Total 2018]]-1,0)</f>
        <v>0</v>
      </c>
      <c r="W9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98" s="48"/>
      <c r="Y98" s="19"/>
      <c r="Z98" s="68"/>
    </row>
    <row r="99" spans="3:26" x14ac:dyDescent="0.35">
      <c r="C99" s="11" t="s">
        <v>2703</v>
      </c>
      <c r="D99" s="12" t="s">
        <v>2699</v>
      </c>
      <c r="E99" s="12">
        <v>91</v>
      </c>
      <c r="F99" s="13" t="s">
        <v>1538</v>
      </c>
      <c r="G99" s="14">
        <v>3</v>
      </c>
      <c r="H99" s="14" t="s">
        <v>1372</v>
      </c>
      <c r="I99" s="13">
        <v>20</v>
      </c>
      <c r="J99" s="15" t="s">
        <v>1419</v>
      </c>
      <c r="K99" s="15" t="s">
        <v>2708</v>
      </c>
      <c r="L99" s="16"/>
      <c r="M99" s="16">
        <v>1969.2739999999999</v>
      </c>
      <c r="N99" s="16">
        <v>1764.1499999999999</v>
      </c>
      <c r="O99" s="16">
        <v>2489.8644999999997</v>
      </c>
      <c r="P99" s="16"/>
      <c r="Q99" s="16">
        <f>SUM(Tabela1[[#This Row],[201805]:[201807]])</f>
        <v>3733.424</v>
      </c>
      <c r="R99" s="16">
        <f>SUM(Tabela1[[#This Row],[201905]:[201906]])</f>
        <v>2489.8644999999997</v>
      </c>
      <c r="S99" s="16">
        <v>100000</v>
      </c>
      <c r="T99" s="16">
        <f>Tabela1[[#This Row],[Total 2019]]-Tabela1[[#This Row],[Total 2018]]</f>
        <v>-1243.5595000000003</v>
      </c>
      <c r="U99" s="40">
        <f>Tabela1[[#This Row],[Total 2019]]/Tabela1[[#This Row],[Meta]]</f>
        <v>2.4898644999999997E-2</v>
      </c>
      <c r="V99" s="17">
        <f>IFERROR(Tabela1[[#This Row],[Total 2019]]/Tabela1[[#This Row],[Total 2018]]-1,0)</f>
        <v>-0.33308820535786998</v>
      </c>
      <c r="W9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99" s="48"/>
      <c r="Y99" s="19"/>
      <c r="Z99" s="68"/>
    </row>
    <row r="100" spans="3:26" x14ac:dyDescent="0.35">
      <c r="C100" s="11" t="s">
        <v>2704</v>
      </c>
      <c r="D100" s="12" t="s">
        <v>2699</v>
      </c>
      <c r="E100" s="12">
        <v>92</v>
      </c>
      <c r="F100" s="13" t="s">
        <v>1539</v>
      </c>
      <c r="G100" s="14">
        <v>2</v>
      </c>
      <c r="H100" s="14" t="s">
        <v>1370</v>
      </c>
      <c r="I100" s="13">
        <v>19</v>
      </c>
      <c r="J100" s="15" t="s">
        <v>1418</v>
      </c>
      <c r="K100" s="15" t="s">
        <v>2706</v>
      </c>
      <c r="L100" s="16">
        <v>2351.1169999999997</v>
      </c>
      <c r="M100" s="16">
        <v>686.81200000000001</v>
      </c>
      <c r="N100" s="16"/>
      <c r="O100" s="16"/>
      <c r="P100" s="16"/>
      <c r="Q100" s="16">
        <f>SUM(Tabela1[[#This Row],[201805]:[201807]])</f>
        <v>3037.9289999999996</v>
      </c>
      <c r="R100" s="16">
        <f>SUM(Tabela1[[#This Row],[201905]:[201906]])</f>
        <v>0</v>
      </c>
      <c r="S100" s="16">
        <v>100000</v>
      </c>
      <c r="T100" s="16">
        <f>Tabela1[[#This Row],[Total 2019]]-Tabela1[[#This Row],[Total 2018]]</f>
        <v>-3037.9289999999996</v>
      </c>
      <c r="U100" s="40">
        <f>Tabela1[[#This Row],[Total 2019]]/Tabela1[[#This Row],[Meta]]</f>
        <v>0</v>
      </c>
      <c r="V100" s="17">
        <f>IFERROR(Tabela1[[#This Row],[Total 2019]]/Tabela1[[#This Row],[Total 2018]]-1,0)</f>
        <v>-1</v>
      </c>
      <c r="W10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00" s="48"/>
      <c r="Y100" s="19"/>
      <c r="Z100" s="68"/>
    </row>
    <row r="101" spans="3:26" x14ac:dyDescent="0.35">
      <c r="C101" s="11" t="s">
        <v>2702</v>
      </c>
      <c r="D101" s="12" t="s">
        <v>2700</v>
      </c>
      <c r="E101" s="12">
        <v>93</v>
      </c>
      <c r="F101" s="13" t="s">
        <v>1540</v>
      </c>
      <c r="G101" s="14">
        <v>3</v>
      </c>
      <c r="H101" s="14" t="s">
        <v>1372</v>
      </c>
      <c r="I101" s="13">
        <v>20</v>
      </c>
      <c r="J101" s="15" t="s">
        <v>1419</v>
      </c>
      <c r="K101" s="15" t="s">
        <v>2708</v>
      </c>
      <c r="L101" s="16">
        <v>1476.0909999999999</v>
      </c>
      <c r="M101" s="16">
        <v>3012.0605</v>
      </c>
      <c r="N101" s="16"/>
      <c r="O101" s="16"/>
      <c r="P101" s="16"/>
      <c r="Q101" s="16">
        <f>SUM(Tabela1[[#This Row],[201805]:[201807]])</f>
        <v>4488.1514999999999</v>
      </c>
      <c r="R101" s="16">
        <f>SUM(Tabela1[[#This Row],[201905]:[201906]])</f>
        <v>0</v>
      </c>
      <c r="S101" s="16">
        <v>100000</v>
      </c>
      <c r="T101" s="16">
        <f>Tabela1[[#This Row],[Total 2019]]-Tabela1[[#This Row],[Total 2018]]</f>
        <v>-4488.1514999999999</v>
      </c>
      <c r="U101" s="40">
        <f>Tabela1[[#This Row],[Total 2019]]/Tabela1[[#This Row],[Meta]]</f>
        <v>0</v>
      </c>
      <c r="V101" s="17">
        <f>IFERROR(Tabela1[[#This Row],[Total 2019]]/Tabela1[[#This Row],[Total 2018]]-1,0)</f>
        <v>-1</v>
      </c>
      <c r="W10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01" s="48"/>
      <c r="Y101" s="19"/>
      <c r="Z101" s="68"/>
    </row>
    <row r="102" spans="3:26" x14ac:dyDescent="0.35">
      <c r="C102" s="11" t="s">
        <v>2704</v>
      </c>
      <c r="D102" s="12" t="s">
        <v>2699</v>
      </c>
      <c r="E102" s="12">
        <v>94</v>
      </c>
      <c r="F102" s="13" t="s">
        <v>1541</v>
      </c>
      <c r="G102" s="14">
        <v>2</v>
      </c>
      <c r="H102" s="14" t="s">
        <v>1370</v>
      </c>
      <c r="I102" s="13">
        <v>11</v>
      </c>
      <c r="J102" s="15" t="s">
        <v>1410</v>
      </c>
      <c r="K102" s="15" t="s">
        <v>2706</v>
      </c>
      <c r="L102" s="16">
        <v>3693.5429999999997</v>
      </c>
      <c r="M102" s="16">
        <v>2929.6669999999995</v>
      </c>
      <c r="N102" s="16"/>
      <c r="O102" s="16">
        <v>11118.8285</v>
      </c>
      <c r="P102" s="16">
        <v>4050.0684999999989</v>
      </c>
      <c r="Q102" s="16">
        <f>SUM(Tabela1[[#This Row],[201805]:[201807]])</f>
        <v>6623.2099999999991</v>
      </c>
      <c r="R102" s="16">
        <f>SUM(Tabela1[[#This Row],[201905]:[201906]])</f>
        <v>15168.896999999999</v>
      </c>
      <c r="S102" s="16">
        <v>100000</v>
      </c>
      <c r="T102" s="16">
        <f>Tabela1[[#This Row],[Total 2019]]-Tabela1[[#This Row],[Total 2018]]</f>
        <v>8545.6869999999999</v>
      </c>
      <c r="U102" s="40">
        <f>Tabela1[[#This Row],[Total 2019]]/Tabela1[[#This Row],[Meta]]</f>
        <v>0.15168896999999998</v>
      </c>
      <c r="V102" s="17">
        <f>IFERROR(Tabela1[[#This Row],[Total 2019]]/Tabela1[[#This Row],[Total 2018]]-1,0)</f>
        <v>1.2902636334949369</v>
      </c>
      <c r="W10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102" s="48"/>
      <c r="Y102" s="19"/>
      <c r="Z102" s="68"/>
    </row>
    <row r="103" spans="3:26" x14ac:dyDescent="0.35">
      <c r="C103" s="11" t="s">
        <v>2704</v>
      </c>
      <c r="D103" s="12" t="s">
        <v>2700</v>
      </c>
      <c r="E103" s="12">
        <v>95</v>
      </c>
      <c r="F103" s="13" t="s">
        <v>1542</v>
      </c>
      <c r="G103" s="14">
        <v>3</v>
      </c>
      <c r="H103" s="14" t="s">
        <v>1370</v>
      </c>
      <c r="I103" s="13">
        <v>1</v>
      </c>
      <c r="J103" s="15" t="s">
        <v>1400</v>
      </c>
      <c r="K103" s="15" t="s">
        <v>2706</v>
      </c>
      <c r="L103" s="16"/>
      <c r="M103" s="16"/>
      <c r="N103" s="16"/>
      <c r="O103" s="16">
        <v>11618.604500000001</v>
      </c>
      <c r="P103" s="16">
        <v>4833.1725000000006</v>
      </c>
      <c r="Q103" s="16">
        <f>SUM(Tabela1[[#This Row],[201805]:[201807]])</f>
        <v>0</v>
      </c>
      <c r="R103" s="16">
        <f>SUM(Tabela1[[#This Row],[201905]:[201906]])</f>
        <v>16451.777000000002</v>
      </c>
      <c r="S103" s="16">
        <v>100000</v>
      </c>
      <c r="T103" s="16">
        <f>Tabela1[[#This Row],[Total 2019]]-Tabela1[[#This Row],[Total 2018]]</f>
        <v>16451.777000000002</v>
      </c>
      <c r="U103" s="40">
        <f>Tabela1[[#This Row],[Total 2019]]/Tabela1[[#This Row],[Meta]]</f>
        <v>0.16451777000000001</v>
      </c>
      <c r="V103" s="17">
        <f>IFERROR(Tabela1[[#This Row],[Total 2019]]/Tabela1[[#This Row],[Total 2018]]-1,0)</f>
        <v>0</v>
      </c>
      <c r="W10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3" s="48"/>
      <c r="Y103" s="19"/>
      <c r="Z103" s="68"/>
    </row>
    <row r="104" spans="3:26" x14ac:dyDescent="0.35">
      <c r="C104" s="11" t="s">
        <v>2703</v>
      </c>
      <c r="D104" s="12" t="s">
        <v>2698</v>
      </c>
      <c r="E104" s="12">
        <v>96</v>
      </c>
      <c r="F104" s="13" t="s">
        <v>1543</v>
      </c>
      <c r="G104" s="14">
        <v>2</v>
      </c>
      <c r="H104" s="14" t="s">
        <v>1372</v>
      </c>
      <c r="I104" s="13">
        <v>20</v>
      </c>
      <c r="J104" s="15" t="s">
        <v>1419</v>
      </c>
      <c r="K104" s="15" t="s">
        <v>2708</v>
      </c>
      <c r="L104" s="16">
        <v>3415.2594999999997</v>
      </c>
      <c r="M104" s="16">
        <v>1798.7394999999997</v>
      </c>
      <c r="N104" s="16"/>
      <c r="O104" s="16"/>
      <c r="P104" s="16"/>
      <c r="Q104" s="16">
        <f>SUM(Tabela1[[#This Row],[201805]:[201807]])</f>
        <v>5213.9989999999998</v>
      </c>
      <c r="R104" s="16">
        <f>SUM(Tabela1[[#This Row],[201905]:[201906]])</f>
        <v>0</v>
      </c>
      <c r="S104" s="16">
        <v>100000</v>
      </c>
      <c r="T104" s="16">
        <f>Tabela1[[#This Row],[Total 2019]]-Tabela1[[#This Row],[Total 2018]]</f>
        <v>-5213.9989999999998</v>
      </c>
      <c r="U104" s="40">
        <f>Tabela1[[#This Row],[Total 2019]]/Tabela1[[#This Row],[Meta]]</f>
        <v>0</v>
      </c>
      <c r="V104" s="17">
        <f>IFERROR(Tabela1[[#This Row],[Total 2019]]/Tabela1[[#This Row],[Total 2018]]-1,0)</f>
        <v>-1</v>
      </c>
      <c r="W10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04" s="48"/>
      <c r="Y104" s="19"/>
      <c r="Z104" s="68"/>
    </row>
    <row r="105" spans="3:26" x14ac:dyDescent="0.35">
      <c r="C105" s="11" t="s">
        <v>2703</v>
      </c>
      <c r="D105" s="12" t="s">
        <v>2700</v>
      </c>
      <c r="E105" s="12">
        <v>97</v>
      </c>
      <c r="F105" s="13" t="s">
        <v>1544</v>
      </c>
      <c r="G105" s="14">
        <v>2</v>
      </c>
      <c r="H105" s="14" t="s">
        <v>1371</v>
      </c>
      <c r="I105" s="13">
        <v>12</v>
      </c>
      <c r="J105" s="15" t="s">
        <v>1411</v>
      </c>
      <c r="K105" s="15" t="s">
        <v>2707</v>
      </c>
      <c r="L105" s="16">
        <v>1152.0744999999999</v>
      </c>
      <c r="M105" s="16">
        <v>1223.7804999999998</v>
      </c>
      <c r="N105" s="16">
        <v>807.45249999999987</v>
      </c>
      <c r="O105" s="16"/>
      <c r="P105" s="16"/>
      <c r="Q105" s="16">
        <f>SUM(Tabela1[[#This Row],[201805]:[201807]])</f>
        <v>3183.3074999999994</v>
      </c>
      <c r="R105" s="16">
        <f>SUM(Tabela1[[#This Row],[201905]:[201906]])</f>
        <v>0</v>
      </c>
      <c r="S105" s="16">
        <v>100000</v>
      </c>
      <c r="T105" s="16">
        <f>Tabela1[[#This Row],[Total 2019]]-Tabela1[[#This Row],[Total 2018]]</f>
        <v>-3183.3074999999994</v>
      </c>
      <c r="U105" s="40">
        <f>Tabela1[[#This Row],[Total 2019]]/Tabela1[[#This Row],[Meta]]</f>
        <v>0</v>
      </c>
      <c r="V105" s="17">
        <f>IFERROR(Tabela1[[#This Row],[Total 2019]]/Tabela1[[#This Row],[Total 2018]]-1,0)</f>
        <v>-1</v>
      </c>
      <c r="W10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05" s="48"/>
      <c r="Y105" s="19"/>
      <c r="Z105" s="68"/>
    </row>
    <row r="106" spans="3:26" x14ac:dyDescent="0.35">
      <c r="C106" s="11" t="s">
        <v>2703</v>
      </c>
      <c r="D106" s="12" t="s">
        <v>2700</v>
      </c>
      <c r="E106" s="12">
        <v>98</v>
      </c>
      <c r="F106" s="13" t="s">
        <v>1545</v>
      </c>
      <c r="G106" s="14">
        <v>2</v>
      </c>
      <c r="H106" s="14" t="s">
        <v>1370</v>
      </c>
      <c r="I106" s="13">
        <v>29</v>
      </c>
      <c r="J106" s="15" t="s">
        <v>1428</v>
      </c>
      <c r="K106" s="15" t="s">
        <v>2706</v>
      </c>
      <c r="L106" s="16">
        <v>1553.8865000000001</v>
      </c>
      <c r="M106" s="16">
        <v>1566.2269999999999</v>
      </c>
      <c r="N106" s="16"/>
      <c r="O106" s="16"/>
      <c r="P106" s="16"/>
      <c r="Q106" s="16">
        <f>SUM(Tabela1[[#This Row],[201805]:[201807]])</f>
        <v>3120.1134999999999</v>
      </c>
      <c r="R106" s="16">
        <f>SUM(Tabela1[[#This Row],[201905]:[201906]])</f>
        <v>0</v>
      </c>
      <c r="S106" s="16">
        <v>100000</v>
      </c>
      <c r="T106" s="16">
        <f>Tabela1[[#This Row],[Total 2019]]-Tabela1[[#This Row],[Total 2018]]</f>
        <v>-3120.1134999999999</v>
      </c>
      <c r="U106" s="40">
        <f>Tabela1[[#This Row],[Total 2019]]/Tabela1[[#This Row],[Meta]]</f>
        <v>0</v>
      </c>
      <c r="V106" s="17">
        <f>IFERROR(Tabela1[[#This Row],[Total 2019]]/Tabela1[[#This Row],[Total 2018]]-1,0)</f>
        <v>-1</v>
      </c>
      <c r="W10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06" s="48"/>
      <c r="Y106" s="19"/>
      <c r="Z106" s="68"/>
    </row>
    <row r="107" spans="3:26" x14ac:dyDescent="0.35">
      <c r="C107" s="11" t="s">
        <v>2703</v>
      </c>
      <c r="D107" s="12" t="s">
        <v>2699</v>
      </c>
      <c r="E107" s="12">
        <v>99</v>
      </c>
      <c r="F107" s="13" t="s">
        <v>1546</v>
      </c>
      <c r="G107" s="14">
        <v>2</v>
      </c>
      <c r="H107" s="14" t="s">
        <v>1370</v>
      </c>
      <c r="I107" s="13">
        <v>8</v>
      </c>
      <c r="J107" s="15" t="s">
        <v>1407</v>
      </c>
      <c r="K107" s="15" t="s">
        <v>2706</v>
      </c>
      <c r="L107" s="16">
        <v>4869.7284999999993</v>
      </c>
      <c r="M107" s="16">
        <v>1917.9169999999999</v>
      </c>
      <c r="N107" s="16"/>
      <c r="O107" s="16"/>
      <c r="P107" s="16"/>
      <c r="Q107" s="16">
        <f>SUM(Tabela1[[#This Row],[201805]:[201807]])</f>
        <v>6787.6454999999987</v>
      </c>
      <c r="R107" s="16">
        <f>SUM(Tabela1[[#This Row],[201905]:[201906]])</f>
        <v>0</v>
      </c>
      <c r="S107" s="16">
        <v>100000</v>
      </c>
      <c r="T107" s="16">
        <f>Tabela1[[#This Row],[Total 2019]]-Tabela1[[#This Row],[Total 2018]]</f>
        <v>-6787.6454999999987</v>
      </c>
      <c r="U107" s="40">
        <f>Tabela1[[#This Row],[Total 2019]]/Tabela1[[#This Row],[Meta]]</f>
        <v>0</v>
      </c>
      <c r="V107" s="17">
        <f>IFERROR(Tabela1[[#This Row],[Total 2019]]/Tabela1[[#This Row],[Total 2018]]-1,0)</f>
        <v>-1</v>
      </c>
      <c r="W10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07" s="48"/>
      <c r="Y107" s="19"/>
      <c r="Z107" s="68"/>
    </row>
    <row r="108" spans="3:26" x14ac:dyDescent="0.35">
      <c r="C108" s="11" t="s">
        <v>2704</v>
      </c>
      <c r="D108" s="12" t="s">
        <v>2698</v>
      </c>
      <c r="E108" s="12">
        <v>100</v>
      </c>
      <c r="F108" s="13" t="s">
        <v>1547</v>
      </c>
      <c r="G108" s="14">
        <v>1</v>
      </c>
      <c r="H108" s="14" t="s">
        <v>1370</v>
      </c>
      <c r="I108" s="13">
        <v>8</v>
      </c>
      <c r="J108" s="15" t="s">
        <v>1407</v>
      </c>
      <c r="K108" s="15" t="s">
        <v>2706</v>
      </c>
      <c r="L108" s="16">
        <v>2131.7334999999998</v>
      </c>
      <c r="M108" s="16">
        <v>2148.9854999999998</v>
      </c>
      <c r="N108" s="16"/>
      <c r="O108" s="16">
        <v>1985.9084999999998</v>
      </c>
      <c r="P108" s="16">
        <v>2089.1165000000001</v>
      </c>
      <c r="Q108" s="16">
        <f>SUM(Tabela1[[#This Row],[201805]:[201807]])</f>
        <v>4280.7189999999991</v>
      </c>
      <c r="R108" s="16">
        <f>SUM(Tabela1[[#This Row],[201905]:[201906]])</f>
        <v>4075.0249999999996</v>
      </c>
      <c r="S108" s="16">
        <v>100000</v>
      </c>
      <c r="T108" s="16">
        <f>Tabela1[[#This Row],[Total 2019]]-Tabela1[[#This Row],[Total 2018]]</f>
        <v>-205.69399999999951</v>
      </c>
      <c r="U108" s="40">
        <f>Tabela1[[#This Row],[Total 2019]]/Tabela1[[#This Row],[Meta]]</f>
        <v>4.0750249999999995E-2</v>
      </c>
      <c r="V108" s="17">
        <f>IFERROR(Tabela1[[#This Row],[Total 2019]]/Tabela1[[#This Row],[Total 2018]]-1,0)</f>
        <v>-4.8051273629500013E-2</v>
      </c>
      <c r="W10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108" s="48"/>
      <c r="Y108" s="19"/>
      <c r="Z108" s="68"/>
    </row>
    <row r="109" spans="3:26" x14ac:dyDescent="0.35">
      <c r="C109" s="11" t="s">
        <v>2702</v>
      </c>
      <c r="D109" s="12" t="s">
        <v>2700</v>
      </c>
      <c r="E109" s="12">
        <v>101</v>
      </c>
      <c r="F109" s="13" t="s">
        <v>1548</v>
      </c>
      <c r="G109" s="14">
        <v>2</v>
      </c>
      <c r="H109" s="14" t="s">
        <v>1372</v>
      </c>
      <c r="I109" s="13">
        <v>18</v>
      </c>
      <c r="J109" s="15" t="s">
        <v>1417</v>
      </c>
      <c r="K109" s="15" t="s">
        <v>2708</v>
      </c>
      <c r="L109" s="16"/>
      <c r="M109" s="16">
        <v>2524.2545</v>
      </c>
      <c r="N109" s="16"/>
      <c r="O109" s="16"/>
      <c r="P109" s="16"/>
      <c r="Q109" s="16">
        <f>SUM(Tabela1[[#This Row],[201805]:[201807]])</f>
        <v>2524.2545</v>
      </c>
      <c r="R109" s="16">
        <f>SUM(Tabela1[[#This Row],[201905]:[201906]])</f>
        <v>0</v>
      </c>
      <c r="S109" s="16">
        <v>100000</v>
      </c>
      <c r="T109" s="16">
        <f>Tabela1[[#This Row],[Total 2019]]-Tabela1[[#This Row],[Total 2018]]</f>
        <v>-2524.2545</v>
      </c>
      <c r="U109" s="40">
        <f>Tabela1[[#This Row],[Total 2019]]/Tabela1[[#This Row],[Meta]]</f>
        <v>0</v>
      </c>
      <c r="V109" s="17">
        <f>IFERROR(Tabela1[[#This Row],[Total 2019]]/Tabela1[[#This Row],[Total 2018]]-1,0)</f>
        <v>-1</v>
      </c>
      <c r="W10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09" s="48"/>
      <c r="Y109" s="19"/>
      <c r="Z109" s="68"/>
    </row>
    <row r="110" spans="3:26" x14ac:dyDescent="0.35">
      <c r="C110" s="11" t="s">
        <v>2703</v>
      </c>
      <c r="D110" s="12" t="s">
        <v>2700</v>
      </c>
      <c r="E110" s="12">
        <v>102</v>
      </c>
      <c r="F110" s="13" t="s">
        <v>1549</v>
      </c>
      <c r="G110" s="14">
        <v>2</v>
      </c>
      <c r="H110" s="14" t="s">
        <v>1371</v>
      </c>
      <c r="I110" s="13">
        <v>7</v>
      </c>
      <c r="J110" s="15" t="s">
        <v>1406</v>
      </c>
      <c r="K110" s="15" t="s">
        <v>2707</v>
      </c>
      <c r="L110" s="16"/>
      <c r="M110" s="16">
        <v>3258.2529999999997</v>
      </c>
      <c r="N110" s="16"/>
      <c r="O110" s="16"/>
      <c r="P110" s="16"/>
      <c r="Q110" s="16">
        <f>SUM(Tabela1[[#This Row],[201805]:[201807]])</f>
        <v>3258.2529999999997</v>
      </c>
      <c r="R110" s="16">
        <f>SUM(Tabela1[[#This Row],[201905]:[201906]])</f>
        <v>0</v>
      </c>
      <c r="S110" s="16">
        <v>100000</v>
      </c>
      <c r="T110" s="16">
        <f>Tabela1[[#This Row],[Total 2019]]-Tabela1[[#This Row],[Total 2018]]</f>
        <v>-3258.2529999999997</v>
      </c>
      <c r="U110" s="40">
        <f>Tabela1[[#This Row],[Total 2019]]/Tabela1[[#This Row],[Meta]]</f>
        <v>0</v>
      </c>
      <c r="V110" s="17">
        <f>IFERROR(Tabela1[[#This Row],[Total 2019]]/Tabela1[[#This Row],[Total 2018]]-1,0)</f>
        <v>-1</v>
      </c>
      <c r="W11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0" s="48"/>
      <c r="Y110" s="19"/>
      <c r="Z110" s="68"/>
    </row>
    <row r="111" spans="3:26" x14ac:dyDescent="0.35">
      <c r="C111" s="11" t="s">
        <v>2702</v>
      </c>
      <c r="D111" s="12" t="s">
        <v>2699</v>
      </c>
      <c r="E111" s="12">
        <v>103</v>
      </c>
      <c r="F111" s="13" t="s">
        <v>1550</v>
      </c>
      <c r="G111" s="14">
        <v>3</v>
      </c>
      <c r="H111" s="14" t="s">
        <v>1370</v>
      </c>
      <c r="I111" s="13">
        <v>15</v>
      </c>
      <c r="J111" s="15" t="s">
        <v>1414</v>
      </c>
      <c r="K111" s="15" t="s">
        <v>2706</v>
      </c>
      <c r="L111" s="16"/>
      <c r="M111" s="16"/>
      <c r="N111" s="16">
        <v>5896.6309999999994</v>
      </c>
      <c r="O111" s="16"/>
      <c r="P111" s="16"/>
      <c r="Q111" s="16">
        <f>SUM(Tabela1[[#This Row],[201805]:[201807]])</f>
        <v>5896.6309999999994</v>
      </c>
      <c r="R111" s="16">
        <f>SUM(Tabela1[[#This Row],[201905]:[201906]])</f>
        <v>0</v>
      </c>
      <c r="S111" s="16">
        <v>100000</v>
      </c>
      <c r="T111" s="16">
        <f>Tabela1[[#This Row],[Total 2019]]-Tabela1[[#This Row],[Total 2018]]</f>
        <v>-5896.6309999999994</v>
      </c>
      <c r="U111" s="40">
        <f>Tabela1[[#This Row],[Total 2019]]/Tabela1[[#This Row],[Meta]]</f>
        <v>0</v>
      </c>
      <c r="V111" s="17">
        <f>IFERROR(Tabela1[[#This Row],[Total 2019]]/Tabela1[[#This Row],[Total 2018]]-1,0)</f>
        <v>-1</v>
      </c>
      <c r="W11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1" s="48"/>
      <c r="Y111" s="19"/>
      <c r="Z111" s="68"/>
    </row>
    <row r="112" spans="3:26" x14ac:dyDescent="0.35">
      <c r="C112" s="11" t="s">
        <v>2702</v>
      </c>
      <c r="D112" s="12" t="s">
        <v>2700</v>
      </c>
      <c r="E112" s="12">
        <v>104</v>
      </c>
      <c r="F112" s="13" t="s">
        <v>1551</v>
      </c>
      <c r="G112" s="14">
        <v>3</v>
      </c>
      <c r="H112" s="14" t="s">
        <v>1370</v>
      </c>
      <c r="I112" s="13">
        <v>3</v>
      </c>
      <c r="J112" s="15" t="s">
        <v>1402</v>
      </c>
      <c r="K112" s="15" t="s">
        <v>2706</v>
      </c>
      <c r="L112" s="16">
        <v>3269.8619999999992</v>
      </c>
      <c r="M112" s="16">
        <v>4187.5809999999992</v>
      </c>
      <c r="N112" s="16"/>
      <c r="O112" s="16">
        <v>4091.7449999999999</v>
      </c>
      <c r="P112" s="16"/>
      <c r="Q112" s="16">
        <f>SUM(Tabela1[[#This Row],[201805]:[201807]])</f>
        <v>7457.4429999999984</v>
      </c>
      <c r="R112" s="16">
        <f>SUM(Tabela1[[#This Row],[201905]:[201906]])</f>
        <v>4091.7449999999999</v>
      </c>
      <c r="S112" s="16">
        <v>100000</v>
      </c>
      <c r="T112" s="16">
        <f>Tabela1[[#This Row],[Total 2019]]-Tabela1[[#This Row],[Total 2018]]</f>
        <v>-3365.6979999999985</v>
      </c>
      <c r="U112" s="40">
        <f>Tabela1[[#This Row],[Total 2019]]/Tabela1[[#This Row],[Meta]]</f>
        <v>4.0917450000000001E-2</v>
      </c>
      <c r="V112" s="17">
        <f>IFERROR(Tabela1[[#This Row],[Total 2019]]/Tabela1[[#This Row],[Total 2018]]-1,0)</f>
        <v>-0.45132064703679253</v>
      </c>
      <c r="W11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112" s="48"/>
      <c r="Y112" s="19"/>
      <c r="Z112" s="68"/>
    </row>
    <row r="113" spans="3:26" x14ac:dyDescent="0.35">
      <c r="C113" s="11" t="s">
        <v>2703</v>
      </c>
      <c r="D113" s="12" t="s">
        <v>2698</v>
      </c>
      <c r="E113" s="12">
        <v>105</v>
      </c>
      <c r="F113" s="13" t="s">
        <v>1552</v>
      </c>
      <c r="G113" s="14">
        <v>3</v>
      </c>
      <c r="H113" s="14" t="s">
        <v>1370</v>
      </c>
      <c r="I113" s="13">
        <v>15</v>
      </c>
      <c r="J113" s="15" t="s">
        <v>1414</v>
      </c>
      <c r="K113" s="15" t="s">
        <v>2706</v>
      </c>
      <c r="L113" s="16">
        <v>5513.9234999999999</v>
      </c>
      <c r="M113" s="16">
        <v>2180.1170000000002</v>
      </c>
      <c r="N113" s="16">
        <v>1445.634</v>
      </c>
      <c r="O113" s="16"/>
      <c r="P113" s="16"/>
      <c r="Q113" s="16">
        <f>SUM(Tabela1[[#This Row],[201805]:[201807]])</f>
        <v>9139.674500000001</v>
      </c>
      <c r="R113" s="16">
        <f>SUM(Tabela1[[#This Row],[201905]:[201906]])</f>
        <v>0</v>
      </c>
      <c r="S113" s="16">
        <v>100000</v>
      </c>
      <c r="T113" s="16">
        <f>Tabela1[[#This Row],[Total 2019]]-Tabela1[[#This Row],[Total 2018]]</f>
        <v>-9139.674500000001</v>
      </c>
      <c r="U113" s="40">
        <f>Tabela1[[#This Row],[Total 2019]]/Tabela1[[#This Row],[Meta]]</f>
        <v>0</v>
      </c>
      <c r="V113" s="17">
        <f>IFERROR(Tabela1[[#This Row],[Total 2019]]/Tabela1[[#This Row],[Total 2018]]-1,0)</f>
        <v>-1</v>
      </c>
      <c r="W11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3" s="48"/>
      <c r="Y113" s="19"/>
      <c r="Z113" s="68"/>
    </row>
    <row r="114" spans="3:26" x14ac:dyDescent="0.35">
      <c r="C114" s="11" t="s">
        <v>2704</v>
      </c>
      <c r="D114" s="12" t="s">
        <v>2700</v>
      </c>
      <c r="E114" s="12">
        <v>106</v>
      </c>
      <c r="F114" s="13" t="s">
        <v>1553</v>
      </c>
      <c r="G114" s="14">
        <v>3</v>
      </c>
      <c r="H114" s="14" t="s">
        <v>1370</v>
      </c>
      <c r="I114" s="13">
        <v>30</v>
      </c>
      <c r="J114" s="15" t="s">
        <v>1429</v>
      </c>
      <c r="K114" s="15" t="s">
        <v>2706</v>
      </c>
      <c r="L114" s="16"/>
      <c r="M114" s="16"/>
      <c r="N114" s="16">
        <v>1957.9784999999997</v>
      </c>
      <c r="O114" s="16"/>
      <c r="P114" s="16"/>
      <c r="Q114" s="16">
        <f>SUM(Tabela1[[#This Row],[201805]:[201807]])</f>
        <v>1957.9784999999997</v>
      </c>
      <c r="R114" s="16">
        <f>SUM(Tabela1[[#This Row],[201905]:[201906]])</f>
        <v>0</v>
      </c>
      <c r="S114" s="16">
        <v>100000</v>
      </c>
      <c r="T114" s="16">
        <f>Tabela1[[#This Row],[Total 2019]]-Tabela1[[#This Row],[Total 2018]]</f>
        <v>-1957.9784999999997</v>
      </c>
      <c r="U114" s="40">
        <f>Tabela1[[#This Row],[Total 2019]]/Tabela1[[#This Row],[Meta]]</f>
        <v>0</v>
      </c>
      <c r="V114" s="17">
        <f>IFERROR(Tabela1[[#This Row],[Total 2019]]/Tabela1[[#This Row],[Total 2018]]-1,0)</f>
        <v>-1</v>
      </c>
      <c r="W11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4" s="48"/>
      <c r="Y114" s="19"/>
      <c r="Z114" s="68"/>
    </row>
    <row r="115" spans="3:26" x14ac:dyDescent="0.35">
      <c r="C115" s="11" t="s">
        <v>2702</v>
      </c>
      <c r="D115" s="12" t="s">
        <v>2698</v>
      </c>
      <c r="E115" s="12">
        <v>107</v>
      </c>
      <c r="F115" s="13" t="s">
        <v>1554</v>
      </c>
      <c r="G115" s="14">
        <v>1</v>
      </c>
      <c r="H115" s="14" t="s">
        <v>1370</v>
      </c>
      <c r="I115" s="13">
        <v>1</v>
      </c>
      <c r="J115" s="15" t="s">
        <v>1400</v>
      </c>
      <c r="K115" s="15" t="s">
        <v>2706</v>
      </c>
      <c r="L115" s="16">
        <v>1228.8724999999999</v>
      </c>
      <c r="M115" s="16">
        <v>3873.2069999999999</v>
      </c>
      <c r="N115" s="16"/>
      <c r="O115" s="16">
        <v>5001.0659999999998</v>
      </c>
      <c r="P115" s="16">
        <v>2906.6770000000006</v>
      </c>
      <c r="Q115" s="16">
        <f>SUM(Tabela1[[#This Row],[201805]:[201807]])</f>
        <v>5102.0794999999998</v>
      </c>
      <c r="R115" s="16">
        <f>SUM(Tabela1[[#This Row],[201905]:[201906]])</f>
        <v>7907.7430000000004</v>
      </c>
      <c r="S115" s="16">
        <v>100000</v>
      </c>
      <c r="T115" s="16">
        <f>Tabela1[[#This Row],[Total 2019]]-Tabela1[[#This Row],[Total 2018]]</f>
        <v>2805.6635000000006</v>
      </c>
      <c r="U115" s="40">
        <f>Tabela1[[#This Row],[Total 2019]]/Tabela1[[#This Row],[Meta]]</f>
        <v>7.9077430000000004E-2</v>
      </c>
      <c r="V115" s="17">
        <f>IFERROR(Tabela1[[#This Row],[Total 2019]]/Tabela1[[#This Row],[Total 2018]]-1,0)</f>
        <v>0.54990587661364354</v>
      </c>
      <c r="W11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115" s="48"/>
      <c r="Y115" s="19"/>
      <c r="Z115" s="68"/>
    </row>
    <row r="116" spans="3:26" x14ac:dyDescent="0.35">
      <c r="C116" s="11" t="s">
        <v>2704</v>
      </c>
      <c r="D116" s="12" t="s">
        <v>2700</v>
      </c>
      <c r="E116" s="12">
        <v>108</v>
      </c>
      <c r="F116" s="13" t="s">
        <v>1555</v>
      </c>
      <c r="G116" s="14">
        <v>1</v>
      </c>
      <c r="H116" s="14" t="s">
        <v>1372</v>
      </c>
      <c r="I116" s="13">
        <v>21</v>
      </c>
      <c r="J116" s="15" t="s">
        <v>1420</v>
      </c>
      <c r="K116" s="15" t="s">
        <v>2708</v>
      </c>
      <c r="L116" s="16"/>
      <c r="M116" s="16">
        <v>8232.2440000000006</v>
      </c>
      <c r="N116" s="16"/>
      <c r="O116" s="16">
        <v>4493.0535</v>
      </c>
      <c r="P116" s="16"/>
      <c r="Q116" s="16">
        <f>SUM(Tabela1[[#This Row],[201805]:[201807]])</f>
        <v>8232.2440000000006</v>
      </c>
      <c r="R116" s="16">
        <f>SUM(Tabela1[[#This Row],[201905]:[201906]])</f>
        <v>4493.0535</v>
      </c>
      <c r="S116" s="16">
        <v>100000</v>
      </c>
      <c r="T116" s="16">
        <f>Tabela1[[#This Row],[Total 2019]]-Tabela1[[#This Row],[Total 2018]]</f>
        <v>-3739.1905000000006</v>
      </c>
      <c r="U116" s="40">
        <f>Tabela1[[#This Row],[Total 2019]]/Tabela1[[#This Row],[Meta]]</f>
        <v>4.4930535000000001E-2</v>
      </c>
      <c r="V116" s="17">
        <f>IFERROR(Tabela1[[#This Row],[Total 2019]]/Tabela1[[#This Row],[Total 2018]]-1,0)</f>
        <v>-0.45421278815350963</v>
      </c>
      <c r="W11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116" s="48"/>
      <c r="Y116" s="19"/>
      <c r="Z116" s="68"/>
    </row>
    <row r="117" spans="3:26" x14ac:dyDescent="0.35">
      <c r="C117" s="11" t="s">
        <v>2702</v>
      </c>
      <c r="D117" s="12" t="s">
        <v>2699</v>
      </c>
      <c r="E117" s="12">
        <v>109</v>
      </c>
      <c r="F117" s="13" t="s">
        <v>1556</v>
      </c>
      <c r="G117" s="14">
        <v>1</v>
      </c>
      <c r="H117" s="14" t="s">
        <v>1370</v>
      </c>
      <c r="I117" s="13">
        <v>11</v>
      </c>
      <c r="J117" s="15" t="s">
        <v>1410</v>
      </c>
      <c r="K117" s="15" t="s">
        <v>2706</v>
      </c>
      <c r="L117" s="16">
        <v>12264.737500000001</v>
      </c>
      <c r="M117" s="16">
        <v>22960.673499999994</v>
      </c>
      <c r="N117" s="16">
        <v>14164.281499999999</v>
      </c>
      <c r="O117" s="16">
        <v>27459.113499999996</v>
      </c>
      <c r="P117" s="16">
        <v>9771.4529999999995</v>
      </c>
      <c r="Q117" s="16">
        <f>SUM(Tabela1[[#This Row],[201805]:[201807]])</f>
        <v>49389.69249999999</v>
      </c>
      <c r="R117" s="16">
        <f>SUM(Tabela1[[#This Row],[201905]:[201906]])</f>
        <v>37230.566499999994</v>
      </c>
      <c r="S117" s="16">
        <v>100000</v>
      </c>
      <c r="T117" s="16">
        <f>Tabela1[[#This Row],[Total 2019]]-Tabela1[[#This Row],[Total 2018]]</f>
        <v>-12159.125999999997</v>
      </c>
      <c r="U117" s="40">
        <f>Tabela1[[#This Row],[Total 2019]]/Tabela1[[#This Row],[Meta]]</f>
        <v>0.37230566499999995</v>
      </c>
      <c r="V117" s="17">
        <f>IFERROR(Tabela1[[#This Row],[Total 2019]]/Tabela1[[#This Row],[Total 2018]]-1,0)</f>
        <v>-0.24618752181945658</v>
      </c>
      <c r="W11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117" s="48"/>
      <c r="Y117" s="19"/>
      <c r="Z117" s="68"/>
    </row>
    <row r="118" spans="3:26" x14ac:dyDescent="0.35">
      <c r="C118" s="11" t="s">
        <v>2703</v>
      </c>
      <c r="D118" s="12" t="s">
        <v>2699</v>
      </c>
      <c r="E118" s="12">
        <v>110</v>
      </c>
      <c r="F118" s="13" t="s">
        <v>1557</v>
      </c>
      <c r="G118" s="14">
        <v>3</v>
      </c>
      <c r="H118" s="14" t="s">
        <v>1370</v>
      </c>
      <c r="I118" s="13">
        <v>30</v>
      </c>
      <c r="J118" s="15" t="s">
        <v>1429</v>
      </c>
      <c r="K118" s="15" t="s">
        <v>2706</v>
      </c>
      <c r="L118" s="16"/>
      <c r="M118" s="16">
        <v>7141.5964999999987</v>
      </c>
      <c r="N118" s="16">
        <v>7581.4465</v>
      </c>
      <c r="O118" s="16">
        <v>16055.474999999999</v>
      </c>
      <c r="P118" s="16"/>
      <c r="Q118" s="16">
        <f>SUM(Tabela1[[#This Row],[201805]:[201807]])</f>
        <v>14723.042999999998</v>
      </c>
      <c r="R118" s="16">
        <f>SUM(Tabela1[[#This Row],[201905]:[201906]])</f>
        <v>16055.474999999999</v>
      </c>
      <c r="S118" s="16">
        <v>100000</v>
      </c>
      <c r="T118" s="16">
        <f>Tabela1[[#This Row],[Total 2019]]-Tabela1[[#This Row],[Total 2018]]</f>
        <v>1332.4320000000007</v>
      </c>
      <c r="U118" s="40">
        <f>Tabela1[[#This Row],[Total 2019]]/Tabela1[[#This Row],[Meta]]</f>
        <v>0.16055475</v>
      </c>
      <c r="V118" s="17">
        <f>IFERROR(Tabela1[[#This Row],[Total 2019]]/Tabela1[[#This Row],[Total 2018]]-1,0)</f>
        <v>9.049976964680484E-2</v>
      </c>
      <c r="W11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118" s="48"/>
      <c r="Y118" s="19"/>
      <c r="Z118" s="68"/>
    </row>
    <row r="119" spans="3:26" x14ac:dyDescent="0.35">
      <c r="C119" s="11" t="s">
        <v>2703</v>
      </c>
      <c r="D119" s="12" t="s">
        <v>2700</v>
      </c>
      <c r="E119" s="12">
        <v>111</v>
      </c>
      <c r="F119" s="13" t="s">
        <v>1558</v>
      </c>
      <c r="G119" s="14">
        <v>2</v>
      </c>
      <c r="H119" s="14" t="s">
        <v>1372</v>
      </c>
      <c r="I119" s="13">
        <v>25</v>
      </c>
      <c r="J119" s="15" t="s">
        <v>1424</v>
      </c>
      <c r="K119" s="15" t="s">
        <v>2708</v>
      </c>
      <c r="L119" s="16">
        <v>2104.953</v>
      </c>
      <c r="M119" s="16">
        <v>4753.2394999999997</v>
      </c>
      <c r="N119" s="16">
        <v>2141.6895</v>
      </c>
      <c r="O119" s="16"/>
      <c r="P119" s="16"/>
      <c r="Q119" s="16">
        <f>SUM(Tabela1[[#This Row],[201805]:[201807]])</f>
        <v>8999.8819999999996</v>
      </c>
      <c r="R119" s="16">
        <f>SUM(Tabela1[[#This Row],[201905]:[201906]])</f>
        <v>0</v>
      </c>
      <c r="S119" s="16">
        <v>100000</v>
      </c>
      <c r="T119" s="16">
        <f>Tabela1[[#This Row],[Total 2019]]-Tabela1[[#This Row],[Total 2018]]</f>
        <v>-8999.8819999999996</v>
      </c>
      <c r="U119" s="40">
        <f>Tabela1[[#This Row],[Total 2019]]/Tabela1[[#This Row],[Meta]]</f>
        <v>0</v>
      </c>
      <c r="V119" s="17">
        <f>IFERROR(Tabela1[[#This Row],[Total 2019]]/Tabela1[[#This Row],[Total 2018]]-1,0)</f>
        <v>-1</v>
      </c>
      <c r="W11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9" s="48"/>
      <c r="Y119" s="19"/>
      <c r="Z119" s="68"/>
    </row>
    <row r="120" spans="3:26" x14ac:dyDescent="0.35">
      <c r="C120" s="11" t="s">
        <v>2703</v>
      </c>
      <c r="D120" s="12" t="s">
        <v>2698</v>
      </c>
      <c r="E120" s="12">
        <v>112</v>
      </c>
      <c r="F120" s="13" t="s">
        <v>1559</v>
      </c>
      <c r="G120" s="14">
        <v>1</v>
      </c>
      <c r="H120" s="14" t="s">
        <v>1370</v>
      </c>
      <c r="I120" s="13">
        <v>30</v>
      </c>
      <c r="J120" s="15" t="s">
        <v>1429</v>
      </c>
      <c r="K120" s="15" t="s">
        <v>2706</v>
      </c>
      <c r="L120" s="16"/>
      <c r="M120" s="16"/>
      <c r="N120" s="16"/>
      <c r="O120" s="16">
        <v>3829.2125000000001</v>
      </c>
      <c r="P120" s="16"/>
      <c r="Q120" s="16">
        <f>SUM(Tabela1[[#This Row],[201805]:[201807]])</f>
        <v>0</v>
      </c>
      <c r="R120" s="16">
        <f>SUM(Tabela1[[#This Row],[201905]:[201906]])</f>
        <v>3829.2125000000001</v>
      </c>
      <c r="S120" s="16">
        <v>100000</v>
      </c>
      <c r="T120" s="16">
        <f>Tabela1[[#This Row],[Total 2019]]-Tabela1[[#This Row],[Total 2018]]</f>
        <v>3829.2125000000001</v>
      </c>
      <c r="U120" s="40">
        <f>Tabela1[[#This Row],[Total 2019]]/Tabela1[[#This Row],[Meta]]</f>
        <v>3.8292125000000003E-2</v>
      </c>
      <c r="V120" s="17">
        <f>IFERROR(Tabela1[[#This Row],[Total 2019]]/Tabela1[[#This Row],[Total 2018]]-1,0)</f>
        <v>0</v>
      </c>
      <c r="W12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20" s="48"/>
      <c r="Y120" s="19"/>
      <c r="Z120" s="68"/>
    </row>
    <row r="121" spans="3:26" x14ac:dyDescent="0.35">
      <c r="C121" s="11" t="s">
        <v>2702</v>
      </c>
      <c r="D121" s="12" t="s">
        <v>2698</v>
      </c>
      <c r="E121" s="12">
        <v>113</v>
      </c>
      <c r="F121" s="13" t="s">
        <v>1560</v>
      </c>
      <c r="G121" s="14">
        <v>3</v>
      </c>
      <c r="H121" s="14" t="s">
        <v>1372</v>
      </c>
      <c r="I121" s="13">
        <v>25</v>
      </c>
      <c r="J121" s="15" t="s">
        <v>1424</v>
      </c>
      <c r="K121" s="15" t="s">
        <v>2708</v>
      </c>
      <c r="L121" s="16"/>
      <c r="M121" s="16">
        <v>2392.4799999999996</v>
      </c>
      <c r="N121" s="16">
        <v>1727.2710000000002</v>
      </c>
      <c r="O121" s="16"/>
      <c r="P121" s="16"/>
      <c r="Q121" s="16">
        <f>SUM(Tabela1[[#This Row],[201805]:[201807]])</f>
        <v>4119.7510000000002</v>
      </c>
      <c r="R121" s="16">
        <f>SUM(Tabela1[[#This Row],[201905]:[201906]])</f>
        <v>0</v>
      </c>
      <c r="S121" s="16">
        <v>100000</v>
      </c>
      <c r="T121" s="16">
        <f>Tabela1[[#This Row],[Total 2019]]-Tabela1[[#This Row],[Total 2018]]</f>
        <v>-4119.7510000000002</v>
      </c>
      <c r="U121" s="40">
        <f>Tabela1[[#This Row],[Total 2019]]/Tabela1[[#This Row],[Meta]]</f>
        <v>0</v>
      </c>
      <c r="V121" s="17">
        <f>IFERROR(Tabela1[[#This Row],[Total 2019]]/Tabela1[[#This Row],[Total 2018]]-1,0)</f>
        <v>-1</v>
      </c>
      <c r="W12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1" s="48"/>
      <c r="Y121" s="19"/>
      <c r="Z121" s="68"/>
    </row>
    <row r="122" spans="3:26" x14ac:dyDescent="0.35">
      <c r="C122" s="11" t="s">
        <v>2703</v>
      </c>
      <c r="D122" s="12" t="s">
        <v>2699</v>
      </c>
      <c r="E122" s="12">
        <v>114</v>
      </c>
      <c r="F122" s="13" t="s">
        <v>1561</v>
      </c>
      <c r="G122" s="14">
        <v>1</v>
      </c>
      <c r="H122" s="14" t="s">
        <v>1371</v>
      </c>
      <c r="I122" s="13">
        <v>31</v>
      </c>
      <c r="J122" s="15" t="s">
        <v>1430</v>
      </c>
      <c r="K122" s="15" t="s">
        <v>2707</v>
      </c>
      <c r="L122" s="16"/>
      <c r="M122" s="16"/>
      <c r="N122" s="16">
        <v>6079.2304999999997</v>
      </c>
      <c r="O122" s="16">
        <v>7264.9064999999991</v>
      </c>
      <c r="P122" s="16"/>
      <c r="Q122" s="16">
        <f>SUM(Tabela1[[#This Row],[201805]:[201807]])</f>
        <v>6079.2304999999997</v>
      </c>
      <c r="R122" s="16">
        <f>SUM(Tabela1[[#This Row],[201905]:[201906]])</f>
        <v>7264.9064999999991</v>
      </c>
      <c r="S122" s="16">
        <v>100000</v>
      </c>
      <c r="T122" s="16">
        <f>Tabela1[[#This Row],[Total 2019]]-Tabela1[[#This Row],[Total 2018]]</f>
        <v>1185.6759999999995</v>
      </c>
      <c r="U122" s="40">
        <f>Tabela1[[#This Row],[Total 2019]]/Tabela1[[#This Row],[Meta]]</f>
        <v>7.2649064999999985E-2</v>
      </c>
      <c r="V122" s="17">
        <f>IFERROR(Tabela1[[#This Row],[Total 2019]]/Tabela1[[#This Row],[Total 2018]]-1,0)</f>
        <v>0.19503718439364981</v>
      </c>
      <c r="W12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122" s="48"/>
      <c r="Y122" s="19"/>
      <c r="Z122" s="68"/>
    </row>
    <row r="123" spans="3:26" x14ac:dyDescent="0.35">
      <c r="C123" s="11" t="s">
        <v>2702</v>
      </c>
      <c r="D123" s="12" t="s">
        <v>2699</v>
      </c>
      <c r="E123" s="12">
        <v>115</v>
      </c>
      <c r="F123" s="13" t="s">
        <v>1562</v>
      </c>
      <c r="G123" s="14">
        <v>3</v>
      </c>
      <c r="H123" s="14" t="s">
        <v>1372</v>
      </c>
      <c r="I123" s="13">
        <v>21</v>
      </c>
      <c r="J123" s="15" t="s">
        <v>1420</v>
      </c>
      <c r="K123" s="15" t="s">
        <v>2708</v>
      </c>
      <c r="L123" s="16"/>
      <c r="M123" s="16">
        <v>2355.5250000000001</v>
      </c>
      <c r="N123" s="16"/>
      <c r="O123" s="16"/>
      <c r="P123" s="16"/>
      <c r="Q123" s="16">
        <f>SUM(Tabela1[[#This Row],[201805]:[201807]])</f>
        <v>2355.5250000000001</v>
      </c>
      <c r="R123" s="16">
        <f>SUM(Tabela1[[#This Row],[201905]:[201906]])</f>
        <v>0</v>
      </c>
      <c r="S123" s="16">
        <v>100000</v>
      </c>
      <c r="T123" s="16">
        <f>Tabela1[[#This Row],[Total 2019]]-Tabela1[[#This Row],[Total 2018]]</f>
        <v>-2355.5250000000001</v>
      </c>
      <c r="U123" s="40">
        <f>Tabela1[[#This Row],[Total 2019]]/Tabela1[[#This Row],[Meta]]</f>
        <v>0</v>
      </c>
      <c r="V123" s="17">
        <f>IFERROR(Tabela1[[#This Row],[Total 2019]]/Tabela1[[#This Row],[Total 2018]]-1,0)</f>
        <v>-1</v>
      </c>
      <c r="W12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3" s="48"/>
      <c r="Y123" s="19"/>
      <c r="Z123" s="68"/>
    </row>
    <row r="124" spans="3:26" x14ac:dyDescent="0.35">
      <c r="C124" s="11" t="s">
        <v>2703</v>
      </c>
      <c r="D124" s="12" t="s">
        <v>2698</v>
      </c>
      <c r="E124" s="12">
        <v>116</v>
      </c>
      <c r="F124" s="13" t="s">
        <v>1563</v>
      </c>
      <c r="G124" s="14">
        <v>2</v>
      </c>
      <c r="H124" s="14" t="s">
        <v>1372</v>
      </c>
      <c r="I124" s="13">
        <v>17</v>
      </c>
      <c r="J124" s="15" t="s">
        <v>1416</v>
      </c>
      <c r="K124" s="15" t="s">
        <v>2708</v>
      </c>
      <c r="L124" s="16">
        <v>7065.7769999999991</v>
      </c>
      <c r="M124" s="16">
        <v>5312.4285</v>
      </c>
      <c r="N124" s="16"/>
      <c r="O124" s="16"/>
      <c r="P124" s="16"/>
      <c r="Q124" s="16">
        <f>SUM(Tabela1[[#This Row],[201805]:[201807]])</f>
        <v>12378.2055</v>
      </c>
      <c r="R124" s="16">
        <f>SUM(Tabela1[[#This Row],[201905]:[201906]])</f>
        <v>0</v>
      </c>
      <c r="S124" s="16">
        <v>100000</v>
      </c>
      <c r="T124" s="16">
        <f>Tabela1[[#This Row],[Total 2019]]-Tabela1[[#This Row],[Total 2018]]</f>
        <v>-12378.2055</v>
      </c>
      <c r="U124" s="40">
        <f>Tabela1[[#This Row],[Total 2019]]/Tabela1[[#This Row],[Meta]]</f>
        <v>0</v>
      </c>
      <c r="V124" s="17">
        <f>IFERROR(Tabela1[[#This Row],[Total 2019]]/Tabela1[[#This Row],[Total 2018]]-1,0)</f>
        <v>-1</v>
      </c>
      <c r="W12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4" s="48"/>
      <c r="Y124" s="19"/>
      <c r="Z124" s="68"/>
    </row>
    <row r="125" spans="3:26" x14ac:dyDescent="0.35">
      <c r="C125" s="11" t="s">
        <v>2703</v>
      </c>
      <c r="D125" s="12" t="s">
        <v>2700</v>
      </c>
      <c r="E125" s="12">
        <v>117</v>
      </c>
      <c r="F125" s="13" t="s">
        <v>1564</v>
      </c>
      <c r="G125" s="14">
        <v>3</v>
      </c>
      <c r="H125" s="14" t="s">
        <v>1371</v>
      </c>
      <c r="I125" s="13">
        <v>7</v>
      </c>
      <c r="J125" s="15" t="s">
        <v>1406</v>
      </c>
      <c r="K125" s="15" t="s">
        <v>2707</v>
      </c>
      <c r="L125" s="16">
        <v>3456.5464999999995</v>
      </c>
      <c r="M125" s="16"/>
      <c r="N125" s="16">
        <v>9078.4850000000006</v>
      </c>
      <c r="O125" s="16"/>
      <c r="P125" s="16"/>
      <c r="Q125" s="16">
        <f>SUM(Tabela1[[#This Row],[201805]:[201807]])</f>
        <v>12535.031500000001</v>
      </c>
      <c r="R125" s="16">
        <f>SUM(Tabela1[[#This Row],[201905]:[201906]])</f>
        <v>0</v>
      </c>
      <c r="S125" s="16">
        <v>100000</v>
      </c>
      <c r="T125" s="16">
        <f>Tabela1[[#This Row],[Total 2019]]-Tabela1[[#This Row],[Total 2018]]</f>
        <v>-12535.031500000001</v>
      </c>
      <c r="U125" s="40">
        <f>Tabela1[[#This Row],[Total 2019]]/Tabela1[[#This Row],[Meta]]</f>
        <v>0</v>
      </c>
      <c r="V125" s="17">
        <f>IFERROR(Tabela1[[#This Row],[Total 2019]]/Tabela1[[#This Row],[Total 2018]]-1,0)</f>
        <v>-1</v>
      </c>
      <c r="W12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5" s="48"/>
      <c r="Y125" s="19"/>
      <c r="Z125" s="68"/>
    </row>
    <row r="126" spans="3:26" x14ac:dyDescent="0.35">
      <c r="C126" s="11" t="s">
        <v>2704</v>
      </c>
      <c r="D126" s="12" t="s">
        <v>2700</v>
      </c>
      <c r="E126" s="12">
        <v>118</v>
      </c>
      <c r="F126" s="13" t="s">
        <v>1565</v>
      </c>
      <c r="G126" s="14">
        <v>3</v>
      </c>
      <c r="H126" s="14" t="s">
        <v>1372</v>
      </c>
      <c r="I126" s="13">
        <v>25</v>
      </c>
      <c r="J126" s="15" t="s">
        <v>1424</v>
      </c>
      <c r="K126" s="15" t="s">
        <v>2708</v>
      </c>
      <c r="L126" s="16">
        <v>10985.638499999997</v>
      </c>
      <c r="M126" s="16">
        <v>2903.2950000000001</v>
      </c>
      <c r="N126" s="16"/>
      <c r="O126" s="16">
        <v>2341.6359999999995</v>
      </c>
      <c r="P126" s="16">
        <v>1921.1944999999998</v>
      </c>
      <c r="Q126" s="16">
        <f>SUM(Tabela1[[#This Row],[201805]:[201807]])</f>
        <v>13888.933499999997</v>
      </c>
      <c r="R126" s="16">
        <f>SUM(Tabela1[[#This Row],[201905]:[201906]])</f>
        <v>4262.8304999999991</v>
      </c>
      <c r="S126" s="16">
        <v>100000</v>
      </c>
      <c r="T126" s="16">
        <f>Tabela1[[#This Row],[Total 2019]]-Tabela1[[#This Row],[Total 2018]]</f>
        <v>-9626.1029999999992</v>
      </c>
      <c r="U126" s="40">
        <f>Tabela1[[#This Row],[Total 2019]]/Tabela1[[#This Row],[Meta]]</f>
        <v>4.2628304999999991E-2</v>
      </c>
      <c r="V126" s="17">
        <f>IFERROR(Tabela1[[#This Row],[Total 2019]]/Tabela1[[#This Row],[Total 2018]]-1,0)</f>
        <v>-0.69307718983606625</v>
      </c>
      <c r="W12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126" s="48"/>
      <c r="Y126" s="19"/>
      <c r="Z126" s="68"/>
    </row>
    <row r="127" spans="3:26" x14ac:dyDescent="0.35">
      <c r="C127" s="11" t="s">
        <v>2702</v>
      </c>
      <c r="D127" s="12" t="s">
        <v>2699</v>
      </c>
      <c r="E127" s="12">
        <v>119</v>
      </c>
      <c r="F127" s="13" t="s">
        <v>1566</v>
      </c>
      <c r="G127" s="14">
        <v>1</v>
      </c>
      <c r="H127" s="14" t="s">
        <v>1370</v>
      </c>
      <c r="I127" s="13">
        <v>15</v>
      </c>
      <c r="J127" s="15" t="s">
        <v>1414</v>
      </c>
      <c r="K127" s="15" t="s">
        <v>2706</v>
      </c>
      <c r="L127" s="16"/>
      <c r="M127" s="16"/>
      <c r="N127" s="16">
        <v>5841.4929999999995</v>
      </c>
      <c r="O127" s="16"/>
      <c r="P127" s="16"/>
      <c r="Q127" s="16">
        <f>SUM(Tabela1[[#This Row],[201805]:[201807]])</f>
        <v>5841.4929999999995</v>
      </c>
      <c r="R127" s="16">
        <f>SUM(Tabela1[[#This Row],[201905]:[201906]])</f>
        <v>0</v>
      </c>
      <c r="S127" s="16">
        <v>100000</v>
      </c>
      <c r="T127" s="16">
        <f>Tabela1[[#This Row],[Total 2019]]-Tabela1[[#This Row],[Total 2018]]</f>
        <v>-5841.4929999999995</v>
      </c>
      <c r="U127" s="40">
        <f>Tabela1[[#This Row],[Total 2019]]/Tabela1[[#This Row],[Meta]]</f>
        <v>0</v>
      </c>
      <c r="V127" s="17">
        <f>IFERROR(Tabela1[[#This Row],[Total 2019]]/Tabela1[[#This Row],[Total 2018]]-1,0)</f>
        <v>-1</v>
      </c>
      <c r="W12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7" s="48"/>
      <c r="Y127" s="19"/>
      <c r="Z127" s="68"/>
    </row>
    <row r="128" spans="3:26" x14ac:dyDescent="0.35">
      <c r="C128" s="11" t="s">
        <v>2703</v>
      </c>
      <c r="D128" s="12" t="s">
        <v>2698</v>
      </c>
      <c r="E128" s="12">
        <v>120</v>
      </c>
      <c r="F128" s="13" t="s">
        <v>1567</v>
      </c>
      <c r="G128" s="14">
        <v>1</v>
      </c>
      <c r="H128" s="14" t="s">
        <v>1370</v>
      </c>
      <c r="I128" s="13">
        <v>30</v>
      </c>
      <c r="J128" s="15" t="s">
        <v>1429</v>
      </c>
      <c r="K128" s="15" t="s">
        <v>2706</v>
      </c>
      <c r="L128" s="16"/>
      <c r="M128" s="16">
        <v>4612.0029999999997</v>
      </c>
      <c r="N128" s="16">
        <v>2672.2740000000003</v>
      </c>
      <c r="O128" s="16">
        <v>9064.8524999999991</v>
      </c>
      <c r="P128" s="16"/>
      <c r="Q128" s="16">
        <f>SUM(Tabela1[[#This Row],[201805]:[201807]])</f>
        <v>7284.277</v>
      </c>
      <c r="R128" s="16">
        <f>SUM(Tabela1[[#This Row],[201905]:[201906]])</f>
        <v>9064.8524999999991</v>
      </c>
      <c r="S128" s="16">
        <v>100000</v>
      </c>
      <c r="T128" s="16">
        <f>Tabela1[[#This Row],[Total 2019]]-Tabela1[[#This Row],[Total 2018]]</f>
        <v>1780.575499999999</v>
      </c>
      <c r="U128" s="40">
        <f>Tabela1[[#This Row],[Total 2019]]/Tabela1[[#This Row],[Meta]]</f>
        <v>9.0648524999999994E-2</v>
      </c>
      <c r="V128" s="17">
        <f>IFERROR(Tabela1[[#This Row],[Total 2019]]/Tabela1[[#This Row],[Total 2018]]-1,0)</f>
        <v>0.24444093765242569</v>
      </c>
      <c r="W12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128" s="48"/>
      <c r="Y128" s="19"/>
      <c r="Z128" s="68"/>
    </row>
    <row r="129" spans="3:26" x14ac:dyDescent="0.35">
      <c r="C129" s="11" t="s">
        <v>2703</v>
      </c>
      <c r="D129" s="12" t="s">
        <v>2700</v>
      </c>
      <c r="E129" s="12">
        <v>121</v>
      </c>
      <c r="F129" s="13" t="s">
        <v>1568</v>
      </c>
      <c r="G129" s="14">
        <v>3</v>
      </c>
      <c r="H129" s="14" t="s">
        <v>1372</v>
      </c>
      <c r="I129" s="13">
        <v>22</v>
      </c>
      <c r="J129" s="15" t="s">
        <v>1421</v>
      </c>
      <c r="K129" s="15" t="s">
        <v>2708</v>
      </c>
      <c r="L129" s="16">
        <v>5147.4324999999999</v>
      </c>
      <c r="M129" s="16">
        <v>2133.1394999999998</v>
      </c>
      <c r="N129" s="16"/>
      <c r="O129" s="16"/>
      <c r="P129" s="16"/>
      <c r="Q129" s="16">
        <f>SUM(Tabela1[[#This Row],[201805]:[201807]])</f>
        <v>7280.5720000000001</v>
      </c>
      <c r="R129" s="16">
        <f>SUM(Tabela1[[#This Row],[201905]:[201906]])</f>
        <v>0</v>
      </c>
      <c r="S129" s="16">
        <v>100000</v>
      </c>
      <c r="T129" s="16">
        <f>Tabela1[[#This Row],[Total 2019]]-Tabela1[[#This Row],[Total 2018]]</f>
        <v>-7280.5720000000001</v>
      </c>
      <c r="U129" s="40">
        <f>Tabela1[[#This Row],[Total 2019]]/Tabela1[[#This Row],[Meta]]</f>
        <v>0</v>
      </c>
      <c r="V129" s="17">
        <f>IFERROR(Tabela1[[#This Row],[Total 2019]]/Tabela1[[#This Row],[Total 2018]]-1,0)</f>
        <v>-1</v>
      </c>
      <c r="W12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9" s="48"/>
      <c r="Y129" s="19"/>
      <c r="Z129" s="68"/>
    </row>
    <row r="130" spans="3:26" x14ac:dyDescent="0.35">
      <c r="C130" s="11" t="s">
        <v>2704</v>
      </c>
      <c r="D130" s="12" t="s">
        <v>2699</v>
      </c>
      <c r="E130" s="12">
        <v>122</v>
      </c>
      <c r="F130" s="13" t="s">
        <v>1569</v>
      </c>
      <c r="G130" s="14">
        <v>2</v>
      </c>
      <c r="H130" s="14" t="s">
        <v>1371</v>
      </c>
      <c r="I130" s="13">
        <v>9</v>
      </c>
      <c r="J130" s="15" t="s">
        <v>1408</v>
      </c>
      <c r="K130" s="15" t="s">
        <v>2707</v>
      </c>
      <c r="L130" s="16"/>
      <c r="M130" s="16">
        <v>4012.3440000000005</v>
      </c>
      <c r="N130" s="16"/>
      <c r="O130" s="16"/>
      <c r="P130" s="16"/>
      <c r="Q130" s="16">
        <f>SUM(Tabela1[[#This Row],[201805]:[201807]])</f>
        <v>4012.3440000000005</v>
      </c>
      <c r="R130" s="16">
        <f>SUM(Tabela1[[#This Row],[201905]:[201906]])</f>
        <v>0</v>
      </c>
      <c r="S130" s="16">
        <v>100000</v>
      </c>
      <c r="T130" s="16">
        <f>Tabela1[[#This Row],[Total 2019]]-Tabela1[[#This Row],[Total 2018]]</f>
        <v>-4012.3440000000005</v>
      </c>
      <c r="U130" s="40">
        <f>Tabela1[[#This Row],[Total 2019]]/Tabela1[[#This Row],[Meta]]</f>
        <v>0</v>
      </c>
      <c r="V130" s="17">
        <f>IFERROR(Tabela1[[#This Row],[Total 2019]]/Tabela1[[#This Row],[Total 2018]]-1,0)</f>
        <v>-1</v>
      </c>
      <c r="W13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30" s="48"/>
      <c r="Y130" s="19"/>
      <c r="Z130" s="68"/>
    </row>
    <row r="131" spans="3:26" x14ac:dyDescent="0.35">
      <c r="C131" s="11" t="s">
        <v>2703</v>
      </c>
      <c r="D131" s="12" t="s">
        <v>2699</v>
      </c>
      <c r="E131" s="12">
        <v>123</v>
      </c>
      <c r="F131" s="13" t="s">
        <v>1570</v>
      </c>
      <c r="G131" s="14">
        <v>1</v>
      </c>
      <c r="H131" s="14" t="s">
        <v>1372</v>
      </c>
      <c r="I131" s="13">
        <v>16</v>
      </c>
      <c r="J131" s="15" t="s">
        <v>1415</v>
      </c>
      <c r="K131" s="15" t="s">
        <v>2708</v>
      </c>
      <c r="L131" s="16">
        <v>4020.875</v>
      </c>
      <c r="M131" s="16">
        <v>3181.1509999999998</v>
      </c>
      <c r="N131" s="16"/>
      <c r="O131" s="16"/>
      <c r="P131" s="16"/>
      <c r="Q131" s="16">
        <f>SUM(Tabela1[[#This Row],[201805]:[201807]])</f>
        <v>7202.0259999999998</v>
      </c>
      <c r="R131" s="16">
        <f>SUM(Tabela1[[#This Row],[201905]:[201906]])</f>
        <v>0</v>
      </c>
      <c r="S131" s="16">
        <v>100000</v>
      </c>
      <c r="T131" s="16">
        <f>Tabela1[[#This Row],[Total 2019]]-Tabela1[[#This Row],[Total 2018]]</f>
        <v>-7202.0259999999998</v>
      </c>
      <c r="U131" s="40">
        <f>Tabela1[[#This Row],[Total 2019]]/Tabela1[[#This Row],[Meta]]</f>
        <v>0</v>
      </c>
      <c r="V131" s="17">
        <f>IFERROR(Tabela1[[#This Row],[Total 2019]]/Tabela1[[#This Row],[Total 2018]]-1,0)</f>
        <v>-1</v>
      </c>
      <c r="W13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31" s="48"/>
      <c r="Y131" s="19"/>
      <c r="Z131" s="68"/>
    </row>
    <row r="132" spans="3:26" x14ac:dyDescent="0.35">
      <c r="C132" s="11" t="s">
        <v>2704</v>
      </c>
      <c r="D132" s="12" t="s">
        <v>2700</v>
      </c>
      <c r="E132" s="12">
        <v>124</v>
      </c>
      <c r="F132" s="13" t="s">
        <v>1571</v>
      </c>
      <c r="G132" s="14">
        <v>2</v>
      </c>
      <c r="H132" s="14" t="s">
        <v>1372</v>
      </c>
      <c r="I132" s="13">
        <v>16</v>
      </c>
      <c r="J132" s="15" t="s">
        <v>1415</v>
      </c>
      <c r="K132" s="15" t="s">
        <v>2708</v>
      </c>
      <c r="L132" s="16">
        <v>1033.0964999999999</v>
      </c>
      <c r="M132" s="16">
        <v>593.00900000000001</v>
      </c>
      <c r="N132" s="16"/>
      <c r="O132" s="16"/>
      <c r="P132" s="16"/>
      <c r="Q132" s="16">
        <f>SUM(Tabela1[[#This Row],[201805]:[201807]])</f>
        <v>1626.1054999999999</v>
      </c>
      <c r="R132" s="16">
        <f>SUM(Tabela1[[#This Row],[201905]:[201906]])</f>
        <v>0</v>
      </c>
      <c r="S132" s="16">
        <v>100000</v>
      </c>
      <c r="T132" s="16">
        <f>Tabela1[[#This Row],[Total 2019]]-Tabela1[[#This Row],[Total 2018]]</f>
        <v>-1626.1054999999999</v>
      </c>
      <c r="U132" s="40">
        <f>Tabela1[[#This Row],[Total 2019]]/Tabela1[[#This Row],[Meta]]</f>
        <v>0</v>
      </c>
      <c r="V132" s="17">
        <f>IFERROR(Tabela1[[#This Row],[Total 2019]]/Tabela1[[#This Row],[Total 2018]]-1,0)</f>
        <v>-1</v>
      </c>
      <c r="W13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32" s="48"/>
      <c r="Y132" s="19"/>
      <c r="Z132" s="68"/>
    </row>
    <row r="133" spans="3:26" x14ac:dyDescent="0.35">
      <c r="C133" s="11" t="s">
        <v>2703</v>
      </c>
      <c r="D133" s="12" t="s">
        <v>2698</v>
      </c>
      <c r="E133" s="12">
        <v>125</v>
      </c>
      <c r="F133" s="13" t="s">
        <v>1572</v>
      </c>
      <c r="G133" s="14">
        <v>1</v>
      </c>
      <c r="H133" s="14" t="s">
        <v>1372</v>
      </c>
      <c r="I133" s="13">
        <v>23</v>
      </c>
      <c r="J133" s="15" t="s">
        <v>1422</v>
      </c>
      <c r="K133" s="15" t="s">
        <v>2708</v>
      </c>
      <c r="L133" s="16"/>
      <c r="M133" s="16"/>
      <c r="N133" s="16"/>
      <c r="O133" s="16">
        <v>4334.527</v>
      </c>
      <c r="P133" s="16">
        <v>1657.9589999999998</v>
      </c>
      <c r="Q133" s="16">
        <f>SUM(Tabela1[[#This Row],[201805]:[201807]])</f>
        <v>0</v>
      </c>
      <c r="R133" s="16">
        <f>SUM(Tabela1[[#This Row],[201905]:[201906]])</f>
        <v>5992.4859999999999</v>
      </c>
      <c r="S133" s="16">
        <v>100000</v>
      </c>
      <c r="T133" s="16">
        <f>Tabela1[[#This Row],[Total 2019]]-Tabela1[[#This Row],[Total 2018]]</f>
        <v>5992.4859999999999</v>
      </c>
      <c r="U133" s="40">
        <f>Tabela1[[#This Row],[Total 2019]]/Tabela1[[#This Row],[Meta]]</f>
        <v>5.9924859999999996E-2</v>
      </c>
      <c r="V133" s="17">
        <f>IFERROR(Tabela1[[#This Row],[Total 2019]]/Tabela1[[#This Row],[Total 2018]]-1,0)</f>
        <v>0</v>
      </c>
      <c r="W13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33" s="48"/>
      <c r="Y133" s="19"/>
      <c r="Z133" s="68"/>
    </row>
    <row r="134" spans="3:26" x14ac:dyDescent="0.35">
      <c r="C134" s="11" t="s">
        <v>2703</v>
      </c>
      <c r="D134" s="12" t="s">
        <v>2698</v>
      </c>
      <c r="E134" s="12">
        <v>126</v>
      </c>
      <c r="F134" s="13" t="s">
        <v>1573</v>
      </c>
      <c r="G134" s="14">
        <v>2</v>
      </c>
      <c r="H134" s="14" t="s">
        <v>1372</v>
      </c>
      <c r="I134" s="13">
        <v>13</v>
      </c>
      <c r="J134" s="15" t="s">
        <v>1412</v>
      </c>
      <c r="K134" s="15" t="s">
        <v>2709</v>
      </c>
      <c r="L134" s="16">
        <v>1304.1790000000001</v>
      </c>
      <c r="M134" s="16">
        <v>432.77250000000004</v>
      </c>
      <c r="N134" s="16"/>
      <c r="O134" s="16"/>
      <c r="P134" s="16"/>
      <c r="Q134" s="16">
        <f>SUM(Tabela1[[#This Row],[201805]:[201807]])</f>
        <v>1736.9515000000001</v>
      </c>
      <c r="R134" s="16">
        <f>SUM(Tabela1[[#This Row],[201905]:[201906]])</f>
        <v>0</v>
      </c>
      <c r="S134" s="16">
        <v>100000</v>
      </c>
      <c r="T134" s="16">
        <f>Tabela1[[#This Row],[Total 2019]]-Tabela1[[#This Row],[Total 2018]]</f>
        <v>-1736.9515000000001</v>
      </c>
      <c r="U134" s="40">
        <f>Tabela1[[#This Row],[Total 2019]]/Tabela1[[#This Row],[Meta]]</f>
        <v>0</v>
      </c>
      <c r="V134" s="17">
        <f>IFERROR(Tabela1[[#This Row],[Total 2019]]/Tabela1[[#This Row],[Total 2018]]-1,0)</f>
        <v>-1</v>
      </c>
      <c r="W13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34" s="48"/>
      <c r="Y134" s="19"/>
      <c r="Z134" s="68"/>
    </row>
    <row r="135" spans="3:26" x14ac:dyDescent="0.35">
      <c r="C135" s="11" t="s">
        <v>2702</v>
      </c>
      <c r="D135" s="12" t="s">
        <v>2699</v>
      </c>
      <c r="E135" s="12">
        <v>127</v>
      </c>
      <c r="F135" s="13" t="s">
        <v>1574</v>
      </c>
      <c r="G135" s="14">
        <v>1</v>
      </c>
      <c r="H135" s="14" t="s">
        <v>1371</v>
      </c>
      <c r="I135" s="13">
        <v>7</v>
      </c>
      <c r="J135" s="15" t="s">
        <v>1406</v>
      </c>
      <c r="K135" s="15" t="s">
        <v>2707</v>
      </c>
      <c r="L135" s="16"/>
      <c r="M135" s="16"/>
      <c r="N135" s="16">
        <v>9871.2694999999985</v>
      </c>
      <c r="O135" s="16"/>
      <c r="P135" s="16"/>
      <c r="Q135" s="16">
        <f>SUM(Tabela1[[#This Row],[201805]:[201807]])</f>
        <v>9871.2694999999985</v>
      </c>
      <c r="R135" s="16">
        <f>SUM(Tabela1[[#This Row],[201905]:[201906]])</f>
        <v>0</v>
      </c>
      <c r="S135" s="16">
        <v>100000</v>
      </c>
      <c r="T135" s="16">
        <f>Tabela1[[#This Row],[Total 2019]]-Tabela1[[#This Row],[Total 2018]]</f>
        <v>-9871.2694999999985</v>
      </c>
      <c r="U135" s="40">
        <f>Tabela1[[#This Row],[Total 2019]]/Tabela1[[#This Row],[Meta]]</f>
        <v>0</v>
      </c>
      <c r="V135" s="17">
        <f>IFERROR(Tabela1[[#This Row],[Total 2019]]/Tabela1[[#This Row],[Total 2018]]-1,0)</f>
        <v>-1</v>
      </c>
      <c r="W13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35" s="48"/>
      <c r="Y135" s="19"/>
      <c r="Z135" s="68"/>
    </row>
    <row r="136" spans="3:26" x14ac:dyDescent="0.35">
      <c r="C136" s="11" t="s">
        <v>2703</v>
      </c>
      <c r="D136" s="12" t="s">
        <v>2700</v>
      </c>
      <c r="E136" s="12">
        <v>128</v>
      </c>
      <c r="F136" s="13" t="s">
        <v>1575</v>
      </c>
      <c r="G136" s="14">
        <v>1</v>
      </c>
      <c r="H136" s="14" t="s">
        <v>1371</v>
      </c>
      <c r="I136" s="13">
        <v>9</v>
      </c>
      <c r="J136" s="15" t="s">
        <v>1408</v>
      </c>
      <c r="K136" s="15" t="s">
        <v>2707</v>
      </c>
      <c r="L136" s="16"/>
      <c r="M136" s="16">
        <v>5814.741</v>
      </c>
      <c r="N136" s="16"/>
      <c r="O136" s="16">
        <v>2020.0419999999999</v>
      </c>
      <c r="P136" s="16">
        <v>9599.4174999999977</v>
      </c>
      <c r="Q136" s="16">
        <f>SUM(Tabela1[[#This Row],[201805]:[201807]])</f>
        <v>5814.741</v>
      </c>
      <c r="R136" s="16">
        <f>SUM(Tabela1[[#This Row],[201905]:[201906]])</f>
        <v>11619.459499999997</v>
      </c>
      <c r="S136" s="16">
        <v>100000</v>
      </c>
      <c r="T136" s="16">
        <f>Tabela1[[#This Row],[Total 2019]]-Tabela1[[#This Row],[Total 2018]]</f>
        <v>5804.7184999999972</v>
      </c>
      <c r="U136" s="40">
        <f>Tabela1[[#This Row],[Total 2019]]/Tabela1[[#This Row],[Meta]]</f>
        <v>0.11619459499999997</v>
      </c>
      <c r="V136" s="17">
        <f>IFERROR(Tabela1[[#This Row],[Total 2019]]/Tabela1[[#This Row],[Total 2018]]-1,0)</f>
        <v>0.99827636347001469</v>
      </c>
      <c r="W13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136" s="48"/>
      <c r="Y136" s="19"/>
      <c r="Z136" s="68"/>
    </row>
    <row r="137" spans="3:26" x14ac:dyDescent="0.35">
      <c r="C137" s="11" t="s">
        <v>2703</v>
      </c>
      <c r="D137" s="12" t="s">
        <v>2699</v>
      </c>
      <c r="E137" s="12">
        <v>129</v>
      </c>
      <c r="F137" s="13" t="s">
        <v>1576</v>
      </c>
      <c r="G137" s="14">
        <v>1</v>
      </c>
      <c r="H137" s="14" t="s">
        <v>1372</v>
      </c>
      <c r="I137" s="13">
        <v>16</v>
      </c>
      <c r="J137" s="15" t="s">
        <v>1415</v>
      </c>
      <c r="K137" s="15" t="s">
        <v>2708</v>
      </c>
      <c r="L137" s="16">
        <v>3202.4784999999997</v>
      </c>
      <c r="M137" s="16">
        <v>1661.36</v>
      </c>
      <c r="N137" s="16">
        <v>728.61199999999997</v>
      </c>
      <c r="O137" s="16">
        <v>7118.0554999999986</v>
      </c>
      <c r="P137" s="16">
        <v>3236.4790000000003</v>
      </c>
      <c r="Q137" s="16">
        <f>SUM(Tabela1[[#This Row],[201805]:[201807]])</f>
        <v>5592.4504999999999</v>
      </c>
      <c r="R137" s="16">
        <f>SUM(Tabela1[[#This Row],[201905]:[201906]])</f>
        <v>10354.534499999998</v>
      </c>
      <c r="S137" s="16">
        <v>100000</v>
      </c>
      <c r="T137" s="16">
        <f>Tabela1[[#This Row],[Total 2019]]-Tabela1[[#This Row],[Total 2018]]</f>
        <v>4762.083999999998</v>
      </c>
      <c r="U137" s="40">
        <f>Tabela1[[#This Row],[Total 2019]]/Tabela1[[#This Row],[Meta]]</f>
        <v>0.10354534499999998</v>
      </c>
      <c r="V137" s="17">
        <f>IFERROR(Tabela1[[#This Row],[Total 2019]]/Tabela1[[#This Row],[Total 2018]]-1,0)</f>
        <v>0.85152009838978415</v>
      </c>
      <c r="W13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137" s="48"/>
      <c r="Y137" s="19"/>
      <c r="Z137" s="68"/>
    </row>
    <row r="138" spans="3:26" x14ac:dyDescent="0.35">
      <c r="C138" s="11" t="s">
        <v>2704</v>
      </c>
      <c r="D138" s="12" t="s">
        <v>2700</v>
      </c>
      <c r="E138" s="12">
        <v>130</v>
      </c>
      <c r="F138" s="13" t="s">
        <v>1577</v>
      </c>
      <c r="G138" s="14">
        <v>3</v>
      </c>
      <c r="H138" s="14" t="s">
        <v>1371</v>
      </c>
      <c r="I138" s="13">
        <v>7</v>
      </c>
      <c r="J138" s="15" t="s">
        <v>1406</v>
      </c>
      <c r="K138" s="15" t="s">
        <v>2707</v>
      </c>
      <c r="L138" s="16"/>
      <c r="M138" s="16">
        <v>11298.293</v>
      </c>
      <c r="N138" s="16">
        <v>9689.4394999999986</v>
      </c>
      <c r="O138" s="16">
        <v>16561.929499999998</v>
      </c>
      <c r="P138" s="16"/>
      <c r="Q138" s="16">
        <f>SUM(Tabela1[[#This Row],[201805]:[201807]])</f>
        <v>20987.732499999998</v>
      </c>
      <c r="R138" s="16">
        <f>SUM(Tabela1[[#This Row],[201905]:[201906]])</f>
        <v>16561.929499999998</v>
      </c>
      <c r="S138" s="16">
        <v>100000</v>
      </c>
      <c r="T138" s="16">
        <f>Tabela1[[#This Row],[Total 2019]]-Tabela1[[#This Row],[Total 2018]]</f>
        <v>-4425.8029999999999</v>
      </c>
      <c r="U138" s="40">
        <f>Tabela1[[#This Row],[Total 2019]]/Tabela1[[#This Row],[Meta]]</f>
        <v>0.16561929499999997</v>
      </c>
      <c r="V138" s="17">
        <f>IFERROR(Tabela1[[#This Row],[Total 2019]]/Tabela1[[#This Row],[Total 2018]]-1,0)</f>
        <v>-0.21087571037033181</v>
      </c>
      <c r="W13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138" s="48"/>
      <c r="Y138" s="19"/>
      <c r="Z138" s="68"/>
    </row>
    <row r="139" spans="3:26" x14ac:dyDescent="0.35">
      <c r="C139" s="11" t="s">
        <v>2704</v>
      </c>
      <c r="D139" s="12" t="s">
        <v>2698</v>
      </c>
      <c r="E139" s="12">
        <v>131</v>
      </c>
      <c r="F139" s="13" t="s">
        <v>1578</v>
      </c>
      <c r="G139" s="14">
        <v>1</v>
      </c>
      <c r="H139" s="14" t="s">
        <v>1370</v>
      </c>
      <c r="I139" s="13">
        <v>15</v>
      </c>
      <c r="J139" s="15" t="s">
        <v>1414</v>
      </c>
      <c r="K139" s="15" t="s">
        <v>2706</v>
      </c>
      <c r="L139" s="16"/>
      <c r="M139" s="16"/>
      <c r="N139" s="16">
        <v>5896.6309999999994</v>
      </c>
      <c r="O139" s="16"/>
      <c r="P139" s="16"/>
      <c r="Q139" s="16">
        <f>SUM(Tabela1[[#This Row],[201805]:[201807]])</f>
        <v>5896.6309999999994</v>
      </c>
      <c r="R139" s="16">
        <f>SUM(Tabela1[[#This Row],[201905]:[201906]])</f>
        <v>0</v>
      </c>
      <c r="S139" s="16">
        <v>100000</v>
      </c>
      <c r="T139" s="16">
        <f>Tabela1[[#This Row],[Total 2019]]-Tabela1[[#This Row],[Total 2018]]</f>
        <v>-5896.6309999999994</v>
      </c>
      <c r="U139" s="40">
        <f>Tabela1[[#This Row],[Total 2019]]/Tabela1[[#This Row],[Meta]]</f>
        <v>0</v>
      </c>
      <c r="V139" s="17">
        <f>IFERROR(Tabela1[[#This Row],[Total 2019]]/Tabela1[[#This Row],[Total 2018]]-1,0)</f>
        <v>-1</v>
      </c>
      <c r="W13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39" s="48"/>
      <c r="Y139" s="19"/>
      <c r="Z139" s="68"/>
    </row>
    <row r="140" spans="3:26" x14ac:dyDescent="0.35">
      <c r="C140" s="11" t="s">
        <v>2704</v>
      </c>
      <c r="D140" s="12" t="s">
        <v>2698</v>
      </c>
      <c r="E140" s="12">
        <v>132</v>
      </c>
      <c r="F140" s="13" t="s">
        <v>1579</v>
      </c>
      <c r="G140" s="14">
        <v>3</v>
      </c>
      <c r="H140" s="14" t="s">
        <v>1372</v>
      </c>
      <c r="I140" s="13">
        <v>25</v>
      </c>
      <c r="J140" s="15" t="s">
        <v>1424</v>
      </c>
      <c r="K140" s="15" t="s">
        <v>2708</v>
      </c>
      <c r="L140" s="16">
        <v>1684.7584999999999</v>
      </c>
      <c r="M140" s="16">
        <v>3117.0259999999998</v>
      </c>
      <c r="N140" s="16">
        <v>969.02850000000001</v>
      </c>
      <c r="O140" s="16"/>
      <c r="P140" s="16"/>
      <c r="Q140" s="16">
        <f>SUM(Tabela1[[#This Row],[201805]:[201807]])</f>
        <v>5770.8130000000001</v>
      </c>
      <c r="R140" s="16">
        <f>SUM(Tabela1[[#This Row],[201905]:[201906]])</f>
        <v>0</v>
      </c>
      <c r="S140" s="16">
        <v>100000</v>
      </c>
      <c r="T140" s="16">
        <f>Tabela1[[#This Row],[Total 2019]]-Tabela1[[#This Row],[Total 2018]]</f>
        <v>-5770.8130000000001</v>
      </c>
      <c r="U140" s="40">
        <f>Tabela1[[#This Row],[Total 2019]]/Tabela1[[#This Row],[Meta]]</f>
        <v>0</v>
      </c>
      <c r="V140" s="17">
        <f>IFERROR(Tabela1[[#This Row],[Total 2019]]/Tabela1[[#This Row],[Total 2018]]-1,0)</f>
        <v>-1</v>
      </c>
      <c r="W14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40" s="48"/>
      <c r="Y140" s="19"/>
      <c r="Z140" s="68"/>
    </row>
    <row r="141" spans="3:26" x14ac:dyDescent="0.35">
      <c r="C141" s="11" t="s">
        <v>2703</v>
      </c>
      <c r="D141" s="12" t="s">
        <v>2699</v>
      </c>
      <c r="E141" s="12">
        <v>133</v>
      </c>
      <c r="F141" s="13" t="s">
        <v>1580</v>
      </c>
      <c r="G141" s="14">
        <v>2</v>
      </c>
      <c r="H141" s="14" t="s">
        <v>1371</v>
      </c>
      <c r="I141" s="13">
        <v>31</v>
      </c>
      <c r="J141" s="15" t="s">
        <v>1430</v>
      </c>
      <c r="K141" s="15" t="s">
        <v>2707</v>
      </c>
      <c r="L141" s="16"/>
      <c r="M141" s="16"/>
      <c r="N141" s="16">
        <v>3295.0844999999999</v>
      </c>
      <c r="O141" s="16"/>
      <c r="P141" s="16"/>
      <c r="Q141" s="16">
        <f>SUM(Tabela1[[#This Row],[201805]:[201807]])</f>
        <v>3295.0844999999999</v>
      </c>
      <c r="R141" s="16">
        <f>SUM(Tabela1[[#This Row],[201905]:[201906]])</f>
        <v>0</v>
      </c>
      <c r="S141" s="16">
        <v>100000</v>
      </c>
      <c r="T141" s="16">
        <f>Tabela1[[#This Row],[Total 2019]]-Tabela1[[#This Row],[Total 2018]]</f>
        <v>-3295.0844999999999</v>
      </c>
      <c r="U141" s="40">
        <f>Tabela1[[#This Row],[Total 2019]]/Tabela1[[#This Row],[Meta]]</f>
        <v>0</v>
      </c>
      <c r="V141" s="17">
        <f>IFERROR(Tabela1[[#This Row],[Total 2019]]/Tabela1[[#This Row],[Total 2018]]-1,0)</f>
        <v>-1</v>
      </c>
      <c r="W14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41" s="48"/>
      <c r="Y141" s="19"/>
      <c r="Z141" s="68"/>
    </row>
    <row r="142" spans="3:26" x14ac:dyDescent="0.35">
      <c r="C142" s="11" t="s">
        <v>2703</v>
      </c>
      <c r="D142" s="12" t="s">
        <v>2699</v>
      </c>
      <c r="E142" s="12">
        <v>133</v>
      </c>
      <c r="F142" s="13" t="s">
        <v>1580</v>
      </c>
      <c r="G142" s="14">
        <v>1</v>
      </c>
      <c r="H142" s="14" t="s">
        <v>1371</v>
      </c>
      <c r="I142" s="13">
        <v>31</v>
      </c>
      <c r="J142" s="15" t="s">
        <v>1430</v>
      </c>
      <c r="K142" s="15" t="s">
        <v>2707</v>
      </c>
      <c r="L142" s="16"/>
      <c r="M142" s="16"/>
      <c r="N142" s="16"/>
      <c r="O142" s="16">
        <v>3045.5954999999999</v>
      </c>
      <c r="P142" s="16"/>
      <c r="Q142" s="16">
        <f>SUM(Tabela1[[#This Row],[201805]:[201807]])</f>
        <v>0</v>
      </c>
      <c r="R142" s="16">
        <f>SUM(Tabela1[[#This Row],[201905]:[201906]])</f>
        <v>3045.5954999999999</v>
      </c>
      <c r="S142" s="16">
        <v>100000</v>
      </c>
      <c r="T142" s="16">
        <f>Tabela1[[#This Row],[Total 2019]]-Tabela1[[#This Row],[Total 2018]]</f>
        <v>3045.5954999999999</v>
      </c>
      <c r="U142" s="40">
        <f>Tabela1[[#This Row],[Total 2019]]/Tabela1[[#This Row],[Meta]]</f>
        <v>3.0455955E-2</v>
      </c>
      <c r="V142" s="17">
        <f>IFERROR(Tabela1[[#This Row],[Total 2019]]/Tabela1[[#This Row],[Total 2018]]-1,0)</f>
        <v>0</v>
      </c>
      <c r="W14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42" s="48"/>
      <c r="Y142" s="19"/>
      <c r="Z142" s="68"/>
    </row>
    <row r="143" spans="3:26" x14ac:dyDescent="0.35">
      <c r="C143" s="11" t="s">
        <v>2704</v>
      </c>
      <c r="D143" s="12" t="s">
        <v>2700</v>
      </c>
      <c r="E143" s="12">
        <v>134</v>
      </c>
      <c r="F143" s="13" t="s">
        <v>1581</v>
      </c>
      <c r="G143" s="14">
        <v>3</v>
      </c>
      <c r="H143" s="14" t="s">
        <v>1371</v>
      </c>
      <c r="I143" s="13">
        <v>14</v>
      </c>
      <c r="J143" s="15" t="s">
        <v>1413</v>
      </c>
      <c r="K143" s="15" t="s">
        <v>2707</v>
      </c>
      <c r="L143" s="16"/>
      <c r="M143" s="16"/>
      <c r="N143" s="16"/>
      <c r="O143" s="16">
        <v>5492.2824999999993</v>
      </c>
      <c r="P143" s="16">
        <v>2602.0785000000001</v>
      </c>
      <c r="Q143" s="16">
        <f>SUM(Tabela1[[#This Row],[201805]:[201807]])</f>
        <v>0</v>
      </c>
      <c r="R143" s="16">
        <f>SUM(Tabela1[[#This Row],[201905]:[201906]])</f>
        <v>8094.360999999999</v>
      </c>
      <c r="S143" s="16">
        <v>100000</v>
      </c>
      <c r="T143" s="16">
        <f>Tabela1[[#This Row],[Total 2019]]-Tabela1[[#This Row],[Total 2018]]</f>
        <v>8094.360999999999</v>
      </c>
      <c r="U143" s="40">
        <f>Tabela1[[#This Row],[Total 2019]]/Tabela1[[#This Row],[Meta]]</f>
        <v>8.0943609999999985E-2</v>
      </c>
      <c r="V143" s="17">
        <f>IFERROR(Tabela1[[#This Row],[Total 2019]]/Tabela1[[#This Row],[Total 2018]]-1,0)</f>
        <v>0</v>
      </c>
      <c r="W14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43" s="48"/>
      <c r="Y143" s="19"/>
      <c r="Z143" s="68"/>
    </row>
    <row r="144" spans="3:26" x14ac:dyDescent="0.35">
      <c r="C144" s="11" t="s">
        <v>2702</v>
      </c>
      <c r="D144" s="12" t="s">
        <v>2700</v>
      </c>
      <c r="E144" s="12">
        <v>135</v>
      </c>
      <c r="F144" s="13" t="s">
        <v>1582</v>
      </c>
      <c r="G144" s="14">
        <v>2</v>
      </c>
      <c r="H144" s="14" t="s">
        <v>1372</v>
      </c>
      <c r="I144" s="13">
        <v>6</v>
      </c>
      <c r="J144" s="15" t="s">
        <v>1405</v>
      </c>
      <c r="K144" s="15" t="s">
        <v>2708</v>
      </c>
      <c r="L144" s="16"/>
      <c r="M144" s="16">
        <v>2209.2439999999997</v>
      </c>
      <c r="N144" s="16"/>
      <c r="O144" s="16"/>
      <c r="P144" s="16"/>
      <c r="Q144" s="16">
        <f>SUM(Tabela1[[#This Row],[201805]:[201807]])</f>
        <v>2209.2439999999997</v>
      </c>
      <c r="R144" s="16">
        <f>SUM(Tabela1[[#This Row],[201905]:[201906]])</f>
        <v>0</v>
      </c>
      <c r="S144" s="16">
        <v>100000</v>
      </c>
      <c r="T144" s="16">
        <f>Tabela1[[#This Row],[Total 2019]]-Tabela1[[#This Row],[Total 2018]]</f>
        <v>-2209.2439999999997</v>
      </c>
      <c r="U144" s="40">
        <f>Tabela1[[#This Row],[Total 2019]]/Tabela1[[#This Row],[Meta]]</f>
        <v>0</v>
      </c>
      <c r="V144" s="17">
        <f>IFERROR(Tabela1[[#This Row],[Total 2019]]/Tabela1[[#This Row],[Total 2018]]-1,0)</f>
        <v>-1</v>
      </c>
      <c r="W14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44" s="48"/>
      <c r="Y144" s="19"/>
      <c r="Z144" s="68"/>
    </row>
    <row r="145" spans="3:26" x14ac:dyDescent="0.35">
      <c r="C145" s="11" t="s">
        <v>2704</v>
      </c>
      <c r="D145" s="12" t="s">
        <v>2699</v>
      </c>
      <c r="E145" s="12">
        <v>136</v>
      </c>
      <c r="F145" s="13" t="s">
        <v>1583</v>
      </c>
      <c r="G145" s="14">
        <v>3</v>
      </c>
      <c r="H145" s="14" t="s">
        <v>1370</v>
      </c>
      <c r="I145" s="13">
        <v>15</v>
      </c>
      <c r="J145" s="15" t="s">
        <v>1414</v>
      </c>
      <c r="K145" s="15" t="s">
        <v>2706</v>
      </c>
      <c r="L145" s="16">
        <v>3693.5145000000002</v>
      </c>
      <c r="M145" s="16">
        <v>2283.7525000000001</v>
      </c>
      <c r="N145" s="16">
        <v>930.92399999999998</v>
      </c>
      <c r="O145" s="16"/>
      <c r="P145" s="16"/>
      <c r="Q145" s="16">
        <f>SUM(Tabela1[[#This Row],[201805]:[201807]])</f>
        <v>6908.1909999999998</v>
      </c>
      <c r="R145" s="16">
        <f>SUM(Tabela1[[#This Row],[201905]:[201906]])</f>
        <v>0</v>
      </c>
      <c r="S145" s="16">
        <v>100000</v>
      </c>
      <c r="T145" s="16">
        <f>Tabela1[[#This Row],[Total 2019]]-Tabela1[[#This Row],[Total 2018]]</f>
        <v>-6908.1909999999998</v>
      </c>
      <c r="U145" s="40">
        <f>Tabela1[[#This Row],[Total 2019]]/Tabela1[[#This Row],[Meta]]</f>
        <v>0</v>
      </c>
      <c r="V145" s="17">
        <f>IFERROR(Tabela1[[#This Row],[Total 2019]]/Tabela1[[#This Row],[Total 2018]]-1,0)</f>
        <v>-1</v>
      </c>
      <c r="W14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45" s="48"/>
      <c r="Y145" s="19"/>
      <c r="Z145" s="68"/>
    </row>
    <row r="146" spans="3:26" x14ac:dyDescent="0.35">
      <c r="C146" s="11" t="s">
        <v>2702</v>
      </c>
      <c r="D146" s="12" t="s">
        <v>2699</v>
      </c>
      <c r="E146" s="12">
        <v>137</v>
      </c>
      <c r="F146" s="13" t="s">
        <v>1584</v>
      </c>
      <c r="G146" s="14">
        <v>3</v>
      </c>
      <c r="H146" s="14" t="s">
        <v>1372</v>
      </c>
      <c r="I146" s="13">
        <v>23</v>
      </c>
      <c r="J146" s="15" t="s">
        <v>1422</v>
      </c>
      <c r="K146" s="15" t="s">
        <v>2708</v>
      </c>
      <c r="L146" s="16">
        <v>2168.2894999999999</v>
      </c>
      <c r="M146" s="16">
        <v>4580.7385000000004</v>
      </c>
      <c r="N146" s="16">
        <v>2245.2584999999999</v>
      </c>
      <c r="O146" s="16"/>
      <c r="P146" s="16"/>
      <c r="Q146" s="16">
        <f>SUM(Tabela1[[#This Row],[201805]:[201807]])</f>
        <v>8994.2865000000002</v>
      </c>
      <c r="R146" s="16">
        <f>SUM(Tabela1[[#This Row],[201905]:[201906]])</f>
        <v>0</v>
      </c>
      <c r="S146" s="16">
        <v>100000</v>
      </c>
      <c r="T146" s="16">
        <f>Tabela1[[#This Row],[Total 2019]]-Tabela1[[#This Row],[Total 2018]]</f>
        <v>-8994.2865000000002</v>
      </c>
      <c r="U146" s="40">
        <f>Tabela1[[#This Row],[Total 2019]]/Tabela1[[#This Row],[Meta]]</f>
        <v>0</v>
      </c>
      <c r="V146" s="17">
        <f>IFERROR(Tabela1[[#This Row],[Total 2019]]/Tabela1[[#This Row],[Total 2018]]-1,0)</f>
        <v>-1</v>
      </c>
      <c r="W14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46" s="48"/>
      <c r="Y146" s="19"/>
      <c r="Z146" s="68"/>
    </row>
    <row r="147" spans="3:26" x14ac:dyDescent="0.35">
      <c r="C147" s="11" t="s">
        <v>2703</v>
      </c>
      <c r="D147" s="12" t="s">
        <v>2699</v>
      </c>
      <c r="E147" s="12">
        <v>138</v>
      </c>
      <c r="F147" s="13" t="s">
        <v>1585</v>
      </c>
      <c r="G147" s="14">
        <v>3</v>
      </c>
      <c r="H147" s="14" t="s">
        <v>1372</v>
      </c>
      <c r="I147" s="13">
        <v>17</v>
      </c>
      <c r="J147" s="15" t="s">
        <v>1416</v>
      </c>
      <c r="K147" s="15" t="s">
        <v>2708</v>
      </c>
      <c r="L147" s="16"/>
      <c r="M147" s="16">
        <v>1309.8029999999999</v>
      </c>
      <c r="N147" s="16"/>
      <c r="O147" s="16"/>
      <c r="P147" s="16"/>
      <c r="Q147" s="16">
        <f>SUM(Tabela1[[#This Row],[201805]:[201807]])</f>
        <v>1309.8029999999999</v>
      </c>
      <c r="R147" s="16">
        <f>SUM(Tabela1[[#This Row],[201905]:[201906]])</f>
        <v>0</v>
      </c>
      <c r="S147" s="16">
        <v>100000</v>
      </c>
      <c r="T147" s="16">
        <f>Tabela1[[#This Row],[Total 2019]]-Tabela1[[#This Row],[Total 2018]]</f>
        <v>-1309.8029999999999</v>
      </c>
      <c r="U147" s="40">
        <f>Tabela1[[#This Row],[Total 2019]]/Tabela1[[#This Row],[Meta]]</f>
        <v>0</v>
      </c>
      <c r="V147" s="17">
        <f>IFERROR(Tabela1[[#This Row],[Total 2019]]/Tabela1[[#This Row],[Total 2018]]-1,0)</f>
        <v>-1</v>
      </c>
      <c r="W14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47" s="48"/>
      <c r="Y147" s="19"/>
      <c r="Z147" s="68"/>
    </row>
    <row r="148" spans="3:26" x14ac:dyDescent="0.35">
      <c r="C148" s="11" t="s">
        <v>2703</v>
      </c>
      <c r="D148" s="12" t="s">
        <v>2699</v>
      </c>
      <c r="E148" s="12">
        <v>139</v>
      </c>
      <c r="F148" s="13" t="s">
        <v>1586</v>
      </c>
      <c r="G148" s="14">
        <v>1</v>
      </c>
      <c r="H148" s="14" t="s">
        <v>1371</v>
      </c>
      <c r="I148" s="13">
        <v>31</v>
      </c>
      <c r="J148" s="15" t="s">
        <v>1430</v>
      </c>
      <c r="K148" s="15" t="s">
        <v>2707</v>
      </c>
      <c r="L148" s="16">
        <v>7328.290500000001</v>
      </c>
      <c r="M148" s="16">
        <v>9802.1664999999994</v>
      </c>
      <c r="N148" s="16"/>
      <c r="O148" s="16"/>
      <c r="P148" s="16"/>
      <c r="Q148" s="16">
        <f>SUM(Tabela1[[#This Row],[201805]:[201807]])</f>
        <v>17130.457000000002</v>
      </c>
      <c r="R148" s="16">
        <f>SUM(Tabela1[[#This Row],[201905]:[201906]])</f>
        <v>0</v>
      </c>
      <c r="S148" s="16">
        <v>100000</v>
      </c>
      <c r="T148" s="16">
        <f>Tabela1[[#This Row],[Total 2019]]-Tabela1[[#This Row],[Total 2018]]</f>
        <v>-17130.457000000002</v>
      </c>
      <c r="U148" s="40">
        <f>Tabela1[[#This Row],[Total 2019]]/Tabela1[[#This Row],[Meta]]</f>
        <v>0</v>
      </c>
      <c r="V148" s="17">
        <f>IFERROR(Tabela1[[#This Row],[Total 2019]]/Tabela1[[#This Row],[Total 2018]]-1,0)</f>
        <v>-1</v>
      </c>
      <c r="W14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48" s="48"/>
      <c r="Y148" s="19"/>
      <c r="Z148" s="68"/>
    </row>
    <row r="149" spans="3:26" x14ac:dyDescent="0.35">
      <c r="C149" s="11" t="s">
        <v>2704</v>
      </c>
      <c r="D149" s="12" t="s">
        <v>2700</v>
      </c>
      <c r="E149" s="12">
        <v>140</v>
      </c>
      <c r="F149" s="13" t="s">
        <v>1587</v>
      </c>
      <c r="G149" s="14">
        <v>1</v>
      </c>
      <c r="H149" s="14" t="s">
        <v>1370</v>
      </c>
      <c r="I149" s="13">
        <v>8</v>
      </c>
      <c r="J149" s="15" t="s">
        <v>1407</v>
      </c>
      <c r="K149" s="15" t="s">
        <v>2706</v>
      </c>
      <c r="L149" s="16">
        <v>10047.627500000002</v>
      </c>
      <c r="M149" s="16">
        <v>4267.722999999999</v>
      </c>
      <c r="N149" s="16"/>
      <c r="O149" s="16"/>
      <c r="P149" s="16"/>
      <c r="Q149" s="16">
        <f>SUM(Tabela1[[#This Row],[201805]:[201807]])</f>
        <v>14315.3505</v>
      </c>
      <c r="R149" s="16">
        <f>SUM(Tabela1[[#This Row],[201905]:[201906]])</f>
        <v>0</v>
      </c>
      <c r="S149" s="16">
        <v>100000</v>
      </c>
      <c r="T149" s="16">
        <f>Tabela1[[#This Row],[Total 2019]]-Tabela1[[#This Row],[Total 2018]]</f>
        <v>-14315.3505</v>
      </c>
      <c r="U149" s="40">
        <f>Tabela1[[#This Row],[Total 2019]]/Tabela1[[#This Row],[Meta]]</f>
        <v>0</v>
      </c>
      <c r="V149" s="17">
        <f>IFERROR(Tabela1[[#This Row],[Total 2019]]/Tabela1[[#This Row],[Total 2018]]-1,0)</f>
        <v>-1</v>
      </c>
      <c r="W14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49" s="48"/>
      <c r="Y149" s="19"/>
      <c r="Z149" s="68"/>
    </row>
    <row r="150" spans="3:26" x14ac:dyDescent="0.35">
      <c r="C150" s="11" t="s">
        <v>2703</v>
      </c>
      <c r="D150" s="12" t="s">
        <v>2698</v>
      </c>
      <c r="E150" s="12">
        <v>141</v>
      </c>
      <c r="F150" s="13" t="s">
        <v>1588</v>
      </c>
      <c r="G150" s="14">
        <v>1</v>
      </c>
      <c r="H150" s="14" t="s">
        <v>1371</v>
      </c>
      <c r="I150" s="13">
        <v>24</v>
      </c>
      <c r="J150" s="15" t="s">
        <v>1423</v>
      </c>
      <c r="K150" s="15" t="s">
        <v>2707</v>
      </c>
      <c r="L150" s="16"/>
      <c r="M150" s="16">
        <v>4487.2300000000005</v>
      </c>
      <c r="N150" s="16"/>
      <c r="O150" s="16">
        <v>5831.7555000000002</v>
      </c>
      <c r="P150" s="16"/>
      <c r="Q150" s="16">
        <f>SUM(Tabela1[[#This Row],[201805]:[201807]])</f>
        <v>4487.2300000000005</v>
      </c>
      <c r="R150" s="16">
        <f>SUM(Tabela1[[#This Row],[201905]:[201906]])</f>
        <v>5831.7555000000002</v>
      </c>
      <c r="S150" s="16">
        <v>100000</v>
      </c>
      <c r="T150" s="16">
        <f>Tabela1[[#This Row],[Total 2019]]-Tabela1[[#This Row],[Total 2018]]</f>
        <v>1344.5254999999997</v>
      </c>
      <c r="U150" s="40">
        <f>Tabela1[[#This Row],[Total 2019]]/Tabela1[[#This Row],[Meta]]</f>
        <v>5.8317555E-2</v>
      </c>
      <c r="V150" s="17">
        <f>IFERROR(Tabela1[[#This Row],[Total 2019]]/Tabela1[[#This Row],[Total 2018]]-1,0)</f>
        <v>0.29963373840877328</v>
      </c>
      <c r="W15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150" s="48"/>
      <c r="Y150" s="19"/>
      <c r="Z150" s="68"/>
    </row>
    <row r="151" spans="3:26" x14ac:dyDescent="0.35">
      <c r="C151" s="11" t="s">
        <v>2703</v>
      </c>
      <c r="D151" s="12" t="s">
        <v>2698</v>
      </c>
      <c r="E151" s="12">
        <v>142</v>
      </c>
      <c r="F151" s="13" t="s">
        <v>1589</v>
      </c>
      <c r="G151" s="14">
        <v>1</v>
      </c>
      <c r="H151" s="14" t="s">
        <v>1371</v>
      </c>
      <c r="I151" s="13">
        <v>14</v>
      </c>
      <c r="J151" s="15" t="s">
        <v>1413</v>
      </c>
      <c r="K151" s="15" t="s">
        <v>2707</v>
      </c>
      <c r="L151" s="16"/>
      <c r="M151" s="16">
        <v>5213.7709999999997</v>
      </c>
      <c r="N151" s="16"/>
      <c r="O151" s="16">
        <v>2046.8794999999998</v>
      </c>
      <c r="P151" s="16">
        <v>3248.7909999999993</v>
      </c>
      <c r="Q151" s="16">
        <f>SUM(Tabela1[[#This Row],[201805]:[201807]])</f>
        <v>5213.7709999999997</v>
      </c>
      <c r="R151" s="16">
        <f>SUM(Tabela1[[#This Row],[201905]:[201906]])</f>
        <v>5295.6704999999993</v>
      </c>
      <c r="S151" s="16">
        <v>100000</v>
      </c>
      <c r="T151" s="16">
        <f>Tabela1[[#This Row],[Total 2019]]-Tabela1[[#This Row],[Total 2018]]</f>
        <v>81.899499999999534</v>
      </c>
      <c r="U151" s="40">
        <f>Tabela1[[#This Row],[Total 2019]]/Tabela1[[#This Row],[Meta]]</f>
        <v>5.2956704999999993E-2</v>
      </c>
      <c r="V151" s="17">
        <f>IFERROR(Tabela1[[#This Row],[Total 2019]]/Tabela1[[#This Row],[Total 2018]]-1,0)</f>
        <v>1.570830402792911E-2</v>
      </c>
      <c r="W15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151" s="48"/>
      <c r="Y151" s="19"/>
      <c r="Z151" s="68"/>
    </row>
    <row r="152" spans="3:26" x14ac:dyDescent="0.35">
      <c r="C152" s="11" t="s">
        <v>2703</v>
      </c>
      <c r="D152" s="12" t="s">
        <v>2699</v>
      </c>
      <c r="E152" s="12">
        <v>143</v>
      </c>
      <c r="F152" s="13" t="s">
        <v>1590</v>
      </c>
      <c r="G152" s="14">
        <v>2</v>
      </c>
      <c r="H152" s="14" t="s">
        <v>1371</v>
      </c>
      <c r="I152" s="13">
        <v>4</v>
      </c>
      <c r="J152" s="15" t="s">
        <v>1403</v>
      </c>
      <c r="K152" s="15" t="s">
        <v>2707</v>
      </c>
      <c r="L152" s="16"/>
      <c r="M152" s="16"/>
      <c r="N152" s="16">
        <v>7496.9060000000009</v>
      </c>
      <c r="O152" s="16"/>
      <c r="P152" s="16"/>
      <c r="Q152" s="16">
        <f>SUM(Tabela1[[#This Row],[201805]:[201807]])</f>
        <v>7496.9060000000009</v>
      </c>
      <c r="R152" s="16">
        <f>SUM(Tabela1[[#This Row],[201905]:[201906]])</f>
        <v>0</v>
      </c>
      <c r="S152" s="16">
        <v>100000</v>
      </c>
      <c r="T152" s="16">
        <f>Tabela1[[#This Row],[Total 2019]]-Tabela1[[#This Row],[Total 2018]]</f>
        <v>-7496.9060000000009</v>
      </c>
      <c r="U152" s="40">
        <f>Tabela1[[#This Row],[Total 2019]]/Tabela1[[#This Row],[Meta]]</f>
        <v>0</v>
      </c>
      <c r="V152" s="17">
        <f>IFERROR(Tabela1[[#This Row],[Total 2019]]/Tabela1[[#This Row],[Total 2018]]-1,0)</f>
        <v>-1</v>
      </c>
      <c r="W15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52" s="48"/>
      <c r="Y152" s="19"/>
      <c r="Z152" s="68"/>
    </row>
    <row r="153" spans="3:26" x14ac:dyDescent="0.35">
      <c r="C153" s="11" t="s">
        <v>2702</v>
      </c>
      <c r="D153" s="12" t="s">
        <v>2698</v>
      </c>
      <c r="E153" s="12">
        <v>144</v>
      </c>
      <c r="F153" s="13" t="s">
        <v>1591</v>
      </c>
      <c r="G153" s="14">
        <v>2</v>
      </c>
      <c r="H153" s="14" t="s">
        <v>1371</v>
      </c>
      <c r="I153" s="13">
        <v>4</v>
      </c>
      <c r="J153" s="15" t="s">
        <v>1403</v>
      </c>
      <c r="K153" s="15" t="s">
        <v>2707</v>
      </c>
      <c r="L153" s="16"/>
      <c r="M153" s="16"/>
      <c r="N153" s="16">
        <v>7260.9829999999993</v>
      </c>
      <c r="O153" s="16"/>
      <c r="P153" s="16"/>
      <c r="Q153" s="16">
        <f>SUM(Tabela1[[#This Row],[201805]:[201807]])</f>
        <v>7260.9829999999993</v>
      </c>
      <c r="R153" s="16">
        <f>SUM(Tabela1[[#This Row],[201905]:[201906]])</f>
        <v>0</v>
      </c>
      <c r="S153" s="16">
        <v>100000</v>
      </c>
      <c r="T153" s="16">
        <f>Tabela1[[#This Row],[Total 2019]]-Tabela1[[#This Row],[Total 2018]]</f>
        <v>-7260.9829999999993</v>
      </c>
      <c r="U153" s="40">
        <f>Tabela1[[#This Row],[Total 2019]]/Tabela1[[#This Row],[Meta]]</f>
        <v>0</v>
      </c>
      <c r="V153" s="17">
        <f>IFERROR(Tabela1[[#This Row],[Total 2019]]/Tabela1[[#This Row],[Total 2018]]-1,0)</f>
        <v>-1</v>
      </c>
      <c r="W15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53" s="48"/>
      <c r="Y153" s="19"/>
      <c r="Z153" s="68"/>
    </row>
    <row r="154" spans="3:26" x14ac:dyDescent="0.35">
      <c r="C154" s="11" t="s">
        <v>2703</v>
      </c>
      <c r="D154" s="12" t="s">
        <v>2698</v>
      </c>
      <c r="E154" s="12">
        <v>145</v>
      </c>
      <c r="F154" s="13" t="s">
        <v>1592</v>
      </c>
      <c r="G154" s="14">
        <v>2</v>
      </c>
      <c r="H154" s="14" t="s">
        <v>1370</v>
      </c>
      <c r="I154" s="13">
        <v>15</v>
      </c>
      <c r="J154" s="15" t="s">
        <v>1414</v>
      </c>
      <c r="K154" s="15" t="s">
        <v>2706</v>
      </c>
      <c r="L154" s="16">
        <v>7050.3394999999991</v>
      </c>
      <c r="M154" s="16">
        <v>2218.5540000000001</v>
      </c>
      <c r="N154" s="16">
        <v>5078.8995000000004</v>
      </c>
      <c r="O154" s="16"/>
      <c r="P154" s="16"/>
      <c r="Q154" s="16">
        <f>SUM(Tabela1[[#This Row],[201805]:[201807]])</f>
        <v>14347.792999999998</v>
      </c>
      <c r="R154" s="16">
        <f>SUM(Tabela1[[#This Row],[201905]:[201906]])</f>
        <v>0</v>
      </c>
      <c r="S154" s="16">
        <v>100000</v>
      </c>
      <c r="T154" s="16">
        <f>Tabela1[[#This Row],[Total 2019]]-Tabela1[[#This Row],[Total 2018]]</f>
        <v>-14347.792999999998</v>
      </c>
      <c r="U154" s="40">
        <f>Tabela1[[#This Row],[Total 2019]]/Tabela1[[#This Row],[Meta]]</f>
        <v>0</v>
      </c>
      <c r="V154" s="17">
        <f>IFERROR(Tabela1[[#This Row],[Total 2019]]/Tabela1[[#This Row],[Total 2018]]-1,0)</f>
        <v>-1</v>
      </c>
      <c r="W15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54" s="48"/>
      <c r="Y154" s="19"/>
      <c r="Z154" s="68"/>
    </row>
    <row r="155" spans="3:26" x14ac:dyDescent="0.35">
      <c r="C155" s="11" t="s">
        <v>2703</v>
      </c>
      <c r="D155" s="12" t="s">
        <v>2700</v>
      </c>
      <c r="E155" s="12">
        <v>146</v>
      </c>
      <c r="F155" s="13" t="s">
        <v>1593</v>
      </c>
      <c r="G155" s="14">
        <v>3</v>
      </c>
      <c r="H155" s="14" t="s">
        <v>1372</v>
      </c>
      <c r="I155" s="13">
        <v>25</v>
      </c>
      <c r="J155" s="15" t="s">
        <v>1424</v>
      </c>
      <c r="K155" s="15" t="s">
        <v>2708</v>
      </c>
      <c r="L155" s="16"/>
      <c r="M155" s="16">
        <v>785.40300000000002</v>
      </c>
      <c r="N155" s="16"/>
      <c r="O155" s="16"/>
      <c r="P155" s="16"/>
      <c r="Q155" s="16">
        <f>SUM(Tabela1[[#This Row],[201805]:[201807]])</f>
        <v>785.40300000000002</v>
      </c>
      <c r="R155" s="16">
        <f>SUM(Tabela1[[#This Row],[201905]:[201906]])</f>
        <v>0</v>
      </c>
      <c r="S155" s="16">
        <v>100000</v>
      </c>
      <c r="T155" s="16">
        <f>Tabela1[[#This Row],[Total 2019]]-Tabela1[[#This Row],[Total 2018]]</f>
        <v>-785.40300000000002</v>
      </c>
      <c r="U155" s="40">
        <f>Tabela1[[#This Row],[Total 2019]]/Tabela1[[#This Row],[Meta]]</f>
        <v>0</v>
      </c>
      <c r="V155" s="17">
        <f>IFERROR(Tabela1[[#This Row],[Total 2019]]/Tabela1[[#This Row],[Total 2018]]-1,0)</f>
        <v>-1</v>
      </c>
      <c r="W15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55" s="48"/>
      <c r="Y155" s="19"/>
      <c r="Z155" s="68"/>
    </row>
    <row r="156" spans="3:26" x14ac:dyDescent="0.35">
      <c r="C156" s="11" t="s">
        <v>2704</v>
      </c>
      <c r="D156" s="12" t="s">
        <v>2700</v>
      </c>
      <c r="E156" s="12">
        <v>147</v>
      </c>
      <c r="F156" s="13" t="s">
        <v>1594</v>
      </c>
      <c r="G156" s="14">
        <v>3</v>
      </c>
      <c r="H156" s="14" t="s">
        <v>1372</v>
      </c>
      <c r="I156" s="13">
        <v>17</v>
      </c>
      <c r="J156" s="15" t="s">
        <v>1416</v>
      </c>
      <c r="K156" s="15" t="s">
        <v>2708</v>
      </c>
      <c r="L156" s="16"/>
      <c r="M156" s="16">
        <v>10242.814499999999</v>
      </c>
      <c r="N156" s="16">
        <v>2156.4524999999999</v>
      </c>
      <c r="O156" s="16">
        <v>10089.370500000001</v>
      </c>
      <c r="P156" s="16">
        <v>150.93599999999998</v>
      </c>
      <c r="Q156" s="16">
        <f>SUM(Tabela1[[#This Row],[201805]:[201807]])</f>
        <v>12399.266999999998</v>
      </c>
      <c r="R156" s="16">
        <f>SUM(Tabela1[[#This Row],[201905]:[201906]])</f>
        <v>10240.306500000001</v>
      </c>
      <c r="S156" s="16">
        <v>100000</v>
      </c>
      <c r="T156" s="16">
        <f>Tabela1[[#This Row],[Total 2019]]-Tabela1[[#This Row],[Total 2018]]</f>
        <v>-2158.9604999999974</v>
      </c>
      <c r="U156" s="40">
        <f>Tabela1[[#This Row],[Total 2019]]/Tabela1[[#This Row],[Meta]]</f>
        <v>0.102403065</v>
      </c>
      <c r="V156" s="17">
        <f>IFERROR(Tabela1[[#This Row],[Total 2019]]/Tabela1[[#This Row],[Total 2018]]-1,0)</f>
        <v>-0.17412001048126458</v>
      </c>
      <c r="W15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156" s="48"/>
      <c r="Y156" s="19"/>
      <c r="Z156" s="68"/>
    </row>
    <row r="157" spans="3:26" x14ac:dyDescent="0.35">
      <c r="C157" s="11" t="s">
        <v>2704</v>
      </c>
      <c r="D157" s="12" t="s">
        <v>2699</v>
      </c>
      <c r="E157" s="12">
        <v>148</v>
      </c>
      <c r="F157" s="13" t="s">
        <v>1595</v>
      </c>
      <c r="G157" s="14">
        <v>1</v>
      </c>
      <c r="H157" s="14" t="s">
        <v>1371</v>
      </c>
      <c r="I157" s="13">
        <v>4</v>
      </c>
      <c r="J157" s="15" t="s">
        <v>1403</v>
      </c>
      <c r="K157" s="15" t="s">
        <v>2707</v>
      </c>
      <c r="L157" s="16">
        <v>2817.3485000000001</v>
      </c>
      <c r="M157" s="16">
        <v>7739.8019999999997</v>
      </c>
      <c r="N157" s="16">
        <v>4871.9515000000001</v>
      </c>
      <c r="O157" s="16"/>
      <c r="P157" s="16"/>
      <c r="Q157" s="16">
        <f>SUM(Tabela1[[#This Row],[201805]:[201807]])</f>
        <v>15429.101999999999</v>
      </c>
      <c r="R157" s="16">
        <f>SUM(Tabela1[[#This Row],[201905]:[201906]])</f>
        <v>0</v>
      </c>
      <c r="S157" s="16">
        <v>100000</v>
      </c>
      <c r="T157" s="16">
        <f>Tabela1[[#This Row],[Total 2019]]-Tabela1[[#This Row],[Total 2018]]</f>
        <v>-15429.101999999999</v>
      </c>
      <c r="U157" s="40">
        <f>Tabela1[[#This Row],[Total 2019]]/Tabela1[[#This Row],[Meta]]</f>
        <v>0</v>
      </c>
      <c r="V157" s="17">
        <f>IFERROR(Tabela1[[#This Row],[Total 2019]]/Tabela1[[#This Row],[Total 2018]]-1,0)</f>
        <v>-1</v>
      </c>
      <c r="W15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57" s="48"/>
      <c r="Y157" s="19"/>
      <c r="Z157" s="68"/>
    </row>
    <row r="158" spans="3:26" x14ac:dyDescent="0.35">
      <c r="C158" s="11" t="s">
        <v>2702</v>
      </c>
      <c r="D158" s="12" t="s">
        <v>2699</v>
      </c>
      <c r="E158" s="12">
        <v>149</v>
      </c>
      <c r="F158" s="13" t="s">
        <v>1596</v>
      </c>
      <c r="G158" s="14">
        <v>2</v>
      </c>
      <c r="H158" s="14" t="s">
        <v>1372</v>
      </c>
      <c r="I158" s="13">
        <v>18</v>
      </c>
      <c r="J158" s="15" t="s">
        <v>1417</v>
      </c>
      <c r="K158" s="15" t="s">
        <v>2708</v>
      </c>
      <c r="L158" s="16">
        <v>284.05949999999996</v>
      </c>
      <c r="M158" s="16">
        <v>2483.1860000000001</v>
      </c>
      <c r="N158" s="16"/>
      <c r="O158" s="16"/>
      <c r="P158" s="16"/>
      <c r="Q158" s="16">
        <f>SUM(Tabela1[[#This Row],[201805]:[201807]])</f>
        <v>2767.2455</v>
      </c>
      <c r="R158" s="16">
        <f>SUM(Tabela1[[#This Row],[201905]:[201906]])</f>
        <v>0</v>
      </c>
      <c r="S158" s="16">
        <v>100000</v>
      </c>
      <c r="T158" s="16">
        <f>Tabela1[[#This Row],[Total 2019]]-Tabela1[[#This Row],[Total 2018]]</f>
        <v>-2767.2455</v>
      </c>
      <c r="U158" s="40">
        <f>Tabela1[[#This Row],[Total 2019]]/Tabela1[[#This Row],[Meta]]</f>
        <v>0</v>
      </c>
      <c r="V158" s="17">
        <f>IFERROR(Tabela1[[#This Row],[Total 2019]]/Tabela1[[#This Row],[Total 2018]]-1,0)</f>
        <v>-1</v>
      </c>
      <c r="W15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58" s="48"/>
      <c r="Y158" s="19"/>
      <c r="Z158" s="68"/>
    </row>
    <row r="159" spans="3:26" x14ac:dyDescent="0.35">
      <c r="C159" s="11" t="s">
        <v>2704</v>
      </c>
      <c r="D159" s="12" t="s">
        <v>2699</v>
      </c>
      <c r="E159" s="12">
        <v>150</v>
      </c>
      <c r="F159" s="13" t="s">
        <v>1597</v>
      </c>
      <c r="G159" s="14">
        <v>2</v>
      </c>
      <c r="H159" s="14" t="s">
        <v>1370</v>
      </c>
      <c r="I159" s="13">
        <v>3</v>
      </c>
      <c r="J159" s="15" t="s">
        <v>1402</v>
      </c>
      <c r="K159" s="15" t="s">
        <v>2706</v>
      </c>
      <c r="L159" s="16">
        <v>4552.4285000000009</v>
      </c>
      <c r="M159" s="16">
        <v>2089.2589999999996</v>
      </c>
      <c r="N159" s="16"/>
      <c r="O159" s="16"/>
      <c r="P159" s="16"/>
      <c r="Q159" s="16">
        <f>SUM(Tabela1[[#This Row],[201805]:[201807]])</f>
        <v>6641.6875</v>
      </c>
      <c r="R159" s="16">
        <f>SUM(Tabela1[[#This Row],[201905]:[201906]])</f>
        <v>0</v>
      </c>
      <c r="S159" s="16">
        <v>100000</v>
      </c>
      <c r="T159" s="16">
        <f>Tabela1[[#This Row],[Total 2019]]-Tabela1[[#This Row],[Total 2018]]</f>
        <v>-6641.6875</v>
      </c>
      <c r="U159" s="40">
        <f>Tabela1[[#This Row],[Total 2019]]/Tabela1[[#This Row],[Meta]]</f>
        <v>0</v>
      </c>
      <c r="V159" s="17">
        <f>IFERROR(Tabela1[[#This Row],[Total 2019]]/Tabela1[[#This Row],[Total 2018]]-1,0)</f>
        <v>-1</v>
      </c>
      <c r="W15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59" s="48"/>
      <c r="Y159" s="19"/>
      <c r="Z159" s="68"/>
    </row>
    <row r="160" spans="3:26" x14ac:dyDescent="0.35">
      <c r="C160" s="11" t="s">
        <v>2703</v>
      </c>
      <c r="D160" s="12" t="s">
        <v>2698</v>
      </c>
      <c r="E160" s="12">
        <v>151</v>
      </c>
      <c r="F160" s="13" t="s">
        <v>1598</v>
      </c>
      <c r="G160" s="14">
        <v>3</v>
      </c>
      <c r="H160" s="14" t="s">
        <v>1370</v>
      </c>
      <c r="I160" s="13">
        <v>11</v>
      </c>
      <c r="J160" s="15" t="s">
        <v>1410</v>
      </c>
      <c r="K160" s="15" t="s">
        <v>2706</v>
      </c>
      <c r="L160" s="16">
        <v>1665.7109999999998</v>
      </c>
      <c r="M160" s="16">
        <v>11475.905000000001</v>
      </c>
      <c r="N160" s="16"/>
      <c r="O160" s="16"/>
      <c r="P160" s="16"/>
      <c r="Q160" s="16">
        <f>SUM(Tabela1[[#This Row],[201805]:[201807]])</f>
        <v>13141.616</v>
      </c>
      <c r="R160" s="16">
        <f>SUM(Tabela1[[#This Row],[201905]:[201906]])</f>
        <v>0</v>
      </c>
      <c r="S160" s="16">
        <v>100000</v>
      </c>
      <c r="T160" s="16">
        <f>Tabela1[[#This Row],[Total 2019]]-Tabela1[[#This Row],[Total 2018]]</f>
        <v>-13141.616</v>
      </c>
      <c r="U160" s="40">
        <f>Tabela1[[#This Row],[Total 2019]]/Tabela1[[#This Row],[Meta]]</f>
        <v>0</v>
      </c>
      <c r="V160" s="17">
        <f>IFERROR(Tabela1[[#This Row],[Total 2019]]/Tabela1[[#This Row],[Total 2018]]-1,0)</f>
        <v>-1</v>
      </c>
      <c r="W16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60" s="48"/>
      <c r="Y160" s="19"/>
      <c r="Z160" s="68"/>
    </row>
    <row r="161" spans="3:26" x14ac:dyDescent="0.35">
      <c r="C161" s="11" t="s">
        <v>2704</v>
      </c>
      <c r="D161" s="12" t="s">
        <v>2698</v>
      </c>
      <c r="E161" s="12">
        <v>152</v>
      </c>
      <c r="F161" s="13" t="s">
        <v>1599</v>
      </c>
      <c r="G161" s="14">
        <v>1</v>
      </c>
      <c r="H161" s="14" t="s">
        <v>1371</v>
      </c>
      <c r="I161" s="13">
        <v>24</v>
      </c>
      <c r="J161" s="15" t="s">
        <v>1423</v>
      </c>
      <c r="K161" s="15" t="s">
        <v>2707</v>
      </c>
      <c r="L161" s="16">
        <v>6094.6774999999998</v>
      </c>
      <c r="M161" s="16">
        <v>3552.4489999999996</v>
      </c>
      <c r="N161" s="16"/>
      <c r="O161" s="16"/>
      <c r="P161" s="16"/>
      <c r="Q161" s="16">
        <f>SUM(Tabela1[[#This Row],[201805]:[201807]])</f>
        <v>9647.1264999999985</v>
      </c>
      <c r="R161" s="16">
        <f>SUM(Tabela1[[#This Row],[201905]:[201906]])</f>
        <v>0</v>
      </c>
      <c r="S161" s="16">
        <v>100000</v>
      </c>
      <c r="T161" s="16">
        <f>Tabela1[[#This Row],[Total 2019]]-Tabela1[[#This Row],[Total 2018]]</f>
        <v>-9647.1264999999985</v>
      </c>
      <c r="U161" s="40">
        <f>Tabela1[[#This Row],[Total 2019]]/Tabela1[[#This Row],[Meta]]</f>
        <v>0</v>
      </c>
      <c r="V161" s="17">
        <f>IFERROR(Tabela1[[#This Row],[Total 2019]]/Tabela1[[#This Row],[Total 2018]]-1,0)</f>
        <v>-1</v>
      </c>
      <c r="W16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61" s="48"/>
      <c r="Y161" s="19"/>
      <c r="Z161" s="68"/>
    </row>
    <row r="162" spans="3:26" x14ac:dyDescent="0.35">
      <c r="C162" s="11" t="s">
        <v>2704</v>
      </c>
      <c r="D162" s="12" t="s">
        <v>2700</v>
      </c>
      <c r="E162" s="12">
        <v>153</v>
      </c>
      <c r="F162" s="13" t="s">
        <v>1600</v>
      </c>
      <c r="G162" s="14">
        <v>2</v>
      </c>
      <c r="H162" s="14" t="s">
        <v>1370</v>
      </c>
      <c r="I162" s="13">
        <v>3</v>
      </c>
      <c r="J162" s="15" t="s">
        <v>1402</v>
      </c>
      <c r="K162" s="15" t="s">
        <v>2706</v>
      </c>
      <c r="L162" s="16">
        <v>3433.357</v>
      </c>
      <c r="M162" s="16">
        <v>3637.6354999999999</v>
      </c>
      <c r="N162" s="16"/>
      <c r="O162" s="16"/>
      <c r="P162" s="16"/>
      <c r="Q162" s="16">
        <f>SUM(Tabela1[[#This Row],[201805]:[201807]])</f>
        <v>7070.9925000000003</v>
      </c>
      <c r="R162" s="16">
        <f>SUM(Tabela1[[#This Row],[201905]:[201906]])</f>
        <v>0</v>
      </c>
      <c r="S162" s="16">
        <v>100000</v>
      </c>
      <c r="T162" s="16">
        <f>Tabela1[[#This Row],[Total 2019]]-Tabela1[[#This Row],[Total 2018]]</f>
        <v>-7070.9925000000003</v>
      </c>
      <c r="U162" s="40">
        <f>Tabela1[[#This Row],[Total 2019]]/Tabela1[[#This Row],[Meta]]</f>
        <v>0</v>
      </c>
      <c r="V162" s="17">
        <f>IFERROR(Tabela1[[#This Row],[Total 2019]]/Tabela1[[#This Row],[Total 2018]]-1,0)</f>
        <v>-1</v>
      </c>
      <c r="W16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62" s="48"/>
      <c r="Y162" s="19"/>
      <c r="Z162" s="68"/>
    </row>
    <row r="163" spans="3:26" x14ac:dyDescent="0.35">
      <c r="C163" s="11" t="s">
        <v>2703</v>
      </c>
      <c r="D163" s="12" t="s">
        <v>2699</v>
      </c>
      <c r="E163" s="12">
        <v>154</v>
      </c>
      <c r="F163" s="13" t="s">
        <v>1601</v>
      </c>
      <c r="G163" s="14">
        <v>1</v>
      </c>
      <c r="H163" s="14" t="s">
        <v>1372</v>
      </c>
      <c r="I163" s="13">
        <v>16</v>
      </c>
      <c r="J163" s="15" t="s">
        <v>1415</v>
      </c>
      <c r="K163" s="15" t="s">
        <v>2708</v>
      </c>
      <c r="L163" s="16"/>
      <c r="M163" s="16"/>
      <c r="N163" s="16"/>
      <c r="O163" s="16">
        <v>6487.9109999999991</v>
      </c>
      <c r="P163" s="16">
        <v>4226.3219999999992</v>
      </c>
      <c r="Q163" s="16">
        <f>SUM(Tabela1[[#This Row],[201805]:[201807]])</f>
        <v>0</v>
      </c>
      <c r="R163" s="16">
        <f>SUM(Tabela1[[#This Row],[201905]:[201906]])</f>
        <v>10714.232999999998</v>
      </c>
      <c r="S163" s="16">
        <v>100000</v>
      </c>
      <c r="T163" s="16">
        <f>Tabela1[[#This Row],[Total 2019]]-Tabela1[[#This Row],[Total 2018]]</f>
        <v>10714.232999999998</v>
      </c>
      <c r="U163" s="40">
        <f>Tabela1[[#This Row],[Total 2019]]/Tabela1[[#This Row],[Meta]]</f>
        <v>0.10714232999999998</v>
      </c>
      <c r="V163" s="17">
        <f>IFERROR(Tabela1[[#This Row],[Total 2019]]/Tabela1[[#This Row],[Total 2018]]-1,0)</f>
        <v>0</v>
      </c>
      <c r="W16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63" s="48"/>
      <c r="Y163" s="19"/>
      <c r="Z163" s="68"/>
    </row>
    <row r="164" spans="3:26" x14ac:dyDescent="0.35">
      <c r="C164" s="11" t="s">
        <v>2702</v>
      </c>
      <c r="D164" s="12" t="s">
        <v>2698</v>
      </c>
      <c r="E164" s="12">
        <v>155</v>
      </c>
      <c r="F164" s="13" t="s">
        <v>1602</v>
      </c>
      <c r="G164" s="14">
        <v>2</v>
      </c>
      <c r="H164" s="14" t="s">
        <v>1372</v>
      </c>
      <c r="I164" s="13">
        <v>25</v>
      </c>
      <c r="J164" s="15" t="s">
        <v>1424</v>
      </c>
      <c r="K164" s="15" t="s">
        <v>2708</v>
      </c>
      <c r="L164" s="16">
        <v>2383.2839999999997</v>
      </c>
      <c r="M164" s="16">
        <v>6123.8044999999993</v>
      </c>
      <c r="N164" s="16">
        <v>3030.7565</v>
      </c>
      <c r="O164" s="16">
        <v>13831.676999999998</v>
      </c>
      <c r="P164" s="16">
        <v>4623.9254999999994</v>
      </c>
      <c r="Q164" s="16">
        <f>SUM(Tabela1[[#This Row],[201805]:[201807]])</f>
        <v>11537.844999999998</v>
      </c>
      <c r="R164" s="16">
        <f>SUM(Tabela1[[#This Row],[201905]:[201906]])</f>
        <v>18455.602499999997</v>
      </c>
      <c r="S164" s="16">
        <v>100000</v>
      </c>
      <c r="T164" s="16">
        <f>Tabela1[[#This Row],[Total 2019]]-Tabela1[[#This Row],[Total 2018]]</f>
        <v>6917.7574999999997</v>
      </c>
      <c r="U164" s="40">
        <f>Tabela1[[#This Row],[Total 2019]]/Tabela1[[#This Row],[Meta]]</f>
        <v>0.18455602499999998</v>
      </c>
      <c r="V164" s="17">
        <f>IFERROR(Tabela1[[#This Row],[Total 2019]]/Tabela1[[#This Row],[Total 2018]]-1,0)</f>
        <v>0.5995710204115241</v>
      </c>
      <c r="W16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164" s="48"/>
      <c r="Y164" s="19"/>
      <c r="Z164" s="68"/>
    </row>
    <row r="165" spans="3:26" x14ac:dyDescent="0.35">
      <c r="C165" s="11" t="s">
        <v>2704</v>
      </c>
      <c r="D165" s="12" t="s">
        <v>2698</v>
      </c>
      <c r="E165" s="12">
        <v>156</v>
      </c>
      <c r="F165" s="13" t="s">
        <v>1603</v>
      </c>
      <c r="G165" s="14">
        <v>1</v>
      </c>
      <c r="H165" s="14" t="s">
        <v>1370</v>
      </c>
      <c r="I165" s="13">
        <v>19</v>
      </c>
      <c r="J165" s="15" t="s">
        <v>1418</v>
      </c>
      <c r="K165" s="15" t="s">
        <v>2706</v>
      </c>
      <c r="L165" s="16">
        <v>6409.9634999999998</v>
      </c>
      <c r="M165" s="16">
        <v>4798.2694999999994</v>
      </c>
      <c r="N165" s="16"/>
      <c r="O165" s="16"/>
      <c r="P165" s="16"/>
      <c r="Q165" s="16">
        <f>SUM(Tabela1[[#This Row],[201805]:[201807]])</f>
        <v>11208.233</v>
      </c>
      <c r="R165" s="16">
        <f>SUM(Tabela1[[#This Row],[201905]:[201906]])</f>
        <v>0</v>
      </c>
      <c r="S165" s="16">
        <v>100000</v>
      </c>
      <c r="T165" s="16">
        <f>Tabela1[[#This Row],[Total 2019]]-Tabela1[[#This Row],[Total 2018]]</f>
        <v>-11208.233</v>
      </c>
      <c r="U165" s="40">
        <f>Tabela1[[#This Row],[Total 2019]]/Tabela1[[#This Row],[Meta]]</f>
        <v>0</v>
      </c>
      <c r="V165" s="17">
        <f>IFERROR(Tabela1[[#This Row],[Total 2019]]/Tabela1[[#This Row],[Total 2018]]-1,0)</f>
        <v>-1</v>
      </c>
      <c r="W16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65" s="48"/>
      <c r="Y165" s="19"/>
      <c r="Z165" s="68"/>
    </row>
    <row r="166" spans="3:26" x14ac:dyDescent="0.35">
      <c r="C166" s="11" t="s">
        <v>2703</v>
      </c>
      <c r="D166" s="12" t="s">
        <v>2700</v>
      </c>
      <c r="E166" s="12">
        <v>157</v>
      </c>
      <c r="F166" s="13" t="s">
        <v>1604</v>
      </c>
      <c r="G166" s="14">
        <v>3</v>
      </c>
      <c r="H166" s="14" t="s">
        <v>1372</v>
      </c>
      <c r="I166" s="13">
        <v>6</v>
      </c>
      <c r="J166" s="15" t="s">
        <v>1405</v>
      </c>
      <c r="K166" s="15" t="s">
        <v>2708</v>
      </c>
      <c r="L166" s="16">
        <v>1445.6054999999999</v>
      </c>
      <c r="M166" s="16">
        <v>171.46549999999996</v>
      </c>
      <c r="N166" s="16"/>
      <c r="O166" s="16">
        <v>721.11649999999997</v>
      </c>
      <c r="P166" s="16">
        <v>2959.2024999999999</v>
      </c>
      <c r="Q166" s="16">
        <f>SUM(Tabela1[[#This Row],[201805]:[201807]])</f>
        <v>1617.0709999999999</v>
      </c>
      <c r="R166" s="16">
        <f>SUM(Tabela1[[#This Row],[201905]:[201906]])</f>
        <v>3680.319</v>
      </c>
      <c r="S166" s="16">
        <v>100000</v>
      </c>
      <c r="T166" s="16">
        <f>Tabela1[[#This Row],[Total 2019]]-Tabela1[[#This Row],[Total 2018]]</f>
        <v>2063.248</v>
      </c>
      <c r="U166" s="40">
        <f>Tabela1[[#This Row],[Total 2019]]/Tabela1[[#This Row],[Meta]]</f>
        <v>3.680319E-2</v>
      </c>
      <c r="V166" s="17">
        <f>IFERROR(Tabela1[[#This Row],[Total 2019]]/Tabela1[[#This Row],[Total 2018]]-1,0)</f>
        <v>1.275916765559459</v>
      </c>
      <c r="W16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166" s="48"/>
      <c r="Y166" s="19"/>
      <c r="Z166" s="68"/>
    </row>
    <row r="167" spans="3:26" x14ac:dyDescent="0.35">
      <c r="C167" s="11" t="s">
        <v>2703</v>
      </c>
      <c r="D167" s="12" t="s">
        <v>2699</v>
      </c>
      <c r="E167" s="12">
        <v>158</v>
      </c>
      <c r="F167" s="13" t="s">
        <v>1605</v>
      </c>
      <c r="G167" s="14">
        <v>3</v>
      </c>
      <c r="H167" s="14" t="s">
        <v>1370</v>
      </c>
      <c r="I167" s="13">
        <v>8</v>
      </c>
      <c r="J167" s="15" t="s">
        <v>1407</v>
      </c>
      <c r="K167" s="15" t="s">
        <v>2706</v>
      </c>
      <c r="L167" s="16">
        <v>3564.6279999999997</v>
      </c>
      <c r="M167" s="16">
        <v>1625.8109999999999</v>
      </c>
      <c r="N167" s="16"/>
      <c r="O167" s="16"/>
      <c r="P167" s="16"/>
      <c r="Q167" s="16">
        <f>SUM(Tabela1[[#This Row],[201805]:[201807]])</f>
        <v>5190.4389999999994</v>
      </c>
      <c r="R167" s="16">
        <f>SUM(Tabela1[[#This Row],[201905]:[201906]])</f>
        <v>0</v>
      </c>
      <c r="S167" s="16">
        <v>100000</v>
      </c>
      <c r="T167" s="16">
        <f>Tabela1[[#This Row],[Total 2019]]-Tabela1[[#This Row],[Total 2018]]</f>
        <v>-5190.4389999999994</v>
      </c>
      <c r="U167" s="40">
        <f>Tabela1[[#This Row],[Total 2019]]/Tabela1[[#This Row],[Meta]]</f>
        <v>0</v>
      </c>
      <c r="V167" s="17">
        <f>IFERROR(Tabela1[[#This Row],[Total 2019]]/Tabela1[[#This Row],[Total 2018]]-1,0)</f>
        <v>-1</v>
      </c>
      <c r="W16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67" s="48"/>
      <c r="Y167" s="19"/>
      <c r="Z167" s="68"/>
    </row>
    <row r="168" spans="3:26" x14ac:dyDescent="0.35">
      <c r="C168" s="11" t="s">
        <v>2702</v>
      </c>
      <c r="D168" s="12" t="s">
        <v>2698</v>
      </c>
      <c r="E168" s="12">
        <v>159</v>
      </c>
      <c r="F168" s="13" t="s">
        <v>1606</v>
      </c>
      <c r="G168" s="14">
        <v>3</v>
      </c>
      <c r="H168" s="14" t="s">
        <v>1372</v>
      </c>
      <c r="I168" s="13">
        <v>17</v>
      </c>
      <c r="J168" s="15" t="s">
        <v>1416</v>
      </c>
      <c r="K168" s="15" t="s">
        <v>2708</v>
      </c>
      <c r="L168" s="16">
        <v>7814.4435000000003</v>
      </c>
      <c r="M168" s="16">
        <v>3920.8114999999998</v>
      </c>
      <c r="N168" s="16"/>
      <c r="O168" s="16"/>
      <c r="P168" s="16"/>
      <c r="Q168" s="16">
        <f>SUM(Tabela1[[#This Row],[201805]:[201807]])</f>
        <v>11735.255000000001</v>
      </c>
      <c r="R168" s="16">
        <f>SUM(Tabela1[[#This Row],[201905]:[201906]])</f>
        <v>0</v>
      </c>
      <c r="S168" s="16">
        <v>100000</v>
      </c>
      <c r="T168" s="16">
        <f>Tabela1[[#This Row],[Total 2019]]-Tabela1[[#This Row],[Total 2018]]</f>
        <v>-11735.255000000001</v>
      </c>
      <c r="U168" s="40">
        <f>Tabela1[[#This Row],[Total 2019]]/Tabela1[[#This Row],[Meta]]</f>
        <v>0</v>
      </c>
      <c r="V168" s="17">
        <f>IFERROR(Tabela1[[#This Row],[Total 2019]]/Tabela1[[#This Row],[Total 2018]]-1,0)</f>
        <v>-1</v>
      </c>
      <c r="W16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68" s="48"/>
      <c r="Y168" s="19"/>
      <c r="Z168" s="68"/>
    </row>
    <row r="169" spans="3:26" x14ac:dyDescent="0.35">
      <c r="C169" s="11" t="s">
        <v>2703</v>
      </c>
      <c r="D169" s="12" t="s">
        <v>2699</v>
      </c>
      <c r="E169" s="12">
        <v>160</v>
      </c>
      <c r="F169" s="13" t="s">
        <v>1607</v>
      </c>
      <c r="G169" s="14">
        <v>2</v>
      </c>
      <c r="H169" s="14" t="s">
        <v>1371</v>
      </c>
      <c r="I169" s="13">
        <v>5</v>
      </c>
      <c r="J169" s="15" t="s">
        <v>1404</v>
      </c>
      <c r="K169" s="15" t="s">
        <v>2707</v>
      </c>
      <c r="L169" s="16">
        <v>1006.487</v>
      </c>
      <c r="M169" s="16">
        <v>5718.4204999999993</v>
      </c>
      <c r="N169" s="16"/>
      <c r="O169" s="16"/>
      <c r="P169" s="16"/>
      <c r="Q169" s="16">
        <f>SUM(Tabela1[[#This Row],[201805]:[201807]])</f>
        <v>6724.9074999999993</v>
      </c>
      <c r="R169" s="16">
        <f>SUM(Tabela1[[#This Row],[201905]:[201906]])</f>
        <v>0</v>
      </c>
      <c r="S169" s="16">
        <v>100000</v>
      </c>
      <c r="T169" s="16">
        <f>Tabela1[[#This Row],[Total 2019]]-Tabela1[[#This Row],[Total 2018]]</f>
        <v>-6724.9074999999993</v>
      </c>
      <c r="U169" s="40">
        <f>Tabela1[[#This Row],[Total 2019]]/Tabela1[[#This Row],[Meta]]</f>
        <v>0</v>
      </c>
      <c r="V169" s="17">
        <f>IFERROR(Tabela1[[#This Row],[Total 2019]]/Tabela1[[#This Row],[Total 2018]]-1,0)</f>
        <v>-1</v>
      </c>
      <c r="W16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69" s="48"/>
      <c r="Y169" s="19"/>
      <c r="Z169" s="68"/>
    </row>
    <row r="170" spans="3:26" x14ac:dyDescent="0.35">
      <c r="C170" s="11" t="s">
        <v>2704</v>
      </c>
      <c r="D170" s="12" t="s">
        <v>2700</v>
      </c>
      <c r="E170" s="12">
        <v>160</v>
      </c>
      <c r="F170" s="13" t="s">
        <v>1607</v>
      </c>
      <c r="G170" s="14">
        <v>2</v>
      </c>
      <c r="H170" s="14" t="s">
        <v>1371</v>
      </c>
      <c r="I170" s="13">
        <v>5</v>
      </c>
      <c r="J170" s="15" t="s">
        <v>1404</v>
      </c>
      <c r="K170" s="15" t="s">
        <v>2707</v>
      </c>
      <c r="L170" s="16"/>
      <c r="M170" s="16"/>
      <c r="N170" s="16"/>
      <c r="O170" s="16">
        <v>5763.0419999999995</v>
      </c>
      <c r="P170" s="16">
        <v>3707.413</v>
      </c>
      <c r="Q170" s="16">
        <f>SUM(Tabela1[[#This Row],[201805]:[201807]])</f>
        <v>0</v>
      </c>
      <c r="R170" s="16">
        <f>SUM(Tabela1[[#This Row],[201905]:[201906]])</f>
        <v>9470.4549999999999</v>
      </c>
      <c r="S170" s="16">
        <v>100000</v>
      </c>
      <c r="T170" s="16">
        <f>Tabela1[[#This Row],[Total 2019]]-Tabela1[[#This Row],[Total 2018]]</f>
        <v>9470.4549999999999</v>
      </c>
      <c r="U170" s="40">
        <f>Tabela1[[#This Row],[Total 2019]]/Tabela1[[#This Row],[Meta]]</f>
        <v>9.4704549999999998E-2</v>
      </c>
      <c r="V170" s="17">
        <f>IFERROR(Tabela1[[#This Row],[Total 2019]]/Tabela1[[#This Row],[Total 2018]]-1,0)</f>
        <v>0</v>
      </c>
      <c r="W17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70" s="48"/>
      <c r="Y170" s="19"/>
      <c r="Z170" s="68"/>
    </row>
    <row r="171" spans="3:26" x14ac:dyDescent="0.35">
      <c r="C171" s="11" t="s">
        <v>2703</v>
      </c>
      <c r="D171" s="12" t="s">
        <v>2700</v>
      </c>
      <c r="E171" s="12">
        <v>161</v>
      </c>
      <c r="F171" s="13" t="s">
        <v>1608</v>
      </c>
      <c r="G171" s="14">
        <v>1</v>
      </c>
      <c r="H171" s="14" t="s">
        <v>1371</v>
      </c>
      <c r="I171" s="13">
        <v>5</v>
      </c>
      <c r="J171" s="15" t="s">
        <v>1404</v>
      </c>
      <c r="K171" s="15" t="s">
        <v>2707</v>
      </c>
      <c r="L171" s="16"/>
      <c r="M171" s="16">
        <v>5663.5199999999986</v>
      </c>
      <c r="N171" s="16"/>
      <c r="O171" s="16">
        <v>3593.7929999999997</v>
      </c>
      <c r="P171" s="16">
        <v>2110.3204999999998</v>
      </c>
      <c r="Q171" s="16">
        <f>SUM(Tabela1[[#This Row],[201805]:[201807]])</f>
        <v>5663.5199999999986</v>
      </c>
      <c r="R171" s="16">
        <f>SUM(Tabela1[[#This Row],[201905]:[201906]])</f>
        <v>5704.1134999999995</v>
      </c>
      <c r="S171" s="16">
        <v>100000</v>
      </c>
      <c r="T171" s="16">
        <f>Tabela1[[#This Row],[Total 2019]]-Tabela1[[#This Row],[Total 2018]]</f>
        <v>40.593500000000859</v>
      </c>
      <c r="U171" s="40">
        <f>Tabela1[[#This Row],[Total 2019]]/Tabela1[[#This Row],[Meta]]</f>
        <v>5.7041134999999993E-2</v>
      </c>
      <c r="V171" s="17">
        <f>IFERROR(Tabela1[[#This Row],[Total 2019]]/Tabela1[[#This Row],[Total 2018]]-1,0)</f>
        <v>7.1675389157275227E-3</v>
      </c>
      <c r="W17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171" s="48"/>
      <c r="Y171" s="19"/>
      <c r="Z171" s="68"/>
    </row>
    <row r="172" spans="3:26" x14ac:dyDescent="0.35">
      <c r="C172" s="11" t="s">
        <v>2704</v>
      </c>
      <c r="D172" s="12" t="s">
        <v>2698</v>
      </c>
      <c r="E172" s="12">
        <v>162</v>
      </c>
      <c r="F172" s="13" t="s">
        <v>1609</v>
      </c>
      <c r="G172" s="14">
        <v>3</v>
      </c>
      <c r="H172" s="14" t="s">
        <v>1371</v>
      </c>
      <c r="I172" s="13">
        <v>9</v>
      </c>
      <c r="J172" s="15" t="s">
        <v>1408</v>
      </c>
      <c r="K172" s="15" t="s">
        <v>2707</v>
      </c>
      <c r="L172" s="16">
        <v>8974.5360000000001</v>
      </c>
      <c r="M172" s="16">
        <v>1514.8795</v>
      </c>
      <c r="N172" s="16"/>
      <c r="O172" s="16"/>
      <c r="P172" s="16"/>
      <c r="Q172" s="16">
        <f>SUM(Tabela1[[#This Row],[201805]:[201807]])</f>
        <v>10489.415499999999</v>
      </c>
      <c r="R172" s="16">
        <f>SUM(Tabela1[[#This Row],[201905]:[201906]])</f>
        <v>0</v>
      </c>
      <c r="S172" s="16">
        <v>100000</v>
      </c>
      <c r="T172" s="16">
        <f>Tabela1[[#This Row],[Total 2019]]-Tabela1[[#This Row],[Total 2018]]</f>
        <v>-10489.415499999999</v>
      </c>
      <c r="U172" s="40">
        <f>Tabela1[[#This Row],[Total 2019]]/Tabela1[[#This Row],[Meta]]</f>
        <v>0</v>
      </c>
      <c r="V172" s="17">
        <f>IFERROR(Tabela1[[#This Row],[Total 2019]]/Tabela1[[#This Row],[Total 2018]]-1,0)</f>
        <v>-1</v>
      </c>
      <c r="W17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72" s="48"/>
      <c r="Y172" s="19"/>
      <c r="Z172" s="68"/>
    </row>
    <row r="173" spans="3:26" x14ac:dyDescent="0.35">
      <c r="C173" s="11" t="s">
        <v>2702</v>
      </c>
      <c r="D173" s="12" t="s">
        <v>2698</v>
      </c>
      <c r="E173" s="12">
        <v>163</v>
      </c>
      <c r="F173" s="13" t="s">
        <v>1610</v>
      </c>
      <c r="G173" s="14">
        <v>3</v>
      </c>
      <c r="H173" s="14" t="s">
        <v>1372</v>
      </c>
      <c r="I173" s="13">
        <v>21</v>
      </c>
      <c r="J173" s="15" t="s">
        <v>1420</v>
      </c>
      <c r="K173" s="15" t="s">
        <v>2708</v>
      </c>
      <c r="L173" s="16">
        <v>812.51600000000008</v>
      </c>
      <c r="M173" s="16">
        <v>2428.2094999999999</v>
      </c>
      <c r="N173" s="16"/>
      <c r="O173" s="16"/>
      <c r="P173" s="16"/>
      <c r="Q173" s="16">
        <f>SUM(Tabela1[[#This Row],[201805]:[201807]])</f>
        <v>3240.7255</v>
      </c>
      <c r="R173" s="16">
        <f>SUM(Tabela1[[#This Row],[201905]:[201906]])</f>
        <v>0</v>
      </c>
      <c r="S173" s="16">
        <v>100000</v>
      </c>
      <c r="T173" s="16">
        <f>Tabela1[[#This Row],[Total 2019]]-Tabela1[[#This Row],[Total 2018]]</f>
        <v>-3240.7255</v>
      </c>
      <c r="U173" s="40">
        <f>Tabela1[[#This Row],[Total 2019]]/Tabela1[[#This Row],[Meta]]</f>
        <v>0</v>
      </c>
      <c r="V173" s="17">
        <f>IFERROR(Tabela1[[#This Row],[Total 2019]]/Tabela1[[#This Row],[Total 2018]]-1,0)</f>
        <v>-1</v>
      </c>
      <c r="W17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73" s="48"/>
      <c r="Y173" s="19"/>
      <c r="Z173" s="68"/>
    </row>
    <row r="174" spans="3:26" x14ac:dyDescent="0.35">
      <c r="C174" s="11" t="s">
        <v>2703</v>
      </c>
      <c r="D174" s="12" t="s">
        <v>2699</v>
      </c>
      <c r="E174" s="12">
        <v>164</v>
      </c>
      <c r="F174" s="13" t="s">
        <v>1611</v>
      </c>
      <c r="G174" s="14">
        <v>2</v>
      </c>
      <c r="H174" s="14" t="s">
        <v>1371</v>
      </c>
      <c r="I174" s="13">
        <v>26</v>
      </c>
      <c r="J174" s="15" t="s">
        <v>1425</v>
      </c>
      <c r="K174" s="15" t="s">
        <v>2707</v>
      </c>
      <c r="L174" s="16">
        <v>5009.3215</v>
      </c>
      <c r="M174" s="16">
        <v>5731.3310000000001</v>
      </c>
      <c r="N174" s="16"/>
      <c r="O174" s="16">
        <v>7299.3725000000004</v>
      </c>
      <c r="P174" s="16">
        <v>1728.7149999999997</v>
      </c>
      <c r="Q174" s="16">
        <f>SUM(Tabela1[[#This Row],[201805]:[201807]])</f>
        <v>10740.6525</v>
      </c>
      <c r="R174" s="16">
        <f>SUM(Tabela1[[#This Row],[201905]:[201906]])</f>
        <v>9028.0874999999996</v>
      </c>
      <c r="S174" s="16">
        <v>100000</v>
      </c>
      <c r="T174" s="16">
        <f>Tabela1[[#This Row],[Total 2019]]-Tabela1[[#This Row],[Total 2018]]</f>
        <v>-1712.5650000000005</v>
      </c>
      <c r="U174" s="40">
        <f>Tabela1[[#This Row],[Total 2019]]/Tabela1[[#This Row],[Meta]]</f>
        <v>9.0280874999999997E-2</v>
      </c>
      <c r="V174" s="17">
        <f>IFERROR(Tabela1[[#This Row],[Total 2019]]/Tabela1[[#This Row],[Total 2018]]-1,0)</f>
        <v>-0.15944701683626772</v>
      </c>
      <c r="W17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174" s="48"/>
      <c r="Y174" s="19"/>
      <c r="Z174" s="68"/>
    </row>
    <row r="175" spans="3:26" x14ac:dyDescent="0.35">
      <c r="C175" s="11" t="s">
        <v>2703</v>
      </c>
      <c r="D175" s="12" t="s">
        <v>2698</v>
      </c>
      <c r="E175" s="12">
        <v>165</v>
      </c>
      <c r="F175" s="13" t="s">
        <v>1612</v>
      </c>
      <c r="G175" s="14">
        <v>1</v>
      </c>
      <c r="H175" s="14" t="s">
        <v>1371</v>
      </c>
      <c r="I175" s="13">
        <v>24</v>
      </c>
      <c r="J175" s="15" t="s">
        <v>1423</v>
      </c>
      <c r="K175" s="15" t="s">
        <v>2707</v>
      </c>
      <c r="L175" s="16">
        <v>934.68599999999992</v>
      </c>
      <c r="M175" s="16">
        <v>2374.9144999999994</v>
      </c>
      <c r="N175" s="16"/>
      <c r="O175" s="16">
        <v>3723.3539999999994</v>
      </c>
      <c r="P175" s="16">
        <v>6037.9909999999991</v>
      </c>
      <c r="Q175" s="16">
        <f>SUM(Tabela1[[#This Row],[201805]:[201807]])</f>
        <v>3309.6004999999996</v>
      </c>
      <c r="R175" s="16">
        <f>SUM(Tabela1[[#This Row],[201905]:[201906]])</f>
        <v>9761.3449999999975</v>
      </c>
      <c r="S175" s="16">
        <v>100000</v>
      </c>
      <c r="T175" s="16">
        <f>Tabela1[[#This Row],[Total 2019]]-Tabela1[[#This Row],[Total 2018]]</f>
        <v>6451.744499999998</v>
      </c>
      <c r="U175" s="40">
        <f>Tabela1[[#This Row],[Total 2019]]/Tabela1[[#This Row],[Meta]]</f>
        <v>9.7613449999999977E-2</v>
      </c>
      <c r="V175" s="17">
        <f>IFERROR(Tabela1[[#This Row],[Total 2019]]/Tabela1[[#This Row],[Total 2018]]-1,0)</f>
        <v>1.9494028055652031</v>
      </c>
      <c r="W17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175" s="48"/>
      <c r="Y175" s="19"/>
      <c r="Z175" s="68"/>
    </row>
    <row r="176" spans="3:26" x14ac:dyDescent="0.35">
      <c r="C176" s="11" t="s">
        <v>2704</v>
      </c>
      <c r="D176" s="12" t="s">
        <v>2699</v>
      </c>
      <c r="E176" s="12">
        <v>166</v>
      </c>
      <c r="F176" s="13" t="s">
        <v>1613</v>
      </c>
      <c r="G176" s="14">
        <v>2</v>
      </c>
      <c r="H176" s="14" t="s">
        <v>1372</v>
      </c>
      <c r="I176" s="13">
        <v>20</v>
      </c>
      <c r="J176" s="15" t="s">
        <v>1419</v>
      </c>
      <c r="K176" s="15" t="s">
        <v>2708</v>
      </c>
      <c r="L176" s="16">
        <v>1614.8005000000001</v>
      </c>
      <c r="M176" s="16">
        <v>777.54650000000004</v>
      </c>
      <c r="N176" s="16">
        <v>1832.2744999999998</v>
      </c>
      <c r="O176" s="16">
        <v>4474.2244999999994</v>
      </c>
      <c r="P176" s="16"/>
      <c r="Q176" s="16">
        <f>SUM(Tabela1[[#This Row],[201805]:[201807]])</f>
        <v>4224.6215000000002</v>
      </c>
      <c r="R176" s="16">
        <f>SUM(Tabela1[[#This Row],[201905]:[201906]])</f>
        <v>4474.2244999999994</v>
      </c>
      <c r="S176" s="16">
        <v>100000</v>
      </c>
      <c r="T176" s="16">
        <f>Tabela1[[#This Row],[Total 2019]]-Tabela1[[#This Row],[Total 2018]]</f>
        <v>249.60299999999916</v>
      </c>
      <c r="U176" s="40">
        <f>Tabela1[[#This Row],[Total 2019]]/Tabela1[[#This Row],[Meta]]</f>
        <v>4.4742244999999993E-2</v>
      </c>
      <c r="V176" s="17">
        <f>IFERROR(Tabela1[[#This Row],[Total 2019]]/Tabela1[[#This Row],[Total 2018]]-1,0)</f>
        <v>5.9082926127228097E-2</v>
      </c>
      <c r="W17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176" s="48"/>
      <c r="Y176" s="19"/>
      <c r="Z176" s="68"/>
    </row>
    <row r="177" spans="3:26" x14ac:dyDescent="0.35">
      <c r="C177" s="11" t="s">
        <v>2704</v>
      </c>
      <c r="D177" s="12" t="s">
        <v>2698</v>
      </c>
      <c r="E177" s="12">
        <v>167</v>
      </c>
      <c r="F177" s="13" t="s">
        <v>1614</v>
      </c>
      <c r="G177" s="14">
        <v>1</v>
      </c>
      <c r="H177" s="14" t="s">
        <v>1372</v>
      </c>
      <c r="I177" s="13">
        <v>10</v>
      </c>
      <c r="J177" s="15" t="s">
        <v>1409</v>
      </c>
      <c r="K177" s="15" t="s">
        <v>2708</v>
      </c>
      <c r="L177" s="16">
        <v>4248.4189999999999</v>
      </c>
      <c r="M177" s="16">
        <v>8246.3134999999984</v>
      </c>
      <c r="N177" s="16">
        <v>4562.375</v>
      </c>
      <c r="O177" s="16"/>
      <c r="P177" s="16"/>
      <c r="Q177" s="16">
        <f>SUM(Tabela1[[#This Row],[201805]:[201807]])</f>
        <v>17057.107499999998</v>
      </c>
      <c r="R177" s="16">
        <f>SUM(Tabela1[[#This Row],[201905]:[201906]])</f>
        <v>0</v>
      </c>
      <c r="S177" s="16">
        <v>100000</v>
      </c>
      <c r="T177" s="16">
        <f>Tabela1[[#This Row],[Total 2019]]-Tabela1[[#This Row],[Total 2018]]</f>
        <v>-17057.107499999998</v>
      </c>
      <c r="U177" s="40">
        <f>Tabela1[[#This Row],[Total 2019]]/Tabela1[[#This Row],[Meta]]</f>
        <v>0</v>
      </c>
      <c r="V177" s="17">
        <f>IFERROR(Tabela1[[#This Row],[Total 2019]]/Tabela1[[#This Row],[Total 2018]]-1,0)</f>
        <v>-1</v>
      </c>
      <c r="W17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77" s="48"/>
      <c r="Y177" s="19"/>
      <c r="Z177" s="68"/>
    </row>
    <row r="178" spans="3:26" x14ac:dyDescent="0.35">
      <c r="C178" s="11" t="s">
        <v>2702</v>
      </c>
      <c r="D178" s="12" t="s">
        <v>2700</v>
      </c>
      <c r="E178" s="12">
        <v>168</v>
      </c>
      <c r="F178" s="13" t="s">
        <v>1615</v>
      </c>
      <c r="G178" s="14">
        <v>2</v>
      </c>
      <c r="H178" s="14" t="s">
        <v>1370</v>
      </c>
      <c r="I178" s="13">
        <v>11</v>
      </c>
      <c r="J178" s="15" t="s">
        <v>1410</v>
      </c>
      <c r="K178" s="15" t="s">
        <v>2706</v>
      </c>
      <c r="L178" s="16"/>
      <c r="M178" s="16">
        <v>2680.672</v>
      </c>
      <c r="N178" s="16"/>
      <c r="O178" s="16"/>
      <c r="P178" s="16"/>
      <c r="Q178" s="16">
        <f>SUM(Tabela1[[#This Row],[201805]:[201807]])</f>
        <v>2680.672</v>
      </c>
      <c r="R178" s="16">
        <f>SUM(Tabela1[[#This Row],[201905]:[201906]])</f>
        <v>0</v>
      </c>
      <c r="S178" s="16">
        <v>100000</v>
      </c>
      <c r="T178" s="16">
        <f>Tabela1[[#This Row],[Total 2019]]-Tabela1[[#This Row],[Total 2018]]</f>
        <v>-2680.672</v>
      </c>
      <c r="U178" s="40">
        <f>Tabela1[[#This Row],[Total 2019]]/Tabela1[[#This Row],[Meta]]</f>
        <v>0</v>
      </c>
      <c r="V178" s="17">
        <f>IFERROR(Tabela1[[#This Row],[Total 2019]]/Tabela1[[#This Row],[Total 2018]]-1,0)</f>
        <v>-1</v>
      </c>
      <c r="W17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78" s="48"/>
      <c r="Y178" s="19"/>
      <c r="Z178" s="68"/>
    </row>
    <row r="179" spans="3:26" x14ac:dyDescent="0.35">
      <c r="C179" s="11" t="s">
        <v>2703</v>
      </c>
      <c r="D179" s="12" t="s">
        <v>2700</v>
      </c>
      <c r="E179" s="12">
        <v>169</v>
      </c>
      <c r="F179" s="13" t="s">
        <v>1616</v>
      </c>
      <c r="G179" s="14">
        <v>3</v>
      </c>
      <c r="H179" s="14" t="s">
        <v>1372</v>
      </c>
      <c r="I179" s="13">
        <v>25</v>
      </c>
      <c r="J179" s="15" t="s">
        <v>1424</v>
      </c>
      <c r="K179" s="15" t="s">
        <v>2708</v>
      </c>
      <c r="L179" s="16">
        <v>2574.6329999999998</v>
      </c>
      <c r="M179" s="16">
        <v>2543.1974999999998</v>
      </c>
      <c r="N179" s="16">
        <v>1684.6634999999999</v>
      </c>
      <c r="O179" s="16"/>
      <c r="P179" s="16"/>
      <c r="Q179" s="16">
        <f>SUM(Tabela1[[#This Row],[201805]:[201807]])</f>
        <v>6802.4939999999997</v>
      </c>
      <c r="R179" s="16">
        <f>SUM(Tabela1[[#This Row],[201905]:[201906]])</f>
        <v>0</v>
      </c>
      <c r="S179" s="16">
        <v>100000</v>
      </c>
      <c r="T179" s="16">
        <f>Tabela1[[#This Row],[Total 2019]]-Tabela1[[#This Row],[Total 2018]]</f>
        <v>-6802.4939999999997</v>
      </c>
      <c r="U179" s="40">
        <f>Tabela1[[#This Row],[Total 2019]]/Tabela1[[#This Row],[Meta]]</f>
        <v>0</v>
      </c>
      <c r="V179" s="17">
        <f>IFERROR(Tabela1[[#This Row],[Total 2019]]/Tabela1[[#This Row],[Total 2018]]-1,0)</f>
        <v>-1</v>
      </c>
      <c r="W17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79" s="48"/>
      <c r="Y179" s="19"/>
      <c r="Z179" s="68"/>
    </row>
    <row r="180" spans="3:26" x14ac:dyDescent="0.35">
      <c r="C180" s="11" t="s">
        <v>2703</v>
      </c>
      <c r="D180" s="12" t="s">
        <v>2700</v>
      </c>
      <c r="E180" s="12">
        <v>170</v>
      </c>
      <c r="F180" s="13" t="s">
        <v>1617</v>
      </c>
      <c r="G180" s="14">
        <v>1</v>
      </c>
      <c r="H180" s="14" t="s">
        <v>1372</v>
      </c>
      <c r="I180" s="13">
        <v>22</v>
      </c>
      <c r="J180" s="15" t="s">
        <v>1421</v>
      </c>
      <c r="K180" s="15" t="s">
        <v>2708</v>
      </c>
      <c r="L180" s="16"/>
      <c r="M180" s="16">
        <v>2544.0145000000002</v>
      </c>
      <c r="N180" s="16"/>
      <c r="O180" s="16"/>
      <c r="P180" s="16"/>
      <c r="Q180" s="16">
        <f>SUM(Tabela1[[#This Row],[201805]:[201807]])</f>
        <v>2544.0145000000002</v>
      </c>
      <c r="R180" s="16">
        <f>SUM(Tabela1[[#This Row],[201905]:[201906]])</f>
        <v>0</v>
      </c>
      <c r="S180" s="16">
        <v>100000</v>
      </c>
      <c r="T180" s="16">
        <f>Tabela1[[#This Row],[Total 2019]]-Tabela1[[#This Row],[Total 2018]]</f>
        <v>-2544.0145000000002</v>
      </c>
      <c r="U180" s="40">
        <f>Tabela1[[#This Row],[Total 2019]]/Tabela1[[#This Row],[Meta]]</f>
        <v>0</v>
      </c>
      <c r="V180" s="17">
        <f>IFERROR(Tabela1[[#This Row],[Total 2019]]/Tabela1[[#This Row],[Total 2018]]-1,0)</f>
        <v>-1</v>
      </c>
      <c r="W18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80" s="48"/>
      <c r="Y180" s="19"/>
      <c r="Z180" s="68"/>
    </row>
    <row r="181" spans="3:26" x14ac:dyDescent="0.35">
      <c r="C181" s="11" t="s">
        <v>2704</v>
      </c>
      <c r="D181" s="12" t="s">
        <v>2699</v>
      </c>
      <c r="E181" s="12">
        <v>171</v>
      </c>
      <c r="F181" s="13" t="s">
        <v>1618</v>
      </c>
      <c r="G181" s="14">
        <v>2</v>
      </c>
      <c r="H181" s="14" t="s">
        <v>1370</v>
      </c>
      <c r="I181" s="13">
        <v>1</v>
      </c>
      <c r="J181" s="15" t="s">
        <v>1400</v>
      </c>
      <c r="K181" s="15" t="s">
        <v>2706</v>
      </c>
      <c r="L181" s="16">
        <v>610.26099999999997</v>
      </c>
      <c r="M181" s="16">
        <v>550.62</v>
      </c>
      <c r="N181" s="16"/>
      <c r="O181" s="16"/>
      <c r="P181" s="16"/>
      <c r="Q181" s="16">
        <f>SUM(Tabela1[[#This Row],[201805]:[201807]])</f>
        <v>1160.8809999999999</v>
      </c>
      <c r="R181" s="16">
        <f>SUM(Tabela1[[#This Row],[201905]:[201906]])</f>
        <v>0</v>
      </c>
      <c r="S181" s="16">
        <v>100000</v>
      </c>
      <c r="T181" s="16">
        <f>Tabela1[[#This Row],[Total 2019]]-Tabela1[[#This Row],[Total 2018]]</f>
        <v>-1160.8809999999999</v>
      </c>
      <c r="U181" s="40">
        <f>Tabela1[[#This Row],[Total 2019]]/Tabela1[[#This Row],[Meta]]</f>
        <v>0</v>
      </c>
      <c r="V181" s="17">
        <f>IFERROR(Tabela1[[#This Row],[Total 2019]]/Tabela1[[#This Row],[Total 2018]]-1,0)</f>
        <v>-1</v>
      </c>
      <c r="W18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81" s="48"/>
      <c r="Y181" s="19"/>
      <c r="Z181" s="68"/>
    </row>
    <row r="182" spans="3:26" x14ac:dyDescent="0.35">
      <c r="C182" s="11" t="s">
        <v>2704</v>
      </c>
      <c r="D182" s="12" t="s">
        <v>2700</v>
      </c>
      <c r="E182" s="12">
        <v>172</v>
      </c>
      <c r="F182" s="13" t="s">
        <v>1619</v>
      </c>
      <c r="G182" s="14">
        <v>1</v>
      </c>
      <c r="H182" s="14" t="s">
        <v>1370</v>
      </c>
      <c r="I182" s="13">
        <v>1</v>
      </c>
      <c r="J182" s="15" t="s">
        <v>1400</v>
      </c>
      <c r="K182" s="15" t="s">
        <v>2706</v>
      </c>
      <c r="L182" s="16">
        <v>1286.0814999999998</v>
      </c>
      <c r="M182" s="16"/>
      <c r="N182" s="16"/>
      <c r="O182" s="16"/>
      <c r="P182" s="16"/>
      <c r="Q182" s="16">
        <f>SUM(Tabela1[[#This Row],[201805]:[201807]])</f>
        <v>1286.0814999999998</v>
      </c>
      <c r="R182" s="16">
        <f>SUM(Tabela1[[#This Row],[201905]:[201906]])</f>
        <v>0</v>
      </c>
      <c r="S182" s="16">
        <v>100000</v>
      </c>
      <c r="T182" s="16">
        <f>Tabela1[[#This Row],[Total 2019]]-Tabela1[[#This Row],[Total 2018]]</f>
        <v>-1286.0814999999998</v>
      </c>
      <c r="U182" s="40">
        <f>Tabela1[[#This Row],[Total 2019]]/Tabela1[[#This Row],[Meta]]</f>
        <v>0</v>
      </c>
      <c r="V182" s="17">
        <f>IFERROR(Tabela1[[#This Row],[Total 2019]]/Tabela1[[#This Row],[Total 2018]]-1,0)</f>
        <v>-1</v>
      </c>
      <c r="W18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82" s="48"/>
      <c r="Y182" s="19"/>
      <c r="Z182" s="68"/>
    </row>
    <row r="183" spans="3:26" x14ac:dyDescent="0.35">
      <c r="C183" s="11" t="s">
        <v>2704</v>
      </c>
      <c r="D183" s="12" t="s">
        <v>2698</v>
      </c>
      <c r="E183" s="12">
        <v>173</v>
      </c>
      <c r="F183" s="13" t="s">
        <v>1620</v>
      </c>
      <c r="G183" s="14">
        <v>3</v>
      </c>
      <c r="H183" s="14" t="s">
        <v>1372</v>
      </c>
      <c r="I183" s="13">
        <v>25</v>
      </c>
      <c r="J183" s="15" t="s">
        <v>1424</v>
      </c>
      <c r="K183" s="15" t="s">
        <v>2708</v>
      </c>
      <c r="L183" s="16">
        <v>1124.8854999999999</v>
      </c>
      <c r="M183" s="16">
        <v>6791.1414999999997</v>
      </c>
      <c r="N183" s="16">
        <v>1506.6239999999998</v>
      </c>
      <c r="O183" s="16">
        <v>5896.0990000000002</v>
      </c>
      <c r="P183" s="16">
        <v>3397.0289999999995</v>
      </c>
      <c r="Q183" s="16">
        <f>SUM(Tabela1[[#This Row],[201805]:[201807]])</f>
        <v>9422.6509999999998</v>
      </c>
      <c r="R183" s="16">
        <f>SUM(Tabela1[[#This Row],[201905]:[201906]])</f>
        <v>9293.1280000000006</v>
      </c>
      <c r="S183" s="16">
        <v>100000</v>
      </c>
      <c r="T183" s="16">
        <f>Tabela1[[#This Row],[Total 2019]]-Tabela1[[#This Row],[Total 2018]]</f>
        <v>-129.52299999999923</v>
      </c>
      <c r="U183" s="40">
        <f>Tabela1[[#This Row],[Total 2019]]/Tabela1[[#This Row],[Meta]]</f>
        <v>9.2931280000000005E-2</v>
      </c>
      <c r="V183" s="17">
        <f>IFERROR(Tabela1[[#This Row],[Total 2019]]/Tabela1[[#This Row],[Total 2018]]-1,0)</f>
        <v>-1.3745919274734786E-2</v>
      </c>
      <c r="W18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183" s="48"/>
      <c r="Y183" s="19"/>
      <c r="Z183" s="68"/>
    </row>
    <row r="184" spans="3:26" x14ac:dyDescent="0.35">
      <c r="C184" s="11" t="s">
        <v>2704</v>
      </c>
      <c r="D184" s="12" t="s">
        <v>2699</v>
      </c>
      <c r="E184" s="12">
        <v>174</v>
      </c>
      <c r="F184" s="13" t="s">
        <v>1621</v>
      </c>
      <c r="G184" s="14">
        <v>3</v>
      </c>
      <c r="H184" s="14" t="s">
        <v>1371</v>
      </c>
      <c r="I184" s="13">
        <v>4</v>
      </c>
      <c r="J184" s="15" t="s">
        <v>1403</v>
      </c>
      <c r="K184" s="15" t="s">
        <v>2707</v>
      </c>
      <c r="L184" s="16"/>
      <c r="M184" s="16">
        <v>6204.4119999999994</v>
      </c>
      <c r="N184" s="16">
        <v>3000.3184999999999</v>
      </c>
      <c r="O184" s="16">
        <v>11645.755500000001</v>
      </c>
      <c r="P184" s="16"/>
      <c r="Q184" s="16">
        <f>SUM(Tabela1[[#This Row],[201805]:[201807]])</f>
        <v>9204.7304999999997</v>
      </c>
      <c r="R184" s="16">
        <f>SUM(Tabela1[[#This Row],[201905]:[201906]])</f>
        <v>11645.755500000001</v>
      </c>
      <c r="S184" s="16">
        <v>100000</v>
      </c>
      <c r="T184" s="16">
        <f>Tabela1[[#This Row],[Total 2019]]-Tabela1[[#This Row],[Total 2018]]</f>
        <v>2441.0250000000015</v>
      </c>
      <c r="U184" s="40">
        <f>Tabela1[[#This Row],[Total 2019]]/Tabela1[[#This Row],[Meta]]</f>
        <v>0.11645755500000002</v>
      </c>
      <c r="V184" s="17">
        <f>IFERROR(Tabela1[[#This Row],[Total 2019]]/Tabela1[[#This Row],[Total 2018]]-1,0)</f>
        <v>0.26519244642741047</v>
      </c>
      <c r="W18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184" s="48"/>
      <c r="Y184" s="19"/>
      <c r="Z184" s="68"/>
    </row>
    <row r="185" spans="3:26" x14ac:dyDescent="0.35">
      <c r="C185" s="11" t="s">
        <v>2702</v>
      </c>
      <c r="D185" s="12" t="s">
        <v>2699</v>
      </c>
      <c r="E185" s="12">
        <v>175</v>
      </c>
      <c r="F185" s="13" t="s">
        <v>1622</v>
      </c>
      <c r="G185" s="14">
        <v>3</v>
      </c>
      <c r="H185" s="14" t="s">
        <v>1370</v>
      </c>
      <c r="I185" s="13">
        <v>8</v>
      </c>
      <c r="J185" s="15" t="s">
        <v>1407</v>
      </c>
      <c r="K185" s="15" t="s">
        <v>2706</v>
      </c>
      <c r="L185" s="16"/>
      <c r="M185" s="16">
        <v>4393.5505000000003</v>
      </c>
      <c r="N185" s="16"/>
      <c r="O185" s="16"/>
      <c r="P185" s="16"/>
      <c r="Q185" s="16">
        <f>SUM(Tabela1[[#This Row],[201805]:[201807]])</f>
        <v>4393.5505000000003</v>
      </c>
      <c r="R185" s="16">
        <f>SUM(Tabela1[[#This Row],[201905]:[201906]])</f>
        <v>0</v>
      </c>
      <c r="S185" s="16">
        <v>100000</v>
      </c>
      <c r="T185" s="16">
        <f>Tabela1[[#This Row],[Total 2019]]-Tabela1[[#This Row],[Total 2018]]</f>
        <v>-4393.5505000000003</v>
      </c>
      <c r="U185" s="40">
        <f>Tabela1[[#This Row],[Total 2019]]/Tabela1[[#This Row],[Meta]]</f>
        <v>0</v>
      </c>
      <c r="V185" s="17">
        <f>IFERROR(Tabela1[[#This Row],[Total 2019]]/Tabela1[[#This Row],[Total 2018]]-1,0)</f>
        <v>-1</v>
      </c>
      <c r="W18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85" s="48"/>
      <c r="Y185" s="19"/>
      <c r="Z185" s="68"/>
    </row>
    <row r="186" spans="3:26" x14ac:dyDescent="0.35">
      <c r="C186" s="11" t="s">
        <v>2702</v>
      </c>
      <c r="D186" s="12" t="s">
        <v>2700</v>
      </c>
      <c r="E186" s="12">
        <v>175</v>
      </c>
      <c r="F186" s="13" t="s">
        <v>1622</v>
      </c>
      <c r="G186" s="14">
        <v>1</v>
      </c>
      <c r="H186" s="14" t="s">
        <v>1370</v>
      </c>
      <c r="I186" s="13">
        <v>8</v>
      </c>
      <c r="J186" s="15" t="s">
        <v>1407</v>
      </c>
      <c r="K186" s="15" t="s">
        <v>2706</v>
      </c>
      <c r="L186" s="16"/>
      <c r="M186" s="16"/>
      <c r="N186" s="16"/>
      <c r="O186" s="16">
        <v>4483.9429999999993</v>
      </c>
      <c r="P186" s="16">
        <v>3081.4105</v>
      </c>
      <c r="Q186" s="16">
        <f>SUM(Tabela1[[#This Row],[201805]:[201807]])</f>
        <v>0</v>
      </c>
      <c r="R186" s="16">
        <f>SUM(Tabela1[[#This Row],[201905]:[201906]])</f>
        <v>7565.3534999999993</v>
      </c>
      <c r="S186" s="16">
        <v>100000</v>
      </c>
      <c r="T186" s="16">
        <f>Tabela1[[#This Row],[Total 2019]]-Tabela1[[#This Row],[Total 2018]]</f>
        <v>7565.3534999999993</v>
      </c>
      <c r="U186" s="40">
        <f>Tabela1[[#This Row],[Total 2019]]/Tabela1[[#This Row],[Meta]]</f>
        <v>7.5653534999999994E-2</v>
      </c>
      <c r="V186" s="17">
        <f>IFERROR(Tabela1[[#This Row],[Total 2019]]/Tabela1[[#This Row],[Total 2018]]-1,0)</f>
        <v>0</v>
      </c>
      <c r="W18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86" s="48"/>
      <c r="Y186" s="19"/>
      <c r="Z186" s="68"/>
    </row>
    <row r="187" spans="3:26" x14ac:dyDescent="0.35">
      <c r="C187" s="11" t="s">
        <v>2704</v>
      </c>
      <c r="D187" s="12" t="s">
        <v>2700</v>
      </c>
      <c r="E187" s="12">
        <v>176</v>
      </c>
      <c r="F187" s="13" t="s">
        <v>1623</v>
      </c>
      <c r="G187" s="14">
        <v>3</v>
      </c>
      <c r="H187" s="14" t="s">
        <v>1370</v>
      </c>
      <c r="I187" s="13">
        <v>1</v>
      </c>
      <c r="J187" s="15" t="s">
        <v>1400</v>
      </c>
      <c r="K187" s="15" t="s">
        <v>2706</v>
      </c>
      <c r="L187" s="16">
        <v>3334.0535</v>
      </c>
      <c r="M187" s="16">
        <v>5454.5010000000002</v>
      </c>
      <c r="N187" s="16"/>
      <c r="O187" s="16"/>
      <c r="P187" s="16"/>
      <c r="Q187" s="16">
        <f>SUM(Tabela1[[#This Row],[201805]:[201807]])</f>
        <v>8788.5545000000002</v>
      </c>
      <c r="R187" s="16">
        <f>SUM(Tabela1[[#This Row],[201905]:[201906]])</f>
        <v>0</v>
      </c>
      <c r="S187" s="16">
        <v>100000</v>
      </c>
      <c r="T187" s="16">
        <f>Tabela1[[#This Row],[Total 2019]]-Tabela1[[#This Row],[Total 2018]]</f>
        <v>-8788.5545000000002</v>
      </c>
      <c r="U187" s="40">
        <f>Tabela1[[#This Row],[Total 2019]]/Tabela1[[#This Row],[Meta]]</f>
        <v>0</v>
      </c>
      <c r="V187" s="17">
        <f>IFERROR(Tabela1[[#This Row],[Total 2019]]/Tabela1[[#This Row],[Total 2018]]-1,0)</f>
        <v>-1</v>
      </c>
      <c r="W18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87" s="48"/>
      <c r="Y187" s="19"/>
      <c r="Z187" s="68"/>
    </row>
    <row r="188" spans="3:26" x14ac:dyDescent="0.35">
      <c r="C188" s="11" t="s">
        <v>2704</v>
      </c>
      <c r="D188" s="12" t="s">
        <v>2698</v>
      </c>
      <c r="E188" s="12">
        <v>177</v>
      </c>
      <c r="F188" s="13" t="s">
        <v>1624</v>
      </c>
      <c r="G188" s="14">
        <v>1</v>
      </c>
      <c r="H188" s="14" t="s">
        <v>1370</v>
      </c>
      <c r="I188" s="13">
        <v>15</v>
      </c>
      <c r="J188" s="15" t="s">
        <v>1414</v>
      </c>
      <c r="K188" s="15" t="s">
        <v>2706</v>
      </c>
      <c r="L188" s="16"/>
      <c r="M188" s="16"/>
      <c r="N188" s="16">
        <v>5896.6309999999994</v>
      </c>
      <c r="O188" s="16"/>
      <c r="P188" s="16"/>
      <c r="Q188" s="16">
        <f>SUM(Tabela1[[#This Row],[201805]:[201807]])</f>
        <v>5896.6309999999994</v>
      </c>
      <c r="R188" s="16">
        <f>SUM(Tabela1[[#This Row],[201905]:[201906]])</f>
        <v>0</v>
      </c>
      <c r="S188" s="16">
        <v>100000</v>
      </c>
      <c r="T188" s="16">
        <f>Tabela1[[#This Row],[Total 2019]]-Tabela1[[#This Row],[Total 2018]]</f>
        <v>-5896.6309999999994</v>
      </c>
      <c r="U188" s="40">
        <f>Tabela1[[#This Row],[Total 2019]]/Tabela1[[#This Row],[Meta]]</f>
        <v>0</v>
      </c>
      <c r="V188" s="17">
        <f>IFERROR(Tabela1[[#This Row],[Total 2019]]/Tabela1[[#This Row],[Total 2018]]-1,0)</f>
        <v>-1</v>
      </c>
      <c r="W18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88" s="48"/>
      <c r="Y188" s="19"/>
      <c r="Z188" s="68"/>
    </row>
    <row r="189" spans="3:26" x14ac:dyDescent="0.35">
      <c r="C189" s="11" t="s">
        <v>2704</v>
      </c>
      <c r="D189" s="12" t="s">
        <v>2698</v>
      </c>
      <c r="E189" s="12">
        <v>178</v>
      </c>
      <c r="F189" s="13" t="s">
        <v>1625</v>
      </c>
      <c r="G189" s="14">
        <v>1</v>
      </c>
      <c r="H189" s="14" t="s">
        <v>1372</v>
      </c>
      <c r="I189" s="13">
        <v>17</v>
      </c>
      <c r="J189" s="15" t="s">
        <v>1416</v>
      </c>
      <c r="K189" s="15" t="s">
        <v>2708</v>
      </c>
      <c r="L189" s="16">
        <v>14065.348499999998</v>
      </c>
      <c r="M189" s="16">
        <v>8279.6204999999991</v>
      </c>
      <c r="N189" s="16">
        <v>1298.9349999999999</v>
      </c>
      <c r="O189" s="16"/>
      <c r="P189" s="16"/>
      <c r="Q189" s="16">
        <f>SUM(Tabela1[[#This Row],[201805]:[201807]])</f>
        <v>23643.903999999999</v>
      </c>
      <c r="R189" s="16">
        <f>SUM(Tabela1[[#This Row],[201905]:[201906]])</f>
        <v>0</v>
      </c>
      <c r="S189" s="16">
        <v>100000</v>
      </c>
      <c r="T189" s="16">
        <f>Tabela1[[#This Row],[Total 2019]]-Tabela1[[#This Row],[Total 2018]]</f>
        <v>-23643.903999999999</v>
      </c>
      <c r="U189" s="40">
        <f>Tabela1[[#This Row],[Total 2019]]/Tabela1[[#This Row],[Meta]]</f>
        <v>0</v>
      </c>
      <c r="V189" s="17">
        <f>IFERROR(Tabela1[[#This Row],[Total 2019]]/Tabela1[[#This Row],[Total 2018]]-1,0)</f>
        <v>-1</v>
      </c>
      <c r="W18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89" s="48"/>
      <c r="Y189" s="19"/>
      <c r="Z189" s="68"/>
    </row>
    <row r="190" spans="3:26" x14ac:dyDescent="0.35">
      <c r="C190" s="11" t="s">
        <v>2702</v>
      </c>
      <c r="D190" s="12" t="s">
        <v>2700</v>
      </c>
      <c r="E190" s="12">
        <v>179</v>
      </c>
      <c r="F190" s="13" t="s">
        <v>1626</v>
      </c>
      <c r="G190" s="14">
        <v>3</v>
      </c>
      <c r="H190" s="14" t="s">
        <v>1372</v>
      </c>
      <c r="I190" s="13">
        <v>20</v>
      </c>
      <c r="J190" s="15" t="s">
        <v>1419</v>
      </c>
      <c r="K190" s="15" t="s">
        <v>2708</v>
      </c>
      <c r="L190" s="16">
        <v>4553.5304999999998</v>
      </c>
      <c r="M190" s="16">
        <v>15159.321</v>
      </c>
      <c r="N190" s="16">
        <v>9234.1995000000024</v>
      </c>
      <c r="O190" s="16">
        <v>38025.212999999996</v>
      </c>
      <c r="P190" s="16"/>
      <c r="Q190" s="16">
        <f>SUM(Tabela1[[#This Row],[201805]:[201807]])</f>
        <v>28947.051000000003</v>
      </c>
      <c r="R190" s="16">
        <f>SUM(Tabela1[[#This Row],[201905]:[201906]])</f>
        <v>38025.212999999996</v>
      </c>
      <c r="S190" s="16">
        <v>100000</v>
      </c>
      <c r="T190" s="16">
        <f>Tabela1[[#This Row],[Total 2019]]-Tabela1[[#This Row],[Total 2018]]</f>
        <v>9078.161999999993</v>
      </c>
      <c r="U190" s="40">
        <f>Tabela1[[#This Row],[Total 2019]]/Tabela1[[#This Row],[Meta]]</f>
        <v>0.38025212999999997</v>
      </c>
      <c r="V190" s="17">
        <f>IFERROR(Tabela1[[#This Row],[Total 2019]]/Tabela1[[#This Row],[Total 2018]]-1,0)</f>
        <v>0.31361267163276807</v>
      </c>
      <c r="W19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190" s="48"/>
      <c r="Y190" s="19"/>
      <c r="Z190" s="68"/>
    </row>
    <row r="191" spans="3:26" x14ac:dyDescent="0.35">
      <c r="C191" s="11" t="s">
        <v>2704</v>
      </c>
      <c r="D191" s="12" t="s">
        <v>2700</v>
      </c>
      <c r="E191" s="12">
        <v>180</v>
      </c>
      <c r="F191" s="13" t="s">
        <v>1627</v>
      </c>
      <c r="G191" s="14">
        <v>2</v>
      </c>
      <c r="H191" s="14" t="s">
        <v>1370</v>
      </c>
      <c r="I191" s="13">
        <v>11</v>
      </c>
      <c r="J191" s="15" t="s">
        <v>1410</v>
      </c>
      <c r="K191" s="15" t="s">
        <v>2706</v>
      </c>
      <c r="L191" s="16">
        <v>2181.9694999999997</v>
      </c>
      <c r="M191" s="16">
        <v>6006.6219999999994</v>
      </c>
      <c r="N191" s="16">
        <v>2070.8479999999995</v>
      </c>
      <c r="O191" s="16"/>
      <c r="P191" s="16"/>
      <c r="Q191" s="16">
        <f>SUM(Tabela1[[#This Row],[201805]:[201807]])</f>
        <v>10259.439499999999</v>
      </c>
      <c r="R191" s="16">
        <f>SUM(Tabela1[[#This Row],[201905]:[201906]])</f>
        <v>0</v>
      </c>
      <c r="S191" s="16">
        <v>100000</v>
      </c>
      <c r="T191" s="16">
        <f>Tabela1[[#This Row],[Total 2019]]-Tabela1[[#This Row],[Total 2018]]</f>
        <v>-10259.439499999999</v>
      </c>
      <c r="U191" s="40">
        <f>Tabela1[[#This Row],[Total 2019]]/Tabela1[[#This Row],[Meta]]</f>
        <v>0</v>
      </c>
      <c r="V191" s="17">
        <f>IFERROR(Tabela1[[#This Row],[Total 2019]]/Tabela1[[#This Row],[Total 2018]]-1,0)</f>
        <v>-1</v>
      </c>
      <c r="W19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91" s="48"/>
      <c r="Y191" s="19"/>
      <c r="Z191" s="68"/>
    </row>
    <row r="192" spans="3:26" x14ac:dyDescent="0.35">
      <c r="C192" s="11" t="s">
        <v>2702</v>
      </c>
      <c r="D192" s="12" t="s">
        <v>2699</v>
      </c>
      <c r="E192" s="12">
        <v>181</v>
      </c>
      <c r="F192" s="13" t="s">
        <v>1628</v>
      </c>
      <c r="G192" s="14">
        <v>3</v>
      </c>
      <c r="H192" s="14" t="s">
        <v>1372</v>
      </c>
      <c r="I192" s="13">
        <v>21</v>
      </c>
      <c r="J192" s="15" t="s">
        <v>1420</v>
      </c>
      <c r="K192" s="15" t="s">
        <v>2708</v>
      </c>
      <c r="L192" s="16">
        <v>4408.8264999999992</v>
      </c>
      <c r="M192" s="16">
        <v>2964.5224999999996</v>
      </c>
      <c r="N192" s="16"/>
      <c r="O192" s="16"/>
      <c r="P192" s="16"/>
      <c r="Q192" s="16">
        <f>SUM(Tabela1[[#This Row],[201805]:[201807]])</f>
        <v>7373.3489999999983</v>
      </c>
      <c r="R192" s="16">
        <f>SUM(Tabela1[[#This Row],[201905]:[201906]])</f>
        <v>0</v>
      </c>
      <c r="S192" s="16">
        <v>100000</v>
      </c>
      <c r="T192" s="16">
        <f>Tabela1[[#This Row],[Total 2019]]-Tabela1[[#This Row],[Total 2018]]</f>
        <v>-7373.3489999999983</v>
      </c>
      <c r="U192" s="40">
        <f>Tabela1[[#This Row],[Total 2019]]/Tabela1[[#This Row],[Meta]]</f>
        <v>0</v>
      </c>
      <c r="V192" s="17">
        <f>IFERROR(Tabela1[[#This Row],[Total 2019]]/Tabela1[[#This Row],[Total 2018]]-1,0)</f>
        <v>-1</v>
      </c>
      <c r="W19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92" s="48"/>
      <c r="Y192" s="19"/>
      <c r="Z192" s="68"/>
    </row>
    <row r="193" spans="3:26" x14ac:dyDescent="0.35">
      <c r="C193" s="11" t="s">
        <v>2704</v>
      </c>
      <c r="D193" s="12" t="s">
        <v>2698</v>
      </c>
      <c r="E193" s="12">
        <v>182</v>
      </c>
      <c r="F193" s="13" t="s">
        <v>1629</v>
      </c>
      <c r="G193" s="14">
        <v>3</v>
      </c>
      <c r="H193" s="14" t="s">
        <v>1370</v>
      </c>
      <c r="I193" s="13">
        <v>1</v>
      </c>
      <c r="J193" s="15" t="s">
        <v>1400</v>
      </c>
      <c r="K193" s="15" t="s">
        <v>2706</v>
      </c>
      <c r="L193" s="16">
        <v>5360.4129999999996</v>
      </c>
      <c r="M193" s="16">
        <v>1194.9289999999999</v>
      </c>
      <c r="N193" s="16"/>
      <c r="O193" s="16">
        <v>2783.3289999999997</v>
      </c>
      <c r="P193" s="16">
        <v>2520.4639999999999</v>
      </c>
      <c r="Q193" s="16">
        <f>SUM(Tabela1[[#This Row],[201805]:[201807]])</f>
        <v>6555.3419999999996</v>
      </c>
      <c r="R193" s="16">
        <f>SUM(Tabela1[[#This Row],[201905]:[201906]])</f>
        <v>5303.7929999999997</v>
      </c>
      <c r="S193" s="16">
        <v>100000</v>
      </c>
      <c r="T193" s="16">
        <f>Tabela1[[#This Row],[Total 2019]]-Tabela1[[#This Row],[Total 2018]]</f>
        <v>-1251.549</v>
      </c>
      <c r="U193" s="40">
        <f>Tabela1[[#This Row],[Total 2019]]/Tabela1[[#This Row],[Meta]]</f>
        <v>5.3037929999999997E-2</v>
      </c>
      <c r="V193" s="17">
        <f>IFERROR(Tabela1[[#This Row],[Total 2019]]/Tabela1[[#This Row],[Total 2018]]-1,0)</f>
        <v>-0.1909204737144149</v>
      </c>
      <c r="W19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193" s="48"/>
      <c r="Y193" s="19"/>
      <c r="Z193" s="68"/>
    </row>
    <row r="194" spans="3:26" x14ac:dyDescent="0.35">
      <c r="C194" s="11" t="s">
        <v>2702</v>
      </c>
      <c r="D194" s="12" t="s">
        <v>2698</v>
      </c>
      <c r="E194" s="12">
        <v>183</v>
      </c>
      <c r="F194" s="13" t="s">
        <v>1630</v>
      </c>
      <c r="G194" s="14">
        <v>3</v>
      </c>
      <c r="H194" s="14" t="s">
        <v>1370</v>
      </c>
      <c r="I194" s="13">
        <v>30</v>
      </c>
      <c r="J194" s="15" t="s">
        <v>1429</v>
      </c>
      <c r="K194" s="15" t="s">
        <v>2706</v>
      </c>
      <c r="L194" s="16"/>
      <c r="M194" s="16">
        <v>3205.0625</v>
      </c>
      <c r="N194" s="16">
        <v>1908.2554999999998</v>
      </c>
      <c r="O194" s="16"/>
      <c r="P194" s="16"/>
      <c r="Q194" s="16">
        <f>SUM(Tabela1[[#This Row],[201805]:[201807]])</f>
        <v>5113.3179999999993</v>
      </c>
      <c r="R194" s="16">
        <f>SUM(Tabela1[[#This Row],[201905]:[201906]])</f>
        <v>0</v>
      </c>
      <c r="S194" s="16">
        <v>100000</v>
      </c>
      <c r="T194" s="16">
        <f>Tabela1[[#This Row],[Total 2019]]-Tabela1[[#This Row],[Total 2018]]</f>
        <v>-5113.3179999999993</v>
      </c>
      <c r="U194" s="40">
        <f>Tabela1[[#This Row],[Total 2019]]/Tabela1[[#This Row],[Meta]]</f>
        <v>0</v>
      </c>
      <c r="V194" s="17">
        <f>IFERROR(Tabela1[[#This Row],[Total 2019]]/Tabela1[[#This Row],[Total 2018]]-1,0)</f>
        <v>-1</v>
      </c>
      <c r="W19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94" s="48"/>
      <c r="Y194" s="19"/>
      <c r="Z194" s="68"/>
    </row>
    <row r="195" spans="3:26" x14ac:dyDescent="0.35">
      <c r="C195" s="11" t="s">
        <v>2703</v>
      </c>
      <c r="D195" s="12" t="s">
        <v>2699</v>
      </c>
      <c r="E195" s="12">
        <v>184</v>
      </c>
      <c r="F195" s="13" t="s">
        <v>1631</v>
      </c>
      <c r="G195" s="14">
        <v>3</v>
      </c>
      <c r="H195" s="14" t="s">
        <v>1372</v>
      </c>
      <c r="I195" s="13">
        <v>16</v>
      </c>
      <c r="J195" s="15" t="s">
        <v>1415</v>
      </c>
      <c r="K195" s="15" t="s">
        <v>2708</v>
      </c>
      <c r="L195" s="16">
        <v>1280.923</v>
      </c>
      <c r="M195" s="16">
        <v>2688.2814999999996</v>
      </c>
      <c r="N195" s="16">
        <v>383.44849999999997</v>
      </c>
      <c r="O195" s="16">
        <v>6707.6745000000001</v>
      </c>
      <c r="P195" s="16">
        <v>3409.6544999999996</v>
      </c>
      <c r="Q195" s="16">
        <f>SUM(Tabela1[[#This Row],[201805]:[201807]])</f>
        <v>4352.6530000000002</v>
      </c>
      <c r="R195" s="16">
        <f>SUM(Tabela1[[#This Row],[201905]:[201906]])</f>
        <v>10117.329</v>
      </c>
      <c r="S195" s="16">
        <v>100000</v>
      </c>
      <c r="T195" s="16">
        <f>Tabela1[[#This Row],[Total 2019]]-Tabela1[[#This Row],[Total 2018]]</f>
        <v>5764.6759999999995</v>
      </c>
      <c r="U195" s="40">
        <f>Tabela1[[#This Row],[Total 2019]]/Tabela1[[#This Row],[Meta]]</f>
        <v>0.10117329</v>
      </c>
      <c r="V195" s="17">
        <f>IFERROR(Tabela1[[#This Row],[Total 2019]]/Tabela1[[#This Row],[Total 2018]]-1,0)</f>
        <v>1.3244051386591118</v>
      </c>
      <c r="W19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195" s="48"/>
      <c r="Y195" s="19"/>
      <c r="Z195" s="68"/>
    </row>
    <row r="196" spans="3:26" x14ac:dyDescent="0.35">
      <c r="C196" s="11" t="s">
        <v>2704</v>
      </c>
      <c r="D196" s="12" t="s">
        <v>2699</v>
      </c>
      <c r="E196" s="12">
        <v>185</v>
      </c>
      <c r="F196" s="13" t="s">
        <v>1632</v>
      </c>
      <c r="G196" s="14">
        <v>1</v>
      </c>
      <c r="H196" s="14" t="s">
        <v>1372</v>
      </c>
      <c r="I196" s="13">
        <v>25</v>
      </c>
      <c r="J196" s="15" t="s">
        <v>1424</v>
      </c>
      <c r="K196" s="15" t="s">
        <v>2708</v>
      </c>
      <c r="L196" s="16">
        <v>1429.9589999999998</v>
      </c>
      <c r="M196" s="16">
        <v>4786.3089999999993</v>
      </c>
      <c r="N196" s="16">
        <v>1368.4559999999999</v>
      </c>
      <c r="O196" s="16"/>
      <c r="P196" s="16"/>
      <c r="Q196" s="16">
        <f>SUM(Tabela1[[#This Row],[201805]:[201807]])</f>
        <v>7584.7239999999993</v>
      </c>
      <c r="R196" s="16">
        <f>SUM(Tabela1[[#This Row],[201905]:[201906]])</f>
        <v>0</v>
      </c>
      <c r="S196" s="16">
        <v>100000</v>
      </c>
      <c r="T196" s="16">
        <f>Tabela1[[#This Row],[Total 2019]]-Tabela1[[#This Row],[Total 2018]]</f>
        <v>-7584.7239999999993</v>
      </c>
      <c r="U196" s="40">
        <f>Tabela1[[#This Row],[Total 2019]]/Tabela1[[#This Row],[Meta]]</f>
        <v>0</v>
      </c>
      <c r="V196" s="17">
        <f>IFERROR(Tabela1[[#This Row],[Total 2019]]/Tabela1[[#This Row],[Total 2018]]-1,0)</f>
        <v>-1</v>
      </c>
      <c r="W19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96" s="48"/>
      <c r="Y196" s="19"/>
      <c r="Z196" s="68"/>
    </row>
    <row r="197" spans="3:26" x14ac:dyDescent="0.35">
      <c r="C197" s="11" t="s">
        <v>2703</v>
      </c>
      <c r="D197" s="12" t="s">
        <v>2699</v>
      </c>
      <c r="E197" s="12">
        <v>186</v>
      </c>
      <c r="F197" s="13" t="s">
        <v>1633</v>
      </c>
      <c r="G197" s="14">
        <v>2</v>
      </c>
      <c r="H197" s="14" t="s">
        <v>1373</v>
      </c>
      <c r="I197" s="13">
        <v>28</v>
      </c>
      <c r="J197" s="15" t="s">
        <v>1427</v>
      </c>
      <c r="K197" s="15" t="s">
        <v>2710</v>
      </c>
      <c r="L197" s="16"/>
      <c r="M197" s="16">
        <v>3111.4115000000002</v>
      </c>
      <c r="N197" s="16"/>
      <c r="O197" s="16"/>
      <c r="P197" s="16"/>
      <c r="Q197" s="16">
        <f>SUM(Tabela1[[#This Row],[201805]:[201807]])</f>
        <v>3111.4115000000002</v>
      </c>
      <c r="R197" s="16">
        <f>SUM(Tabela1[[#This Row],[201905]:[201906]])</f>
        <v>0</v>
      </c>
      <c r="S197" s="16">
        <v>100000</v>
      </c>
      <c r="T197" s="16">
        <f>Tabela1[[#This Row],[Total 2019]]-Tabela1[[#This Row],[Total 2018]]</f>
        <v>-3111.4115000000002</v>
      </c>
      <c r="U197" s="40">
        <f>Tabela1[[#This Row],[Total 2019]]/Tabela1[[#This Row],[Meta]]</f>
        <v>0</v>
      </c>
      <c r="V197" s="17">
        <f>IFERROR(Tabela1[[#This Row],[Total 2019]]/Tabela1[[#This Row],[Total 2018]]-1,0)</f>
        <v>-1</v>
      </c>
      <c r="W19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97" s="48"/>
      <c r="Y197" s="19"/>
      <c r="Z197" s="68"/>
    </row>
    <row r="198" spans="3:26" x14ac:dyDescent="0.35">
      <c r="C198" s="11" t="s">
        <v>2703</v>
      </c>
      <c r="D198" s="12" t="s">
        <v>2698</v>
      </c>
      <c r="E198" s="12">
        <v>187</v>
      </c>
      <c r="F198" s="13" t="s">
        <v>1634</v>
      </c>
      <c r="G198" s="14">
        <v>1</v>
      </c>
      <c r="H198" s="14" t="s">
        <v>1372</v>
      </c>
      <c r="I198" s="13">
        <v>6</v>
      </c>
      <c r="J198" s="15" t="s">
        <v>1405</v>
      </c>
      <c r="K198" s="15" t="s">
        <v>2708</v>
      </c>
      <c r="L198" s="16">
        <v>2575.2314999999999</v>
      </c>
      <c r="M198" s="16">
        <v>2885.4160000000002</v>
      </c>
      <c r="N198" s="16"/>
      <c r="O198" s="16">
        <v>1269.6084999999998</v>
      </c>
      <c r="P198" s="16">
        <v>5980.5824999999995</v>
      </c>
      <c r="Q198" s="16">
        <f>SUM(Tabela1[[#This Row],[201805]:[201807]])</f>
        <v>5460.6475</v>
      </c>
      <c r="R198" s="16">
        <f>SUM(Tabela1[[#This Row],[201905]:[201906]])</f>
        <v>7250.1909999999989</v>
      </c>
      <c r="S198" s="16">
        <v>100000</v>
      </c>
      <c r="T198" s="16">
        <f>Tabela1[[#This Row],[Total 2019]]-Tabela1[[#This Row],[Total 2018]]</f>
        <v>1789.5434999999989</v>
      </c>
      <c r="U198" s="40">
        <f>Tabela1[[#This Row],[Total 2019]]/Tabela1[[#This Row],[Meta]]</f>
        <v>7.2501909999999989E-2</v>
      </c>
      <c r="V198" s="17">
        <f>IFERROR(Tabela1[[#This Row],[Total 2019]]/Tabela1[[#This Row],[Total 2018]]-1,0)</f>
        <v>0.32771635598159365</v>
      </c>
      <c r="W19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198" s="48"/>
      <c r="Y198" s="19"/>
      <c r="Z198" s="68"/>
    </row>
    <row r="199" spans="3:26" x14ac:dyDescent="0.35">
      <c r="C199" s="11" t="s">
        <v>2703</v>
      </c>
      <c r="D199" s="12" t="s">
        <v>2699</v>
      </c>
      <c r="E199" s="12">
        <v>188</v>
      </c>
      <c r="F199" s="13" t="s">
        <v>1635</v>
      </c>
      <c r="G199" s="14">
        <v>2</v>
      </c>
      <c r="H199" s="14" t="s">
        <v>1370</v>
      </c>
      <c r="I199" s="13">
        <v>8</v>
      </c>
      <c r="J199" s="15" t="s">
        <v>1407</v>
      </c>
      <c r="K199" s="15" t="s">
        <v>2706</v>
      </c>
      <c r="L199" s="16"/>
      <c r="M199" s="16">
        <v>2522.2309999999998</v>
      </c>
      <c r="N199" s="16"/>
      <c r="O199" s="16"/>
      <c r="P199" s="16"/>
      <c r="Q199" s="16">
        <f>SUM(Tabela1[[#This Row],[201805]:[201807]])</f>
        <v>2522.2309999999998</v>
      </c>
      <c r="R199" s="16">
        <f>SUM(Tabela1[[#This Row],[201905]:[201906]])</f>
        <v>0</v>
      </c>
      <c r="S199" s="16">
        <v>100000</v>
      </c>
      <c r="T199" s="16">
        <f>Tabela1[[#This Row],[Total 2019]]-Tabela1[[#This Row],[Total 2018]]</f>
        <v>-2522.2309999999998</v>
      </c>
      <c r="U199" s="40">
        <f>Tabela1[[#This Row],[Total 2019]]/Tabela1[[#This Row],[Meta]]</f>
        <v>0</v>
      </c>
      <c r="V199" s="17">
        <f>IFERROR(Tabela1[[#This Row],[Total 2019]]/Tabela1[[#This Row],[Total 2018]]-1,0)</f>
        <v>-1</v>
      </c>
      <c r="W19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99" s="48"/>
      <c r="Y199" s="19"/>
      <c r="Z199" s="68"/>
    </row>
    <row r="200" spans="3:26" x14ac:dyDescent="0.35">
      <c r="C200" s="11" t="s">
        <v>2702</v>
      </c>
      <c r="D200" s="12" t="s">
        <v>2699</v>
      </c>
      <c r="E200" s="12">
        <v>189</v>
      </c>
      <c r="F200" s="13" t="s">
        <v>1636</v>
      </c>
      <c r="G200" s="14">
        <v>3</v>
      </c>
      <c r="H200" s="14" t="s">
        <v>1370</v>
      </c>
      <c r="I200" s="13">
        <v>11</v>
      </c>
      <c r="J200" s="15" t="s">
        <v>1410</v>
      </c>
      <c r="K200" s="15" t="s">
        <v>2706</v>
      </c>
      <c r="L200" s="16"/>
      <c r="M200" s="16">
        <v>2718.6815000000001</v>
      </c>
      <c r="N200" s="16"/>
      <c r="O200" s="16"/>
      <c r="P200" s="16"/>
      <c r="Q200" s="16">
        <f>SUM(Tabela1[[#This Row],[201805]:[201807]])</f>
        <v>2718.6815000000001</v>
      </c>
      <c r="R200" s="16">
        <f>SUM(Tabela1[[#This Row],[201905]:[201906]])</f>
        <v>0</v>
      </c>
      <c r="S200" s="16">
        <v>100000</v>
      </c>
      <c r="T200" s="16">
        <f>Tabela1[[#This Row],[Total 2019]]-Tabela1[[#This Row],[Total 2018]]</f>
        <v>-2718.6815000000001</v>
      </c>
      <c r="U200" s="40">
        <f>Tabela1[[#This Row],[Total 2019]]/Tabela1[[#This Row],[Meta]]</f>
        <v>0</v>
      </c>
      <c r="V200" s="17">
        <f>IFERROR(Tabela1[[#This Row],[Total 2019]]/Tabela1[[#This Row],[Total 2018]]-1,0)</f>
        <v>-1</v>
      </c>
      <c r="W20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00" s="48"/>
      <c r="Y200" s="19"/>
      <c r="Z200" s="68"/>
    </row>
    <row r="201" spans="3:26" x14ac:dyDescent="0.35">
      <c r="C201" s="11" t="s">
        <v>2704</v>
      </c>
      <c r="D201" s="12" t="s">
        <v>2698</v>
      </c>
      <c r="E201" s="12">
        <v>190</v>
      </c>
      <c r="F201" s="13" t="s">
        <v>1637</v>
      </c>
      <c r="G201" s="14">
        <v>1</v>
      </c>
      <c r="H201" s="14" t="s">
        <v>1370</v>
      </c>
      <c r="I201" s="13">
        <v>11</v>
      </c>
      <c r="J201" s="15" t="s">
        <v>1410</v>
      </c>
      <c r="K201" s="15" t="s">
        <v>2706</v>
      </c>
      <c r="L201" s="16">
        <v>2909.3085000000001</v>
      </c>
      <c r="M201" s="16">
        <v>3865.7114999999994</v>
      </c>
      <c r="N201" s="16"/>
      <c r="O201" s="16">
        <v>4691.3945000000003</v>
      </c>
      <c r="P201" s="16"/>
      <c r="Q201" s="16">
        <f>SUM(Tabela1[[#This Row],[201805]:[201807]])</f>
        <v>6775.0199999999995</v>
      </c>
      <c r="R201" s="16">
        <f>SUM(Tabela1[[#This Row],[201905]:[201906]])</f>
        <v>4691.3945000000003</v>
      </c>
      <c r="S201" s="16">
        <v>100000</v>
      </c>
      <c r="T201" s="16">
        <f>Tabela1[[#This Row],[Total 2019]]-Tabela1[[#This Row],[Total 2018]]</f>
        <v>-2083.6254999999992</v>
      </c>
      <c r="U201" s="40">
        <f>Tabela1[[#This Row],[Total 2019]]/Tabela1[[#This Row],[Meta]]</f>
        <v>4.6913945000000006E-2</v>
      </c>
      <c r="V201" s="17">
        <f>IFERROR(Tabela1[[#This Row],[Total 2019]]/Tabela1[[#This Row],[Total 2018]]-1,0)</f>
        <v>-0.30754529137921349</v>
      </c>
      <c r="W20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201" s="48"/>
      <c r="Y201" s="19"/>
      <c r="Z201" s="68"/>
    </row>
    <row r="202" spans="3:26" x14ac:dyDescent="0.35">
      <c r="C202" s="11" t="s">
        <v>2702</v>
      </c>
      <c r="D202" s="12" t="s">
        <v>2699</v>
      </c>
      <c r="E202" s="12">
        <v>191</v>
      </c>
      <c r="F202" s="13" t="s">
        <v>1638</v>
      </c>
      <c r="G202" s="14">
        <v>2</v>
      </c>
      <c r="H202" s="14" t="s">
        <v>1372</v>
      </c>
      <c r="I202" s="13">
        <v>17</v>
      </c>
      <c r="J202" s="15" t="s">
        <v>1416</v>
      </c>
      <c r="K202" s="15" t="s">
        <v>2708</v>
      </c>
      <c r="L202" s="16">
        <v>2907.931</v>
      </c>
      <c r="M202" s="16">
        <v>4140.6224999999995</v>
      </c>
      <c r="N202" s="16">
        <v>2711.8320000000003</v>
      </c>
      <c r="O202" s="16"/>
      <c r="P202" s="16"/>
      <c r="Q202" s="16">
        <f>SUM(Tabela1[[#This Row],[201805]:[201807]])</f>
        <v>9760.3855000000003</v>
      </c>
      <c r="R202" s="16">
        <f>SUM(Tabela1[[#This Row],[201905]:[201906]])</f>
        <v>0</v>
      </c>
      <c r="S202" s="16">
        <v>100000</v>
      </c>
      <c r="T202" s="16">
        <f>Tabela1[[#This Row],[Total 2019]]-Tabela1[[#This Row],[Total 2018]]</f>
        <v>-9760.3855000000003</v>
      </c>
      <c r="U202" s="40">
        <f>Tabela1[[#This Row],[Total 2019]]/Tabela1[[#This Row],[Meta]]</f>
        <v>0</v>
      </c>
      <c r="V202" s="17">
        <f>IFERROR(Tabela1[[#This Row],[Total 2019]]/Tabela1[[#This Row],[Total 2018]]-1,0)</f>
        <v>-1</v>
      </c>
      <c r="W20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02" s="48"/>
      <c r="Y202" s="19"/>
      <c r="Z202" s="68"/>
    </row>
    <row r="203" spans="3:26" x14ac:dyDescent="0.35">
      <c r="C203" s="11" t="s">
        <v>2702</v>
      </c>
      <c r="D203" s="12" t="s">
        <v>2698</v>
      </c>
      <c r="E203" s="12">
        <v>192</v>
      </c>
      <c r="F203" s="13" t="s">
        <v>1639</v>
      </c>
      <c r="G203" s="14">
        <v>1</v>
      </c>
      <c r="H203" s="14" t="s">
        <v>1371</v>
      </c>
      <c r="I203" s="13">
        <v>31</v>
      </c>
      <c r="J203" s="15" t="s">
        <v>1430</v>
      </c>
      <c r="K203" s="15" t="s">
        <v>2707</v>
      </c>
      <c r="L203" s="16"/>
      <c r="M203" s="16">
        <v>2946.8240000000001</v>
      </c>
      <c r="N203" s="16"/>
      <c r="O203" s="16"/>
      <c r="P203" s="16"/>
      <c r="Q203" s="16">
        <f>SUM(Tabela1[[#This Row],[201805]:[201807]])</f>
        <v>2946.8240000000001</v>
      </c>
      <c r="R203" s="16">
        <f>SUM(Tabela1[[#This Row],[201905]:[201906]])</f>
        <v>0</v>
      </c>
      <c r="S203" s="16">
        <v>100000</v>
      </c>
      <c r="T203" s="16">
        <f>Tabela1[[#This Row],[Total 2019]]-Tabela1[[#This Row],[Total 2018]]</f>
        <v>-2946.8240000000001</v>
      </c>
      <c r="U203" s="40">
        <f>Tabela1[[#This Row],[Total 2019]]/Tabela1[[#This Row],[Meta]]</f>
        <v>0</v>
      </c>
      <c r="V203" s="17">
        <f>IFERROR(Tabela1[[#This Row],[Total 2019]]/Tabela1[[#This Row],[Total 2018]]-1,0)</f>
        <v>-1</v>
      </c>
      <c r="W20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03" s="48"/>
      <c r="Y203" s="19"/>
      <c r="Z203" s="68"/>
    </row>
    <row r="204" spans="3:26" x14ac:dyDescent="0.35">
      <c r="C204" s="11" t="s">
        <v>2704</v>
      </c>
      <c r="D204" s="12" t="s">
        <v>2698</v>
      </c>
      <c r="E204" s="12">
        <v>193</v>
      </c>
      <c r="F204" s="13" t="s">
        <v>1640</v>
      </c>
      <c r="G204" s="14">
        <v>3</v>
      </c>
      <c r="H204" s="14" t="s">
        <v>1372</v>
      </c>
      <c r="I204" s="13">
        <v>16</v>
      </c>
      <c r="J204" s="15" t="s">
        <v>1415</v>
      </c>
      <c r="K204" s="15" t="s">
        <v>2708</v>
      </c>
      <c r="L204" s="16">
        <v>3032.7040000000002</v>
      </c>
      <c r="M204" s="16">
        <v>13535.523999999999</v>
      </c>
      <c r="N204" s="16">
        <v>4249.9674999999997</v>
      </c>
      <c r="O204" s="16">
        <v>10828.9645</v>
      </c>
      <c r="P204" s="16">
        <v>5807.7204999999994</v>
      </c>
      <c r="Q204" s="16">
        <f>SUM(Tabela1[[#This Row],[201805]:[201807]])</f>
        <v>20818.195499999998</v>
      </c>
      <c r="R204" s="16">
        <f>SUM(Tabela1[[#This Row],[201905]:[201906]])</f>
        <v>16636.684999999998</v>
      </c>
      <c r="S204" s="16">
        <v>100000</v>
      </c>
      <c r="T204" s="16">
        <f>Tabela1[[#This Row],[Total 2019]]-Tabela1[[#This Row],[Total 2018]]</f>
        <v>-4181.5105000000003</v>
      </c>
      <c r="U204" s="40">
        <f>Tabela1[[#This Row],[Total 2019]]/Tabela1[[#This Row],[Meta]]</f>
        <v>0.16636684999999998</v>
      </c>
      <c r="V204" s="17">
        <f>IFERROR(Tabela1[[#This Row],[Total 2019]]/Tabela1[[#This Row],[Total 2018]]-1,0)</f>
        <v>-0.20085845096420585</v>
      </c>
      <c r="W20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204" s="48"/>
      <c r="Y204" s="19"/>
      <c r="Z204" s="68"/>
    </row>
    <row r="205" spans="3:26" x14ac:dyDescent="0.35">
      <c r="C205" s="11" t="s">
        <v>2702</v>
      </c>
      <c r="D205" s="12" t="s">
        <v>2699</v>
      </c>
      <c r="E205" s="12">
        <v>194</v>
      </c>
      <c r="F205" s="13" t="s">
        <v>1641</v>
      </c>
      <c r="G205" s="14">
        <v>2</v>
      </c>
      <c r="H205" s="14" t="s">
        <v>1371</v>
      </c>
      <c r="I205" s="13">
        <v>26</v>
      </c>
      <c r="J205" s="15" t="s">
        <v>1425</v>
      </c>
      <c r="K205" s="15" t="s">
        <v>2707</v>
      </c>
      <c r="L205" s="16">
        <v>1578.1875</v>
      </c>
      <c r="M205" s="16">
        <v>2985.1565000000001</v>
      </c>
      <c r="N205" s="16"/>
      <c r="O205" s="16"/>
      <c r="P205" s="16"/>
      <c r="Q205" s="16">
        <f>SUM(Tabela1[[#This Row],[201805]:[201807]])</f>
        <v>4563.3440000000001</v>
      </c>
      <c r="R205" s="16">
        <f>SUM(Tabela1[[#This Row],[201905]:[201906]])</f>
        <v>0</v>
      </c>
      <c r="S205" s="16">
        <v>100000</v>
      </c>
      <c r="T205" s="16">
        <f>Tabela1[[#This Row],[Total 2019]]-Tabela1[[#This Row],[Total 2018]]</f>
        <v>-4563.3440000000001</v>
      </c>
      <c r="U205" s="40">
        <f>Tabela1[[#This Row],[Total 2019]]/Tabela1[[#This Row],[Meta]]</f>
        <v>0</v>
      </c>
      <c r="V205" s="17">
        <f>IFERROR(Tabela1[[#This Row],[Total 2019]]/Tabela1[[#This Row],[Total 2018]]-1,0)</f>
        <v>-1</v>
      </c>
      <c r="W20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05" s="48"/>
      <c r="Y205" s="19"/>
      <c r="Z205" s="68"/>
    </row>
    <row r="206" spans="3:26" x14ac:dyDescent="0.35">
      <c r="C206" s="11" t="s">
        <v>2704</v>
      </c>
      <c r="D206" s="12" t="s">
        <v>2698</v>
      </c>
      <c r="E206" s="12">
        <v>195</v>
      </c>
      <c r="F206" s="13" t="s">
        <v>1642</v>
      </c>
      <c r="G206" s="14">
        <v>1</v>
      </c>
      <c r="H206" s="14" t="s">
        <v>1372</v>
      </c>
      <c r="I206" s="13">
        <v>22</v>
      </c>
      <c r="J206" s="15" t="s">
        <v>1421</v>
      </c>
      <c r="K206" s="15" t="s">
        <v>2708</v>
      </c>
      <c r="L206" s="16">
        <v>1389.375</v>
      </c>
      <c r="M206" s="16">
        <v>2836.3294999999998</v>
      </c>
      <c r="N206" s="16"/>
      <c r="O206" s="16"/>
      <c r="P206" s="16"/>
      <c r="Q206" s="16">
        <f>SUM(Tabela1[[#This Row],[201805]:[201807]])</f>
        <v>4225.7044999999998</v>
      </c>
      <c r="R206" s="16">
        <f>SUM(Tabela1[[#This Row],[201905]:[201906]])</f>
        <v>0</v>
      </c>
      <c r="S206" s="16">
        <v>100000</v>
      </c>
      <c r="T206" s="16">
        <f>Tabela1[[#This Row],[Total 2019]]-Tabela1[[#This Row],[Total 2018]]</f>
        <v>-4225.7044999999998</v>
      </c>
      <c r="U206" s="40">
        <f>Tabela1[[#This Row],[Total 2019]]/Tabela1[[#This Row],[Meta]]</f>
        <v>0</v>
      </c>
      <c r="V206" s="17">
        <f>IFERROR(Tabela1[[#This Row],[Total 2019]]/Tabela1[[#This Row],[Total 2018]]-1,0)</f>
        <v>-1</v>
      </c>
      <c r="W20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06" s="48"/>
      <c r="Y206" s="19"/>
      <c r="Z206" s="68"/>
    </row>
    <row r="207" spans="3:26" x14ac:dyDescent="0.35">
      <c r="C207" s="11" t="s">
        <v>2703</v>
      </c>
      <c r="D207" s="12" t="s">
        <v>2699</v>
      </c>
      <c r="E207" s="12">
        <v>196</v>
      </c>
      <c r="F207" s="13" t="s">
        <v>1643</v>
      </c>
      <c r="G207" s="14">
        <v>2</v>
      </c>
      <c r="H207" s="14" t="s">
        <v>1371</v>
      </c>
      <c r="I207" s="13">
        <v>7</v>
      </c>
      <c r="J207" s="15" t="s">
        <v>1406</v>
      </c>
      <c r="K207" s="15" t="s">
        <v>2707</v>
      </c>
      <c r="L207" s="16"/>
      <c r="M207" s="16">
        <v>4069.6385000000005</v>
      </c>
      <c r="N207" s="16">
        <v>6973.4560000000001</v>
      </c>
      <c r="O207" s="16"/>
      <c r="P207" s="16"/>
      <c r="Q207" s="16">
        <f>SUM(Tabela1[[#This Row],[201805]:[201807]])</f>
        <v>11043.094500000001</v>
      </c>
      <c r="R207" s="16">
        <f>SUM(Tabela1[[#This Row],[201905]:[201906]])</f>
        <v>0</v>
      </c>
      <c r="S207" s="16">
        <v>100000</v>
      </c>
      <c r="T207" s="16">
        <f>Tabela1[[#This Row],[Total 2019]]-Tabela1[[#This Row],[Total 2018]]</f>
        <v>-11043.094500000001</v>
      </c>
      <c r="U207" s="40">
        <f>Tabela1[[#This Row],[Total 2019]]/Tabela1[[#This Row],[Meta]]</f>
        <v>0</v>
      </c>
      <c r="V207" s="17">
        <f>IFERROR(Tabela1[[#This Row],[Total 2019]]/Tabela1[[#This Row],[Total 2018]]-1,0)</f>
        <v>-1</v>
      </c>
      <c r="W20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07" s="48"/>
      <c r="Y207" s="19"/>
      <c r="Z207" s="68"/>
    </row>
    <row r="208" spans="3:26" x14ac:dyDescent="0.35">
      <c r="C208" s="11" t="s">
        <v>2702</v>
      </c>
      <c r="D208" s="12" t="s">
        <v>2700</v>
      </c>
      <c r="E208" s="12">
        <v>197</v>
      </c>
      <c r="F208" s="13" t="s">
        <v>1644</v>
      </c>
      <c r="G208" s="14">
        <v>3</v>
      </c>
      <c r="H208" s="14" t="s">
        <v>1370</v>
      </c>
      <c r="I208" s="13">
        <v>32</v>
      </c>
      <c r="J208" s="15" t="s">
        <v>1431</v>
      </c>
      <c r="K208" s="15" t="s">
        <v>2706</v>
      </c>
      <c r="L208" s="16"/>
      <c r="M208" s="16">
        <v>11106.5165</v>
      </c>
      <c r="N208" s="16">
        <v>1897.6249999999998</v>
      </c>
      <c r="O208" s="16"/>
      <c r="P208" s="16"/>
      <c r="Q208" s="16">
        <f>SUM(Tabela1[[#This Row],[201805]:[201807]])</f>
        <v>13004.1415</v>
      </c>
      <c r="R208" s="16">
        <f>SUM(Tabela1[[#This Row],[201905]:[201906]])</f>
        <v>0</v>
      </c>
      <c r="S208" s="16">
        <v>100000</v>
      </c>
      <c r="T208" s="16">
        <f>Tabela1[[#This Row],[Total 2019]]-Tabela1[[#This Row],[Total 2018]]</f>
        <v>-13004.1415</v>
      </c>
      <c r="U208" s="40">
        <f>Tabela1[[#This Row],[Total 2019]]/Tabela1[[#This Row],[Meta]]</f>
        <v>0</v>
      </c>
      <c r="V208" s="17">
        <f>IFERROR(Tabela1[[#This Row],[Total 2019]]/Tabela1[[#This Row],[Total 2018]]-1,0)</f>
        <v>-1</v>
      </c>
      <c r="W20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08" s="48"/>
      <c r="Y208" s="19"/>
      <c r="Z208" s="68"/>
    </row>
    <row r="209" spans="3:26" x14ac:dyDescent="0.35">
      <c r="C209" s="11" t="s">
        <v>2703</v>
      </c>
      <c r="D209" s="12" t="s">
        <v>2700</v>
      </c>
      <c r="E209" s="12">
        <v>198</v>
      </c>
      <c r="F209" s="13" t="s">
        <v>1645</v>
      </c>
      <c r="G209" s="14">
        <v>2</v>
      </c>
      <c r="H209" s="14" t="s">
        <v>1371</v>
      </c>
      <c r="I209" s="13">
        <v>24</v>
      </c>
      <c r="J209" s="15" t="s">
        <v>1423</v>
      </c>
      <c r="K209" s="15" t="s">
        <v>2707</v>
      </c>
      <c r="L209" s="16"/>
      <c r="M209" s="16"/>
      <c r="N209" s="16"/>
      <c r="O209" s="16">
        <v>2701.0115000000001</v>
      </c>
      <c r="P209" s="16">
        <v>3678.0484999999999</v>
      </c>
      <c r="Q209" s="16">
        <f>SUM(Tabela1[[#This Row],[201805]:[201807]])</f>
        <v>0</v>
      </c>
      <c r="R209" s="16">
        <f>SUM(Tabela1[[#This Row],[201905]:[201906]])</f>
        <v>6379.0599999999995</v>
      </c>
      <c r="S209" s="16">
        <v>100000</v>
      </c>
      <c r="T209" s="16">
        <f>Tabela1[[#This Row],[Total 2019]]-Tabela1[[#This Row],[Total 2018]]</f>
        <v>6379.0599999999995</v>
      </c>
      <c r="U209" s="40">
        <f>Tabela1[[#This Row],[Total 2019]]/Tabela1[[#This Row],[Meta]]</f>
        <v>6.3790599999999989E-2</v>
      </c>
      <c r="V209" s="17">
        <f>IFERROR(Tabela1[[#This Row],[Total 2019]]/Tabela1[[#This Row],[Total 2018]]-1,0)</f>
        <v>0</v>
      </c>
      <c r="W20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209" s="48"/>
      <c r="Y209" s="19"/>
      <c r="Z209" s="68"/>
    </row>
    <row r="210" spans="3:26" x14ac:dyDescent="0.35">
      <c r="C210" s="11" t="s">
        <v>2703</v>
      </c>
      <c r="D210" s="12" t="s">
        <v>2700</v>
      </c>
      <c r="E210" s="12">
        <v>199</v>
      </c>
      <c r="F210" s="13" t="s">
        <v>1646</v>
      </c>
      <c r="G210" s="14">
        <v>2</v>
      </c>
      <c r="H210" s="14" t="s">
        <v>1372</v>
      </c>
      <c r="I210" s="13">
        <v>20</v>
      </c>
      <c r="J210" s="15" t="s">
        <v>1419</v>
      </c>
      <c r="K210" s="15" t="s">
        <v>2708</v>
      </c>
      <c r="L210" s="16">
        <v>1064.4845</v>
      </c>
      <c r="M210" s="16">
        <v>3229.5724999999998</v>
      </c>
      <c r="N210" s="16"/>
      <c r="O210" s="16">
        <v>5785.1389999999992</v>
      </c>
      <c r="P210" s="16">
        <v>1451.98</v>
      </c>
      <c r="Q210" s="16">
        <f>SUM(Tabela1[[#This Row],[201805]:[201807]])</f>
        <v>4294.0569999999998</v>
      </c>
      <c r="R210" s="16">
        <f>SUM(Tabela1[[#This Row],[201905]:[201906]])</f>
        <v>7237.1189999999988</v>
      </c>
      <c r="S210" s="16">
        <v>100000</v>
      </c>
      <c r="T210" s="16">
        <f>Tabela1[[#This Row],[Total 2019]]-Tabela1[[#This Row],[Total 2018]]</f>
        <v>2943.061999999999</v>
      </c>
      <c r="U210" s="40">
        <f>Tabela1[[#This Row],[Total 2019]]/Tabela1[[#This Row],[Meta]]</f>
        <v>7.2371189999999988E-2</v>
      </c>
      <c r="V210" s="17">
        <f>IFERROR(Tabela1[[#This Row],[Total 2019]]/Tabela1[[#This Row],[Total 2018]]-1,0)</f>
        <v>0.68538028256262074</v>
      </c>
      <c r="W21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210" s="48"/>
      <c r="Y210" s="19"/>
      <c r="Z210" s="68"/>
    </row>
    <row r="211" spans="3:26" x14ac:dyDescent="0.35">
      <c r="C211" s="11" t="s">
        <v>2704</v>
      </c>
      <c r="D211" s="12" t="s">
        <v>2699</v>
      </c>
      <c r="E211" s="12">
        <v>200</v>
      </c>
      <c r="F211" s="13" t="s">
        <v>1647</v>
      </c>
      <c r="G211" s="14">
        <v>1</v>
      </c>
      <c r="H211" s="14" t="s">
        <v>1371</v>
      </c>
      <c r="I211" s="13">
        <v>5</v>
      </c>
      <c r="J211" s="15" t="s">
        <v>1404</v>
      </c>
      <c r="K211" s="15" t="s">
        <v>2707</v>
      </c>
      <c r="L211" s="16"/>
      <c r="M211" s="16">
        <v>12696.626499999998</v>
      </c>
      <c r="N211" s="16"/>
      <c r="O211" s="16">
        <v>2055.3534999999997</v>
      </c>
      <c r="P211" s="16">
        <v>11935.4485</v>
      </c>
      <c r="Q211" s="16">
        <f>SUM(Tabela1[[#This Row],[201805]:[201807]])</f>
        <v>12696.626499999998</v>
      </c>
      <c r="R211" s="16">
        <f>SUM(Tabela1[[#This Row],[201905]:[201906]])</f>
        <v>13990.802</v>
      </c>
      <c r="S211" s="16">
        <v>100000</v>
      </c>
      <c r="T211" s="16">
        <f>Tabela1[[#This Row],[Total 2019]]-Tabela1[[#This Row],[Total 2018]]</f>
        <v>1294.1755000000012</v>
      </c>
      <c r="U211" s="40">
        <f>Tabela1[[#This Row],[Total 2019]]/Tabela1[[#This Row],[Meta]]</f>
        <v>0.13990801999999999</v>
      </c>
      <c r="V211" s="17">
        <f>IFERROR(Tabela1[[#This Row],[Total 2019]]/Tabela1[[#This Row],[Total 2018]]-1,0)</f>
        <v>0.10193065850995953</v>
      </c>
      <c r="W21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211" s="48"/>
      <c r="Y211" s="19"/>
      <c r="Z211" s="68"/>
    </row>
    <row r="212" spans="3:26" x14ac:dyDescent="0.35">
      <c r="C212" s="11" t="s">
        <v>2704</v>
      </c>
      <c r="D212" s="12" t="s">
        <v>2699</v>
      </c>
      <c r="E212" s="12">
        <v>201</v>
      </c>
      <c r="F212" s="13" t="s">
        <v>1648</v>
      </c>
      <c r="G212" s="14">
        <v>3</v>
      </c>
      <c r="H212" s="14" t="s">
        <v>1371</v>
      </c>
      <c r="I212" s="13">
        <v>14</v>
      </c>
      <c r="J212" s="15" t="s">
        <v>1413</v>
      </c>
      <c r="K212" s="15" t="s">
        <v>2707</v>
      </c>
      <c r="L212" s="16">
        <v>3059.6174999999998</v>
      </c>
      <c r="M212" s="16">
        <v>885.86549999999988</v>
      </c>
      <c r="N212" s="16">
        <v>823.45050000000003</v>
      </c>
      <c r="O212" s="16">
        <v>2004.3859999999997</v>
      </c>
      <c r="P212" s="16"/>
      <c r="Q212" s="16">
        <f>SUM(Tabela1[[#This Row],[201805]:[201807]])</f>
        <v>4768.9335000000001</v>
      </c>
      <c r="R212" s="16">
        <f>SUM(Tabela1[[#This Row],[201905]:[201906]])</f>
        <v>2004.3859999999997</v>
      </c>
      <c r="S212" s="16">
        <v>100000</v>
      </c>
      <c r="T212" s="16">
        <f>Tabela1[[#This Row],[Total 2019]]-Tabela1[[#This Row],[Total 2018]]</f>
        <v>-2764.5475000000006</v>
      </c>
      <c r="U212" s="40">
        <f>Tabela1[[#This Row],[Total 2019]]/Tabela1[[#This Row],[Meta]]</f>
        <v>2.0043859999999997E-2</v>
      </c>
      <c r="V212" s="17">
        <f>IFERROR(Tabela1[[#This Row],[Total 2019]]/Tabela1[[#This Row],[Total 2018]]-1,0)</f>
        <v>-0.57969931851639367</v>
      </c>
      <c r="W21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212" s="48"/>
      <c r="Y212" s="19"/>
      <c r="Z212" s="68"/>
    </row>
    <row r="213" spans="3:26" x14ac:dyDescent="0.35">
      <c r="C213" s="11" t="s">
        <v>2703</v>
      </c>
      <c r="D213" s="12" t="s">
        <v>2699</v>
      </c>
      <c r="E213" s="12">
        <v>202</v>
      </c>
      <c r="F213" s="13" t="s">
        <v>1649</v>
      </c>
      <c r="G213" s="14">
        <v>3</v>
      </c>
      <c r="H213" s="14" t="s">
        <v>1370</v>
      </c>
      <c r="I213" s="13">
        <v>29</v>
      </c>
      <c r="J213" s="15" t="s">
        <v>1428</v>
      </c>
      <c r="K213" s="15" t="s">
        <v>2706</v>
      </c>
      <c r="L213" s="16">
        <v>6317.9464999999991</v>
      </c>
      <c r="M213" s="16">
        <v>936.548</v>
      </c>
      <c r="N213" s="16">
        <v>992.29399999999998</v>
      </c>
      <c r="O213" s="16">
        <v>4993.9979999999996</v>
      </c>
      <c r="P213" s="16"/>
      <c r="Q213" s="16">
        <f>SUM(Tabela1[[#This Row],[201805]:[201807]])</f>
        <v>8246.7884999999987</v>
      </c>
      <c r="R213" s="16">
        <f>SUM(Tabela1[[#This Row],[201905]:[201906]])</f>
        <v>4993.9979999999996</v>
      </c>
      <c r="S213" s="16">
        <v>100000</v>
      </c>
      <c r="T213" s="16">
        <f>Tabela1[[#This Row],[Total 2019]]-Tabela1[[#This Row],[Total 2018]]</f>
        <v>-3252.7904999999992</v>
      </c>
      <c r="U213" s="40">
        <f>Tabela1[[#This Row],[Total 2019]]/Tabela1[[#This Row],[Meta]]</f>
        <v>4.9939979999999995E-2</v>
      </c>
      <c r="V213" s="17">
        <f>IFERROR(Tabela1[[#This Row],[Total 2019]]/Tabela1[[#This Row],[Total 2018]]-1,0)</f>
        <v>-0.39443117766388691</v>
      </c>
      <c r="W21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213" s="48"/>
      <c r="Y213" s="19"/>
      <c r="Z213" s="68"/>
    </row>
    <row r="214" spans="3:26" x14ac:dyDescent="0.35">
      <c r="C214" s="11" t="s">
        <v>2704</v>
      </c>
      <c r="D214" s="12" t="s">
        <v>2700</v>
      </c>
      <c r="E214" s="12">
        <v>203</v>
      </c>
      <c r="F214" s="13" t="s">
        <v>1650</v>
      </c>
      <c r="G214" s="14">
        <v>3</v>
      </c>
      <c r="H214" s="14" t="s">
        <v>1371</v>
      </c>
      <c r="I214" s="13">
        <v>24</v>
      </c>
      <c r="J214" s="15" t="s">
        <v>1423</v>
      </c>
      <c r="K214" s="15" t="s">
        <v>2707</v>
      </c>
      <c r="L214" s="16">
        <v>8372.4735000000001</v>
      </c>
      <c r="M214" s="16">
        <v>2845.0885000000003</v>
      </c>
      <c r="N214" s="16"/>
      <c r="O214" s="16"/>
      <c r="P214" s="16"/>
      <c r="Q214" s="16">
        <f>SUM(Tabela1[[#This Row],[201805]:[201807]])</f>
        <v>11217.562</v>
      </c>
      <c r="R214" s="16">
        <f>SUM(Tabela1[[#This Row],[201905]:[201906]])</f>
        <v>0</v>
      </c>
      <c r="S214" s="16">
        <v>100000</v>
      </c>
      <c r="T214" s="16">
        <f>Tabela1[[#This Row],[Total 2019]]-Tabela1[[#This Row],[Total 2018]]</f>
        <v>-11217.562</v>
      </c>
      <c r="U214" s="40">
        <f>Tabela1[[#This Row],[Total 2019]]/Tabela1[[#This Row],[Meta]]</f>
        <v>0</v>
      </c>
      <c r="V214" s="17">
        <f>IFERROR(Tabela1[[#This Row],[Total 2019]]/Tabela1[[#This Row],[Total 2018]]-1,0)</f>
        <v>-1</v>
      </c>
      <c r="W21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14" s="48"/>
      <c r="Y214" s="19"/>
      <c r="Z214" s="68"/>
    </row>
    <row r="215" spans="3:26" x14ac:dyDescent="0.35">
      <c r="C215" s="11" t="s">
        <v>2702</v>
      </c>
      <c r="D215" s="12" t="s">
        <v>2700</v>
      </c>
      <c r="E215" s="12">
        <v>204</v>
      </c>
      <c r="F215" s="13" t="s">
        <v>1651</v>
      </c>
      <c r="G215" s="14">
        <v>1</v>
      </c>
      <c r="H215" s="14" t="s">
        <v>1371</v>
      </c>
      <c r="I215" s="13">
        <v>7</v>
      </c>
      <c r="J215" s="15" t="s">
        <v>1406</v>
      </c>
      <c r="K215" s="15" t="s">
        <v>2707</v>
      </c>
      <c r="L215" s="16">
        <v>2577.9769999999999</v>
      </c>
      <c r="M215" s="16">
        <v>4936.9409999999998</v>
      </c>
      <c r="N215" s="16">
        <v>5159.3644999999997</v>
      </c>
      <c r="O215" s="16"/>
      <c r="P215" s="16"/>
      <c r="Q215" s="16">
        <f>SUM(Tabela1[[#This Row],[201805]:[201807]])</f>
        <v>12674.282499999999</v>
      </c>
      <c r="R215" s="16">
        <f>SUM(Tabela1[[#This Row],[201905]:[201906]])</f>
        <v>0</v>
      </c>
      <c r="S215" s="16">
        <v>100000</v>
      </c>
      <c r="T215" s="16">
        <f>Tabela1[[#This Row],[Total 2019]]-Tabela1[[#This Row],[Total 2018]]</f>
        <v>-12674.282499999999</v>
      </c>
      <c r="U215" s="40">
        <f>Tabela1[[#This Row],[Total 2019]]/Tabela1[[#This Row],[Meta]]</f>
        <v>0</v>
      </c>
      <c r="V215" s="17">
        <f>IFERROR(Tabela1[[#This Row],[Total 2019]]/Tabela1[[#This Row],[Total 2018]]-1,0)</f>
        <v>-1</v>
      </c>
      <c r="W21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15" s="48"/>
      <c r="Y215" s="19"/>
      <c r="Z215" s="68"/>
    </row>
    <row r="216" spans="3:26" x14ac:dyDescent="0.35">
      <c r="C216" s="11" t="s">
        <v>2703</v>
      </c>
      <c r="D216" s="12" t="s">
        <v>2699</v>
      </c>
      <c r="E216" s="12">
        <v>205</v>
      </c>
      <c r="F216" s="13" t="s">
        <v>1652</v>
      </c>
      <c r="G216" s="14">
        <v>1</v>
      </c>
      <c r="H216" s="14" t="s">
        <v>1371</v>
      </c>
      <c r="I216" s="13">
        <v>26</v>
      </c>
      <c r="J216" s="15" t="s">
        <v>1425</v>
      </c>
      <c r="K216" s="15" t="s">
        <v>2707</v>
      </c>
      <c r="L216" s="16">
        <v>5291.6710000000003</v>
      </c>
      <c r="M216" s="16">
        <v>7461.7275</v>
      </c>
      <c r="N216" s="16"/>
      <c r="O216" s="16">
        <v>8008.5475000000006</v>
      </c>
      <c r="P216" s="16">
        <v>5626.6790000000001</v>
      </c>
      <c r="Q216" s="16">
        <f>SUM(Tabela1[[#This Row],[201805]:[201807]])</f>
        <v>12753.398499999999</v>
      </c>
      <c r="R216" s="16">
        <f>SUM(Tabela1[[#This Row],[201905]:[201906]])</f>
        <v>13635.226500000001</v>
      </c>
      <c r="S216" s="16">
        <v>100000</v>
      </c>
      <c r="T216" s="16">
        <f>Tabela1[[#This Row],[Total 2019]]-Tabela1[[#This Row],[Total 2018]]</f>
        <v>881.82800000000134</v>
      </c>
      <c r="U216" s="40">
        <f>Tabela1[[#This Row],[Total 2019]]/Tabela1[[#This Row],[Meta]]</f>
        <v>0.136352265</v>
      </c>
      <c r="V216" s="17">
        <f>IFERROR(Tabela1[[#This Row],[Total 2019]]/Tabela1[[#This Row],[Total 2018]]-1,0)</f>
        <v>6.9144549980148629E-2</v>
      </c>
      <c r="W21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216" s="48"/>
      <c r="Y216" s="19"/>
      <c r="Z216" s="68"/>
    </row>
    <row r="217" spans="3:26" x14ac:dyDescent="0.35">
      <c r="C217" s="11" t="s">
        <v>2702</v>
      </c>
      <c r="D217" s="12" t="s">
        <v>2699</v>
      </c>
      <c r="E217" s="12">
        <v>206</v>
      </c>
      <c r="F217" s="13" t="s">
        <v>1653</v>
      </c>
      <c r="G217" s="14">
        <v>3</v>
      </c>
      <c r="H217" s="14" t="s">
        <v>1370</v>
      </c>
      <c r="I217" s="13">
        <v>15</v>
      </c>
      <c r="J217" s="15" t="s">
        <v>1414</v>
      </c>
      <c r="K217" s="15" t="s">
        <v>2706</v>
      </c>
      <c r="L217" s="16">
        <v>3928.3544999999995</v>
      </c>
      <c r="M217" s="16">
        <v>3851.5375000000004</v>
      </c>
      <c r="N217" s="16">
        <v>2228.605</v>
      </c>
      <c r="O217" s="16"/>
      <c r="P217" s="16"/>
      <c r="Q217" s="16">
        <f>SUM(Tabela1[[#This Row],[201805]:[201807]])</f>
        <v>10008.496999999999</v>
      </c>
      <c r="R217" s="16">
        <f>SUM(Tabela1[[#This Row],[201905]:[201906]])</f>
        <v>0</v>
      </c>
      <c r="S217" s="16">
        <v>100000</v>
      </c>
      <c r="T217" s="16">
        <f>Tabela1[[#This Row],[Total 2019]]-Tabela1[[#This Row],[Total 2018]]</f>
        <v>-10008.496999999999</v>
      </c>
      <c r="U217" s="40">
        <f>Tabela1[[#This Row],[Total 2019]]/Tabela1[[#This Row],[Meta]]</f>
        <v>0</v>
      </c>
      <c r="V217" s="17">
        <f>IFERROR(Tabela1[[#This Row],[Total 2019]]/Tabela1[[#This Row],[Total 2018]]-1,0)</f>
        <v>-1</v>
      </c>
      <c r="W21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17" s="48"/>
      <c r="Y217" s="19"/>
      <c r="Z217" s="68"/>
    </row>
    <row r="218" spans="3:26" x14ac:dyDescent="0.35">
      <c r="C218" s="11" t="s">
        <v>2702</v>
      </c>
      <c r="D218" s="12" t="s">
        <v>2699</v>
      </c>
      <c r="E218" s="12">
        <v>207</v>
      </c>
      <c r="F218" s="13" t="s">
        <v>1654</v>
      </c>
      <c r="G218" s="14">
        <v>2</v>
      </c>
      <c r="H218" s="14" t="s">
        <v>1370</v>
      </c>
      <c r="I218" s="13">
        <v>19</v>
      </c>
      <c r="J218" s="15" t="s">
        <v>1418</v>
      </c>
      <c r="K218" s="15" t="s">
        <v>2706</v>
      </c>
      <c r="L218" s="16">
        <v>2432.7979999999993</v>
      </c>
      <c r="M218" s="16">
        <v>10073.382</v>
      </c>
      <c r="N218" s="16"/>
      <c r="O218" s="16"/>
      <c r="P218" s="16"/>
      <c r="Q218" s="16">
        <f>SUM(Tabela1[[#This Row],[201805]:[201807]])</f>
        <v>12506.179999999998</v>
      </c>
      <c r="R218" s="16">
        <f>SUM(Tabela1[[#This Row],[201905]:[201906]])</f>
        <v>0</v>
      </c>
      <c r="S218" s="16">
        <v>100000</v>
      </c>
      <c r="T218" s="16">
        <f>Tabela1[[#This Row],[Total 2019]]-Tabela1[[#This Row],[Total 2018]]</f>
        <v>-12506.179999999998</v>
      </c>
      <c r="U218" s="40">
        <f>Tabela1[[#This Row],[Total 2019]]/Tabela1[[#This Row],[Meta]]</f>
        <v>0</v>
      </c>
      <c r="V218" s="17">
        <f>IFERROR(Tabela1[[#This Row],[Total 2019]]/Tabela1[[#This Row],[Total 2018]]-1,0)</f>
        <v>-1</v>
      </c>
      <c r="W21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18" s="48"/>
      <c r="Y218" s="19"/>
      <c r="Z218" s="68"/>
    </row>
    <row r="219" spans="3:26" x14ac:dyDescent="0.35">
      <c r="C219" s="11" t="s">
        <v>2702</v>
      </c>
      <c r="D219" s="12" t="s">
        <v>2699</v>
      </c>
      <c r="E219" s="12">
        <v>208</v>
      </c>
      <c r="F219" s="13" t="s">
        <v>1655</v>
      </c>
      <c r="G219" s="14">
        <v>2</v>
      </c>
      <c r="H219" s="14" t="s">
        <v>1371</v>
      </c>
      <c r="I219" s="13">
        <v>26</v>
      </c>
      <c r="J219" s="15" t="s">
        <v>1425</v>
      </c>
      <c r="K219" s="15" t="s">
        <v>2707</v>
      </c>
      <c r="L219" s="16">
        <v>3470.16</v>
      </c>
      <c r="M219" s="16">
        <v>2672.7964999999999</v>
      </c>
      <c r="N219" s="16"/>
      <c r="O219" s="16"/>
      <c r="P219" s="16"/>
      <c r="Q219" s="16">
        <f>SUM(Tabela1[[#This Row],[201805]:[201807]])</f>
        <v>6142.9565000000002</v>
      </c>
      <c r="R219" s="16">
        <f>SUM(Tabela1[[#This Row],[201905]:[201906]])</f>
        <v>0</v>
      </c>
      <c r="S219" s="16">
        <v>100000</v>
      </c>
      <c r="T219" s="16">
        <f>Tabela1[[#This Row],[Total 2019]]-Tabela1[[#This Row],[Total 2018]]</f>
        <v>-6142.9565000000002</v>
      </c>
      <c r="U219" s="40">
        <f>Tabela1[[#This Row],[Total 2019]]/Tabela1[[#This Row],[Meta]]</f>
        <v>0</v>
      </c>
      <c r="V219" s="17">
        <f>IFERROR(Tabela1[[#This Row],[Total 2019]]/Tabela1[[#This Row],[Total 2018]]-1,0)</f>
        <v>-1</v>
      </c>
      <c r="W21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19" s="48"/>
      <c r="Y219" s="19"/>
      <c r="Z219" s="68"/>
    </row>
    <row r="220" spans="3:26" x14ac:dyDescent="0.35">
      <c r="C220" s="11" t="s">
        <v>2702</v>
      </c>
      <c r="D220" s="12" t="s">
        <v>2698</v>
      </c>
      <c r="E220" s="12">
        <v>209</v>
      </c>
      <c r="F220" s="13" t="s">
        <v>1656</v>
      </c>
      <c r="G220" s="14">
        <v>3</v>
      </c>
      <c r="H220" s="14" t="s">
        <v>1372</v>
      </c>
      <c r="I220" s="13">
        <v>21</v>
      </c>
      <c r="J220" s="15" t="s">
        <v>1420</v>
      </c>
      <c r="K220" s="15" t="s">
        <v>2708</v>
      </c>
      <c r="L220" s="16"/>
      <c r="M220" s="16">
        <v>1610.5159999999998</v>
      </c>
      <c r="N220" s="16"/>
      <c r="O220" s="16"/>
      <c r="P220" s="16"/>
      <c r="Q220" s="16">
        <f>SUM(Tabela1[[#This Row],[201805]:[201807]])</f>
        <v>1610.5159999999998</v>
      </c>
      <c r="R220" s="16">
        <f>SUM(Tabela1[[#This Row],[201905]:[201906]])</f>
        <v>0</v>
      </c>
      <c r="S220" s="16">
        <v>100000</v>
      </c>
      <c r="T220" s="16">
        <f>Tabela1[[#This Row],[Total 2019]]-Tabela1[[#This Row],[Total 2018]]</f>
        <v>-1610.5159999999998</v>
      </c>
      <c r="U220" s="40">
        <f>Tabela1[[#This Row],[Total 2019]]/Tabela1[[#This Row],[Meta]]</f>
        <v>0</v>
      </c>
      <c r="V220" s="17">
        <f>IFERROR(Tabela1[[#This Row],[Total 2019]]/Tabela1[[#This Row],[Total 2018]]-1,0)</f>
        <v>-1</v>
      </c>
      <c r="W22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20" s="48"/>
      <c r="Y220" s="19"/>
      <c r="Z220" s="68"/>
    </row>
    <row r="221" spans="3:26" x14ac:dyDescent="0.35">
      <c r="C221" s="11" t="s">
        <v>2702</v>
      </c>
      <c r="D221" s="12" t="s">
        <v>2700</v>
      </c>
      <c r="E221" s="12">
        <v>210</v>
      </c>
      <c r="F221" s="13" t="s">
        <v>1657</v>
      </c>
      <c r="G221" s="14">
        <v>2</v>
      </c>
      <c r="H221" s="14" t="s">
        <v>1371</v>
      </c>
      <c r="I221" s="13">
        <v>24</v>
      </c>
      <c r="J221" s="15" t="s">
        <v>1423</v>
      </c>
      <c r="K221" s="15" t="s">
        <v>2707</v>
      </c>
      <c r="L221" s="16"/>
      <c r="M221" s="16">
        <v>3897.489</v>
      </c>
      <c r="N221" s="16">
        <v>2352.2285000000002</v>
      </c>
      <c r="O221" s="16">
        <v>1283.3739999999998</v>
      </c>
      <c r="P221" s="16">
        <v>2585.4724999999999</v>
      </c>
      <c r="Q221" s="16">
        <f>SUM(Tabela1[[#This Row],[201805]:[201807]])</f>
        <v>6249.7175000000007</v>
      </c>
      <c r="R221" s="16">
        <f>SUM(Tabela1[[#This Row],[201905]:[201906]])</f>
        <v>3868.8464999999997</v>
      </c>
      <c r="S221" s="16">
        <v>100000</v>
      </c>
      <c r="T221" s="16">
        <f>Tabela1[[#This Row],[Total 2019]]-Tabela1[[#This Row],[Total 2018]]</f>
        <v>-2380.871000000001</v>
      </c>
      <c r="U221" s="40">
        <f>Tabela1[[#This Row],[Total 2019]]/Tabela1[[#This Row],[Meta]]</f>
        <v>3.8688464999999998E-2</v>
      </c>
      <c r="V221" s="17">
        <f>IFERROR(Tabela1[[#This Row],[Total 2019]]/Tabela1[[#This Row],[Total 2018]]-1,0)</f>
        <v>-0.38095657923738169</v>
      </c>
      <c r="W22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221" s="48"/>
      <c r="Y221" s="19"/>
      <c r="Z221" s="68"/>
    </row>
    <row r="222" spans="3:26" x14ac:dyDescent="0.35">
      <c r="C222" s="11" t="s">
        <v>2703</v>
      </c>
      <c r="D222" s="12" t="s">
        <v>2700</v>
      </c>
      <c r="E222" s="12">
        <v>211</v>
      </c>
      <c r="F222" s="13" t="s">
        <v>1658</v>
      </c>
      <c r="G222" s="14">
        <v>3</v>
      </c>
      <c r="H222" s="14" t="s">
        <v>1371</v>
      </c>
      <c r="I222" s="13">
        <v>14</v>
      </c>
      <c r="J222" s="15" t="s">
        <v>1413</v>
      </c>
      <c r="K222" s="15" t="s">
        <v>2707</v>
      </c>
      <c r="L222" s="16">
        <v>3763.9949999999999</v>
      </c>
      <c r="M222" s="16">
        <v>5774.5465000000004</v>
      </c>
      <c r="N222" s="16"/>
      <c r="O222" s="16">
        <v>4448.2609999999995</v>
      </c>
      <c r="P222" s="16">
        <v>2245.9520000000002</v>
      </c>
      <c r="Q222" s="16">
        <f>SUM(Tabela1[[#This Row],[201805]:[201807]])</f>
        <v>9538.5414999999994</v>
      </c>
      <c r="R222" s="16">
        <f>SUM(Tabela1[[#This Row],[201905]:[201906]])</f>
        <v>6694.2129999999997</v>
      </c>
      <c r="S222" s="16">
        <v>100000</v>
      </c>
      <c r="T222" s="16">
        <f>Tabela1[[#This Row],[Total 2019]]-Tabela1[[#This Row],[Total 2018]]</f>
        <v>-2844.3284999999996</v>
      </c>
      <c r="U222" s="40">
        <f>Tabela1[[#This Row],[Total 2019]]/Tabela1[[#This Row],[Meta]]</f>
        <v>6.6942130000000002E-2</v>
      </c>
      <c r="V222" s="17">
        <f>IFERROR(Tabela1[[#This Row],[Total 2019]]/Tabela1[[#This Row],[Total 2018]]-1,0)</f>
        <v>-0.2981932300656237</v>
      </c>
      <c r="W22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222" s="48"/>
      <c r="Y222" s="19"/>
      <c r="Z222" s="68"/>
    </row>
    <row r="223" spans="3:26" x14ac:dyDescent="0.35">
      <c r="C223" s="11" t="s">
        <v>2702</v>
      </c>
      <c r="D223" s="12" t="s">
        <v>2699</v>
      </c>
      <c r="E223" s="12">
        <v>212</v>
      </c>
      <c r="F223" s="13" t="s">
        <v>1659</v>
      </c>
      <c r="G223" s="14">
        <v>2</v>
      </c>
      <c r="H223" s="14" t="s">
        <v>1370</v>
      </c>
      <c r="I223" s="13">
        <v>8</v>
      </c>
      <c r="J223" s="15" t="s">
        <v>1407</v>
      </c>
      <c r="K223" s="15" t="s">
        <v>2706</v>
      </c>
      <c r="L223" s="16">
        <v>7476.4999999999991</v>
      </c>
      <c r="M223" s="16">
        <v>12571.368999999999</v>
      </c>
      <c r="N223" s="16"/>
      <c r="O223" s="16">
        <v>14441.0355</v>
      </c>
      <c r="P223" s="16">
        <v>7778.98</v>
      </c>
      <c r="Q223" s="16">
        <f>SUM(Tabela1[[#This Row],[201805]:[201807]])</f>
        <v>20047.868999999999</v>
      </c>
      <c r="R223" s="16">
        <f>SUM(Tabela1[[#This Row],[201905]:[201906]])</f>
        <v>22220.015500000001</v>
      </c>
      <c r="S223" s="16">
        <v>100000</v>
      </c>
      <c r="T223" s="16">
        <f>Tabela1[[#This Row],[Total 2019]]-Tabela1[[#This Row],[Total 2018]]</f>
        <v>2172.1465000000026</v>
      </c>
      <c r="U223" s="40">
        <f>Tabela1[[#This Row],[Total 2019]]/Tabela1[[#This Row],[Meta]]</f>
        <v>0.22220015500000001</v>
      </c>
      <c r="V223" s="17">
        <f>IFERROR(Tabela1[[#This Row],[Total 2019]]/Tabela1[[#This Row],[Total 2018]]-1,0)</f>
        <v>0.10834799948064311</v>
      </c>
      <c r="W22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223" s="48"/>
      <c r="Y223" s="19"/>
      <c r="Z223" s="68"/>
    </row>
    <row r="224" spans="3:26" x14ac:dyDescent="0.35">
      <c r="C224" s="11" t="s">
        <v>2702</v>
      </c>
      <c r="D224" s="12" t="s">
        <v>2699</v>
      </c>
      <c r="E224" s="12">
        <v>213</v>
      </c>
      <c r="F224" s="13" t="s">
        <v>1660</v>
      </c>
      <c r="G224" s="14">
        <v>3</v>
      </c>
      <c r="H224" s="14" t="s">
        <v>1371</v>
      </c>
      <c r="I224" s="13">
        <v>24</v>
      </c>
      <c r="J224" s="15" t="s">
        <v>1423</v>
      </c>
      <c r="K224" s="15" t="s">
        <v>2707</v>
      </c>
      <c r="L224" s="16">
        <v>1331.7764999999999</v>
      </c>
      <c r="M224" s="16">
        <v>9316.4789999999994</v>
      </c>
      <c r="N224" s="16"/>
      <c r="O224" s="16">
        <v>2685.8494999999998</v>
      </c>
      <c r="P224" s="16">
        <v>6549.6324999999997</v>
      </c>
      <c r="Q224" s="16">
        <f>SUM(Tabela1[[#This Row],[201805]:[201807]])</f>
        <v>10648.255499999999</v>
      </c>
      <c r="R224" s="16">
        <f>SUM(Tabela1[[#This Row],[201905]:[201906]])</f>
        <v>9235.482</v>
      </c>
      <c r="S224" s="16">
        <v>100000</v>
      </c>
      <c r="T224" s="16">
        <f>Tabela1[[#This Row],[Total 2019]]-Tabela1[[#This Row],[Total 2018]]</f>
        <v>-1412.7734999999993</v>
      </c>
      <c r="U224" s="40">
        <f>Tabela1[[#This Row],[Total 2019]]/Tabela1[[#This Row],[Meta]]</f>
        <v>9.2354820000000004E-2</v>
      </c>
      <c r="V224" s="17">
        <f>IFERROR(Tabela1[[#This Row],[Total 2019]]/Tabela1[[#This Row],[Total 2018]]-1,0)</f>
        <v>-0.13267652152035603</v>
      </c>
      <c r="W22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224" s="48"/>
      <c r="Y224" s="19"/>
      <c r="Z224" s="68"/>
    </row>
    <row r="225" spans="3:26" x14ac:dyDescent="0.35">
      <c r="C225" s="11" t="s">
        <v>2702</v>
      </c>
      <c r="D225" s="12" t="s">
        <v>2700</v>
      </c>
      <c r="E225" s="12">
        <v>214</v>
      </c>
      <c r="F225" s="13" t="s">
        <v>1661</v>
      </c>
      <c r="G225" s="14">
        <v>2</v>
      </c>
      <c r="H225" s="14" t="s">
        <v>1371</v>
      </c>
      <c r="I225" s="13">
        <v>12</v>
      </c>
      <c r="J225" s="15" t="s">
        <v>1411</v>
      </c>
      <c r="K225" s="15" t="s">
        <v>2707</v>
      </c>
      <c r="L225" s="16">
        <v>1283.9535000000001</v>
      </c>
      <c r="M225" s="16">
        <v>1684.1220000000001</v>
      </c>
      <c r="N225" s="16"/>
      <c r="O225" s="16"/>
      <c r="P225" s="16"/>
      <c r="Q225" s="16">
        <f>SUM(Tabela1[[#This Row],[201805]:[201807]])</f>
        <v>2968.0754999999999</v>
      </c>
      <c r="R225" s="16">
        <f>SUM(Tabela1[[#This Row],[201905]:[201906]])</f>
        <v>0</v>
      </c>
      <c r="S225" s="16">
        <v>100000</v>
      </c>
      <c r="T225" s="16">
        <f>Tabela1[[#This Row],[Total 2019]]-Tabela1[[#This Row],[Total 2018]]</f>
        <v>-2968.0754999999999</v>
      </c>
      <c r="U225" s="40">
        <f>Tabela1[[#This Row],[Total 2019]]/Tabela1[[#This Row],[Meta]]</f>
        <v>0</v>
      </c>
      <c r="V225" s="17">
        <f>IFERROR(Tabela1[[#This Row],[Total 2019]]/Tabela1[[#This Row],[Total 2018]]-1,0)</f>
        <v>-1</v>
      </c>
      <c r="W22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25" s="48"/>
      <c r="Y225" s="19"/>
      <c r="Z225" s="68"/>
    </row>
    <row r="226" spans="3:26" x14ac:dyDescent="0.35">
      <c r="C226" s="11" t="s">
        <v>2704</v>
      </c>
      <c r="D226" s="12" t="s">
        <v>2699</v>
      </c>
      <c r="E226" s="12">
        <v>215</v>
      </c>
      <c r="F226" s="13" t="s">
        <v>1662</v>
      </c>
      <c r="G226" s="14">
        <v>2</v>
      </c>
      <c r="H226" s="14" t="s">
        <v>1372</v>
      </c>
      <c r="I226" s="13">
        <v>21</v>
      </c>
      <c r="J226" s="15" t="s">
        <v>1420</v>
      </c>
      <c r="K226" s="15" t="s">
        <v>2708</v>
      </c>
      <c r="L226" s="16">
        <v>1785.5345000000002</v>
      </c>
      <c r="M226" s="16">
        <v>5739.5389999999998</v>
      </c>
      <c r="N226" s="16"/>
      <c r="O226" s="16"/>
      <c r="P226" s="16"/>
      <c r="Q226" s="16">
        <f>SUM(Tabela1[[#This Row],[201805]:[201807]])</f>
        <v>7525.0735000000004</v>
      </c>
      <c r="R226" s="16">
        <f>SUM(Tabela1[[#This Row],[201905]:[201906]])</f>
        <v>0</v>
      </c>
      <c r="S226" s="16">
        <v>100000</v>
      </c>
      <c r="T226" s="16">
        <f>Tabela1[[#This Row],[Total 2019]]-Tabela1[[#This Row],[Total 2018]]</f>
        <v>-7525.0735000000004</v>
      </c>
      <c r="U226" s="40">
        <f>Tabela1[[#This Row],[Total 2019]]/Tabela1[[#This Row],[Meta]]</f>
        <v>0</v>
      </c>
      <c r="V226" s="17">
        <f>IFERROR(Tabela1[[#This Row],[Total 2019]]/Tabela1[[#This Row],[Total 2018]]-1,0)</f>
        <v>-1</v>
      </c>
      <c r="W22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26" s="48"/>
      <c r="Y226" s="19"/>
      <c r="Z226" s="68"/>
    </row>
    <row r="227" spans="3:26" x14ac:dyDescent="0.35">
      <c r="C227" s="11" t="s">
        <v>2702</v>
      </c>
      <c r="D227" s="12" t="s">
        <v>2698</v>
      </c>
      <c r="E227" s="12">
        <v>216</v>
      </c>
      <c r="F227" s="13" t="s">
        <v>1663</v>
      </c>
      <c r="G227" s="14">
        <v>1</v>
      </c>
      <c r="H227" s="14" t="s">
        <v>1372</v>
      </c>
      <c r="I227" s="13">
        <v>27</v>
      </c>
      <c r="J227" s="15" t="s">
        <v>1426</v>
      </c>
      <c r="K227" s="15" t="s">
        <v>2708</v>
      </c>
      <c r="L227" s="16"/>
      <c r="M227" s="16"/>
      <c r="N227" s="16">
        <v>4267.5234999999993</v>
      </c>
      <c r="O227" s="16"/>
      <c r="P227" s="16"/>
      <c r="Q227" s="16">
        <f>SUM(Tabela1[[#This Row],[201805]:[201807]])</f>
        <v>4267.5234999999993</v>
      </c>
      <c r="R227" s="16">
        <f>SUM(Tabela1[[#This Row],[201905]:[201906]])</f>
        <v>0</v>
      </c>
      <c r="S227" s="16">
        <v>100000</v>
      </c>
      <c r="T227" s="16">
        <f>Tabela1[[#This Row],[Total 2019]]-Tabela1[[#This Row],[Total 2018]]</f>
        <v>-4267.5234999999993</v>
      </c>
      <c r="U227" s="40">
        <f>Tabela1[[#This Row],[Total 2019]]/Tabela1[[#This Row],[Meta]]</f>
        <v>0</v>
      </c>
      <c r="V227" s="17">
        <f>IFERROR(Tabela1[[#This Row],[Total 2019]]/Tabela1[[#This Row],[Total 2018]]-1,0)</f>
        <v>-1</v>
      </c>
      <c r="W22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27" s="48"/>
      <c r="Y227" s="19"/>
      <c r="Z227" s="68"/>
    </row>
    <row r="228" spans="3:26" x14ac:dyDescent="0.35">
      <c r="C228" s="11" t="s">
        <v>2703</v>
      </c>
      <c r="D228" s="12" t="s">
        <v>2700</v>
      </c>
      <c r="E228" s="12">
        <v>217</v>
      </c>
      <c r="F228" s="13" t="s">
        <v>1664</v>
      </c>
      <c r="G228" s="14">
        <v>3</v>
      </c>
      <c r="H228" s="14" t="s">
        <v>1371</v>
      </c>
      <c r="I228" s="13">
        <v>4</v>
      </c>
      <c r="J228" s="15" t="s">
        <v>1403</v>
      </c>
      <c r="K228" s="15" t="s">
        <v>2707</v>
      </c>
      <c r="L228" s="16"/>
      <c r="M228" s="16">
        <v>3848.9535000000001</v>
      </c>
      <c r="N228" s="16"/>
      <c r="O228" s="16"/>
      <c r="P228" s="16"/>
      <c r="Q228" s="16">
        <f>SUM(Tabela1[[#This Row],[201805]:[201807]])</f>
        <v>3848.9535000000001</v>
      </c>
      <c r="R228" s="16">
        <f>SUM(Tabela1[[#This Row],[201905]:[201906]])</f>
        <v>0</v>
      </c>
      <c r="S228" s="16">
        <v>100000</v>
      </c>
      <c r="T228" s="16">
        <f>Tabela1[[#This Row],[Total 2019]]-Tabela1[[#This Row],[Total 2018]]</f>
        <v>-3848.9535000000001</v>
      </c>
      <c r="U228" s="40">
        <f>Tabela1[[#This Row],[Total 2019]]/Tabela1[[#This Row],[Meta]]</f>
        <v>0</v>
      </c>
      <c r="V228" s="17">
        <f>IFERROR(Tabela1[[#This Row],[Total 2019]]/Tabela1[[#This Row],[Total 2018]]-1,0)</f>
        <v>-1</v>
      </c>
      <c r="W22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28" s="48"/>
      <c r="Y228" s="19"/>
      <c r="Z228" s="68"/>
    </row>
    <row r="229" spans="3:26" x14ac:dyDescent="0.35">
      <c r="C229" s="11" t="s">
        <v>2704</v>
      </c>
      <c r="D229" s="12" t="s">
        <v>2699</v>
      </c>
      <c r="E229" s="12">
        <v>218</v>
      </c>
      <c r="F229" s="13" t="s">
        <v>1665</v>
      </c>
      <c r="G229" s="14">
        <v>3</v>
      </c>
      <c r="H229" s="14" t="s">
        <v>1371</v>
      </c>
      <c r="I229" s="13">
        <v>24</v>
      </c>
      <c r="J229" s="15" t="s">
        <v>1423</v>
      </c>
      <c r="K229" s="15" t="s">
        <v>2707</v>
      </c>
      <c r="L229" s="16">
        <v>2036.4865</v>
      </c>
      <c r="M229" s="16">
        <v>3328.7904999999996</v>
      </c>
      <c r="N229" s="16"/>
      <c r="O229" s="16">
        <v>2135.6094999999996</v>
      </c>
      <c r="P229" s="16">
        <v>4450.9589999999998</v>
      </c>
      <c r="Q229" s="16">
        <f>SUM(Tabela1[[#This Row],[201805]:[201807]])</f>
        <v>5365.277</v>
      </c>
      <c r="R229" s="16">
        <f>SUM(Tabela1[[#This Row],[201905]:[201906]])</f>
        <v>6586.5684999999994</v>
      </c>
      <c r="S229" s="16">
        <v>100000</v>
      </c>
      <c r="T229" s="16">
        <f>Tabela1[[#This Row],[Total 2019]]-Tabela1[[#This Row],[Total 2018]]</f>
        <v>1221.2914999999994</v>
      </c>
      <c r="U229" s="40">
        <f>Tabela1[[#This Row],[Total 2019]]/Tabela1[[#This Row],[Meta]]</f>
        <v>6.5865684999999993E-2</v>
      </c>
      <c r="V229" s="17">
        <f>IFERROR(Tabela1[[#This Row],[Total 2019]]/Tabela1[[#This Row],[Total 2018]]-1,0)</f>
        <v>0.22762878785195984</v>
      </c>
      <c r="W22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229" s="48"/>
      <c r="Y229" s="19"/>
      <c r="Z229" s="68"/>
    </row>
    <row r="230" spans="3:26" x14ac:dyDescent="0.35">
      <c r="C230" s="11" t="s">
        <v>2703</v>
      </c>
      <c r="D230" s="12" t="s">
        <v>2699</v>
      </c>
      <c r="E230" s="12">
        <v>219</v>
      </c>
      <c r="F230" s="13" t="s">
        <v>1666</v>
      </c>
      <c r="G230" s="14">
        <v>1</v>
      </c>
      <c r="H230" s="14" t="s">
        <v>1371</v>
      </c>
      <c r="I230" s="13">
        <v>4</v>
      </c>
      <c r="J230" s="15" t="s">
        <v>1403</v>
      </c>
      <c r="K230" s="15" t="s">
        <v>2707</v>
      </c>
      <c r="L230" s="16">
        <v>12212.069499999998</v>
      </c>
      <c r="M230" s="16">
        <v>5121.0414999999994</v>
      </c>
      <c r="N230" s="16"/>
      <c r="O230" s="16"/>
      <c r="P230" s="16"/>
      <c r="Q230" s="16">
        <f>SUM(Tabela1[[#This Row],[201805]:[201807]])</f>
        <v>17333.110999999997</v>
      </c>
      <c r="R230" s="16">
        <f>SUM(Tabela1[[#This Row],[201905]:[201906]])</f>
        <v>0</v>
      </c>
      <c r="S230" s="16">
        <v>100000</v>
      </c>
      <c r="T230" s="16">
        <f>Tabela1[[#This Row],[Total 2019]]-Tabela1[[#This Row],[Total 2018]]</f>
        <v>-17333.110999999997</v>
      </c>
      <c r="U230" s="40">
        <f>Tabela1[[#This Row],[Total 2019]]/Tabela1[[#This Row],[Meta]]</f>
        <v>0</v>
      </c>
      <c r="V230" s="17">
        <f>IFERROR(Tabela1[[#This Row],[Total 2019]]/Tabela1[[#This Row],[Total 2018]]-1,0)</f>
        <v>-1</v>
      </c>
      <c r="W23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30" s="48"/>
      <c r="Y230" s="19"/>
      <c r="Z230" s="68"/>
    </row>
    <row r="231" spans="3:26" x14ac:dyDescent="0.35">
      <c r="C231" s="11" t="s">
        <v>2704</v>
      </c>
      <c r="D231" s="12" t="s">
        <v>2699</v>
      </c>
      <c r="E231" s="12">
        <v>220</v>
      </c>
      <c r="F231" s="13" t="s">
        <v>1667</v>
      </c>
      <c r="G231" s="14">
        <v>1</v>
      </c>
      <c r="H231" s="14" t="s">
        <v>1370</v>
      </c>
      <c r="I231" s="13">
        <v>33</v>
      </c>
      <c r="J231" s="15" t="s">
        <v>1432</v>
      </c>
      <c r="K231" s="15" t="s">
        <v>2706</v>
      </c>
      <c r="L231" s="16"/>
      <c r="M231" s="16">
        <v>8072.9764999999989</v>
      </c>
      <c r="N231" s="16">
        <v>5505.7629999999999</v>
      </c>
      <c r="O231" s="16"/>
      <c r="P231" s="16"/>
      <c r="Q231" s="16">
        <f>SUM(Tabela1[[#This Row],[201805]:[201807]])</f>
        <v>13578.7395</v>
      </c>
      <c r="R231" s="16">
        <f>SUM(Tabela1[[#This Row],[201905]:[201906]])</f>
        <v>0</v>
      </c>
      <c r="S231" s="16">
        <v>100000</v>
      </c>
      <c r="T231" s="16">
        <f>Tabela1[[#This Row],[Total 2019]]-Tabela1[[#This Row],[Total 2018]]</f>
        <v>-13578.7395</v>
      </c>
      <c r="U231" s="40">
        <f>Tabela1[[#This Row],[Total 2019]]/Tabela1[[#This Row],[Meta]]</f>
        <v>0</v>
      </c>
      <c r="V231" s="17">
        <f>IFERROR(Tabela1[[#This Row],[Total 2019]]/Tabela1[[#This Row],[Total 2018]]-1,0)</f>
        <v>-1</v>
      </c>
      <c r="W23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31" s="48"/>
      <c r="Y231" s="19"/>
      <c r="Z231" s="68"/>
    </row>
    <row r="232" spans="3:26" x14ac:dyDescent="0.35">
      <c r="C232" s="11" t="s">
        <v>2703</v>
      </c>
      <c r="D232" s="12" t="s">
        <v>2698</v>
      </c>
      <c r="E232" s="12">
        <v>221</v>
      </c>
      <c r="F232" s="13" t="s">
        <v>1668</v>
      </c>
      <c r="G232" s="14">
        <v>2</v>
      </c>
      <c r="H232" s="14" t="s">
        <v>1372</v>
      </c>
      <c r="I232" s="13">
        <v>27</v>
      </c>
      <c r="J232" s="15" t="s">
        <v>1426</v>
      </c>
      <c r="K232" s="15" t="s">
        <v>2708</v>
      </c>
      <c r="L232" s="16">
        <v>3969.5654999999997</v>
      </c>
      <c r="M232" s="16">
        <v>7941.5154999999995</v>
      </c>
      <c r="N232" s="16">
        <v>4046.9714999999997</v>
      </c>
      <c r="O232" s="16">
        <v>4640.4554999999991</v>
      </c>
      <c r="P232" s="16">
        <v>2251.5855000000001</v>
      </c>
      <c r="Q232" s="16">
        <f>SUM(Tabela1[[#This Row],[201805]:[201807]])</f>
        <v>15958.052499999998</v>
      </c>
      <c r="R232" s="16">
        <f>SUM(Tabela1[[#This Row],[201905]:[201906]])</f>
        <v>6892.0409999999993</v>
      </c>
      <c r="S232" s="16">
        <v>100000</v>
      </c>
      <c r="T232" s="16">
        <f>Tabela1[[#This Row],[Total 2019]]-Tabela1[[#This Row],[Total 2018]]</f>
        <v>-9066.0114999999987</v>
      </c>
      <c r="U232" s="40">
        <f>Tabela1[[#This Row],[Total 2019]]/Tabela1[[#This Row],[Meta]]</f>
        <v>6.8920409999999988E-2</v>
      </c>
      <c r="V232" s="17">
        <f>IFERROR(Tabela1[[#This Row],[Total 2019]]/Tabela1[[#This Row],[Total 2018]]-1,0)</f>
        <v>-0.56811515690902759</v>
      </c>
      <c r="W23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232" s="48"/>
      <c r="Y232" s="19"/>
      <c r="Z232" s="68"/>
    </row>
    <row r="233" spans="3:26" x14ac:dyDescent="0.35">
      <c r="C233" s="11" t="s">
        <v>2702</v>
      </c>
      <c r="D233" s="12" t="s">
        <v>2698</v>
      </c>
      <c r="E233" s="12">
        <v>222</v>
      </c>
      <c r="F233" s="13" t="s">
        <v>1669</v>
      </c>
      <c r="G233" s="14">
        <v>1</v>
      </c>
      <c r="H233" s="14" t="s">
        <v>1370</v>
      </c>
      <c r="I233" s="13">
        <v>34</v>
      </c>
      <c r="J233" s="15" t="s">
        <v>1433</v>
      </c>
      <c r="K233" s="15" t="s">
        <v>2706</v>
      </c>
      <c r="L233" s="16"/>
      <c r="M233" s="16">
        <v>1474.6469999999999</v>
      </c>
      <c r="N233" s="16">
        <v>1533.9839999999999</v>
      </c>
      <c r="O233" s="16">
        <v>5352.7370000000001</v>
      </c>
      <c r="P233" s="16"/>
      <c r="Q233" s="16">
        <f>SUM(Tabela1[[#This Row],[201805]:[201807]])</f>
        <v>3008.6309999999999</v>
      </c>
      <c r="R233" s="16">
        <f>SUM(Tabela1[[#This Row],[201905]:[201906]])</f>
        <v>5352.7370000000001</v>
      </c>
      <c r="S233" s="16">
        <v>100000</v>
      </c>
      <c r="T233" s="16">
        <f>Tabela1[[#This Row],[Total 2019]]-Tabela1[[#This Row],[Total 2018]]</f>
        <v>2344.1060000000002</v>
      </c>
      <c r="U233" s="40">
        <f>Tabela1[[#This Row],[Total 2019]]/Tabela1[[#This Row],[Meta]]</f>
        <v>5.3527369999999998E-2</v>
      </c>
      <c r="V233" s="17">
        <f>IFERROR(Tabela1[[#This Row],[Total 2019]]/Tabela1[[#This Row],[Total 2018]]-1,0)</f>
        <v>0.77912711794832945</v>
      </c>
      <c r="W23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233" s="48"/>
      <c r="Y233" s="19"/>
      <c r="Z233" s="68"/>
    </row>
    <row r="234" spans="3:26" x14ac:dyDescent="0.35">
      <c r="C234" s="11" t="s">
        <v>2704</v>
      </c>
      <c r="D234" s="12" t="s">
        <v>2700</v>
      </c>
      <c r="E234" s="12">
        <v>223</v>
      </c>
      <c r="F234" s="13" t="s">
        <v>1670</v>
      </c>
      <c r="G234" s="14">
        <v>3</v>
      </c>
      <c r="H234" s="14" t="s">
        <v>1372</v>
      </c>
      <c r="I234" s="13">
        <v>22</v>
      </c>
      <c r="J234" s="15" t="s">
        <v>1421</v>
      </c>
      <c r="K234" s="15" t="s">
        <v>2708</v>
      </c>
      <c r="L234" s="16">
        <v>4353.7074999999995</v>
      </c>
      <c r="M234" s="16">
        <v>17593.287499999999</v>
      </c>
      <c r="N234" s="16"/>
      <c r="O234" s="16"/>
      <c r="P234" s="16"/>
      <c r="Q234" s="16">
        <f>SUM(Tabela1[[#This Row],[201805]:[201807]])</f>
        <v>21946.994999999999</v>
      </c>
      <c r="R234" s="16">
        <f>SUM(Tabela1[[#This Row],[201905]:[201906]])</f>
        <v>0</v>
      </c>
      <c r="S234" s="16">
        <v>100000</v>
      </c>
      <c r="T234" s="16">
        <f>Tabela1[[#This Row],[Total 2019]]-Tabela1[[#This Row],[Total 2018]]</f>
        <v>-21946.994999999999</v>
      </c>
      <c r="U234" s="40">
        <f>Tabela1[[#This Row],[Total 2019]]/Tabela1[[#This Row],[Meta]]</f>
        <v>0</v>
      </c>
      <c r="V234" s="17">
        <f>IFERROR(Tabela1[[#This Row],[Total 2019]]/Tabela1[[#This Row],[Total 2018]]-1,0)</f>
        <v>-1</v>
      </c>
      <c r="W23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34" s="48"/>
      <c r="Y234" s="19"/>
      <c r="Z234" s="68"/>
    </row>
    <row r="235" spans="3:26" x14ac:dyDescent="0.35">
      <c r="C235" s="11" t="s">
        <v>2702</v>
      </c>
      <c r="D235" s="12" t="s">
        <v>2698</v>
      </c>
      <c r="E235" s="12">
        <v>224</v>
      </c>
      <c r="F235" s="13" t="s">
        <v>1671</v>
      </c>
      <c r="G235" s="14">
        <v>3</v>
      </c>
      <c r="H235" s="14" t="s">
        <v>1370</v>
      </c>
      <c r="I235" s="13">
        <v>11</v>
      </c>
      <c r="J235" s="15" t="s">
        <v>1410</v>
      </c>
      <c r="K235" s="15" t="s">
        <v>2706</v>
      </c>
      <c r="L235" s="16">
        <v>3090.3025000000002</v>
      </c>
      <c r="M235" s="16">
        <v>5997.9389999999985</v>
      </c>
      <c r="N235" s="16"/>
      <c r="O235" s="16">
        <v>11013.425999999999</v>
      </c>
      <c r="P235" s="16"/>
      <c r="Q235" s="16">
        <f>SUM(Tabela1[[#This Row],[201805]:[201807]])</f>
        <v>9088.2414999999983</v>
      </c>
      <c r="R235" s="16">
        <f>SUM(Tabela1[[#This Row],[201905]:[201906]])</f>
        <v>11013.425999999999</v>
      </c>
      <c r="S235" s="16">
        <v>100000</v>
      </c>
      <c r="T235" s="16">
        <f>Tabela1[[#This Row],[Total 2019]]-Tabela1[[#This Row],[Total 2018]]</f>
        <v>1925.1845000000012</v>
      </c>
      <c r="U235" s="40">
        <f>Tabela1[[#This Row],[Total 2019]]/Tabela1[[#This Row],[Meta]]</f>
        <v>0.11013426</v>
      </c>
      <c r="V235" s="17">
        <f>IFERROR(Tabela1[[#This Row],[Total 2019]]/Tabela1[[#This Row],[Total 2018]]-1,0)</f>
        <v>0.21183245405615625</v>
      </c>
      <c r="W23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235" s="48"/>
      <c r="Y235" s="19"/>
      <c r="Z235" s="68"/>
    </row>
    <row r="236" spans="3:26" x14ac:dyDescent="0.35">
      <c r="C236" s="11" t="s">
        <v>2703</v>
      </c>
      <c r="D236" s="12" t="s">
        <v>2699</v>
      </c>
      <c r="E236" s="12">
        <v>225</v>
      </c>
      <c r="F236" s="13" t="s">
        <v>1672</v>
      </c>
      <c r="G236" s="14">
        <v>1</v>
      </c>
      <c r="H236" s="14" t="s">
        <v>1371</v>
      </c>
      <c r="I236" s="13">
        <v>14</v>
      </c>
      <c r="J236" s="15" t="s">
        <v>1413</v>
      </c>
      <c r="K236" s="15" t="s">
        <v>2707</v>
      </c>
      <c r="L236" s="16">
        <v>1857.5255</v>
      </c>
      <c r="M236" s="16">
        <v>10206.6765</v>
      </c>
      <c r="N236" s="16"/>
      <c r="O236" s="16">
        <v>12587.547499999997</v>
      </c>
      <c r="P236" s="16">
        <v>2074.3819999999996</v>
      </c>
      <c r="Q236" s="16">
        <f>SUM(Tabela1[[#This Row],[201805]:[201807]])</f>
        <v>12064.201999999999</v>
      </c>
      <c r="R236" s="16">
        <f>SUM(Tabela1[[#This Row],[201905]:[201906]])</f>
        <v>14661.929499999997</v>
      </c>
      <c r="S236" s="16">
        <v>100000</v>
      </c>
      <c r="T236" s="16">
        <f>Tabela1[[#This Row],[Total 2019]]-Tabela1[[#This Row],[Total 2018]]</f>
        <v>2597.7274999999972</v>
      </c>
      <c r="U236" s="40">
        <f>Tabela1[[#This Row],[Total 2019]]/Tabela1[[#This Row],[Meta]]</f>
        <v>0.14661929499999996</v>
      </c>
      <c r="V236" s="17">
        <f>IFERROR(Tabela1[[#This Row],[Total 2019]]/Tabela1[[#This Row],[Total 2018]]-1,0)</f>
        <v>0.21532526560811882</v>
      </c>
      <c r="W23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236" s="48"/>
      <c r="Y236" s="19"/>
      <c r="Z236" s="68"/>
    </row>
    <row r="237" spans="3:26" x14ac:dyDescent="0.35">
      <c r="C237" s="11" t="s">
        <v>2703</v>
      </c>
      <c r="D237" s="12" t="s">
        <v>2699</v>
      </c>
      <c r="E237" s="12">
        <v>226</v>
      </c>
      <c r="F237" s="13" t="s">
        <v>1673</v>
      </c>
      <c r="G237" s="14">
        <v>3</v>
      </c>
      <c r="H237" s="14" t="s">
        <v>1370</v>
      </c>
      <c r="I237" s="13">
        <v>29</v>
      </c>
      <c r="J237" s="15" t="s">
        <v>1428</v>
      </c>
      <c r="K237" s="15" t="s">
        <v>2706</v>
      </c>
      <c r="L237" s="16">
        <v>9890.0985000000001</v>
      </c>
      <c r="M237" s="16">
        <v>3938.6239999999993</v>
      </c>
      <c r="N237" s="16"/>
      <c r="O237" s="16"/>
      <c r="P237" s="16"/>
      <c r="Q237" s="16">
        <f>SUM(Tabela1[[#This Row],[201805]:[201807]])</f>
        <v>13828.7225</v>
      </c>
      <c r="R237" s="16">
        <f>SUM(Tabela1[[#This Row],[201905]:[201906]])</f>
        <v>0</v>
      </c>
      <c r="S237" s="16">
        <v>100000</v>
      </c>
      <c r="T237" s="16">
        <f>Tabela1[[#This Row],[Total 2019]]-Tabela1[[#This Row],[Total 2018]]</f>
        <v>-13828.7225</v>
      </c>
      <c r="U237" s="40">
        <f>Tabela1[[#This Row],[Total 2019]]/Tabela1[[#This Row],[Meta]]</f>
        <v>0</v>
      </c>
      <c r="V237" s="17">
        <f>IFERROR(Tabela1[[#This Row],[Total 2019]]/Tabela1[[#This Row],[Total 2018]]-1,0)</f>
        <v>-1</v>
      </c>
      <c r="W23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37" s="48"/>
      <c r="Y237" s="19"/>
      <c r="Z237" s="68"/>
    </row>
    <row r="238" spans="3:26" x14ac:dyDescent="0.35">
      <c r="C238" s="11" t="s">
        <v>2704</v>
      </c>
      <c r="D238" s="12" t="s">
        <v>2700</v>
      </c>
      <c r="E238" s="12">
        <v>227</v>
      </c>
      <c r="F238" s="13" t="s">
        <v>1674</v>
      </c>
      <c r="G238" s="14">
        <v>1</v>
      </c>
      <c r="H238" s="14" t="s">
        <v>1370</v>
      </c>
      <c r="I238" s="13">
        <v>11</v>
      </c>
      <c r="J238" s="15" t="s">
        <v>1410</v>
      </c>
      <c r="K238" s="15" t="s">
        <v>2706</v>
      </c>
      <c r="L238" s="16"/>
      <c r="M238" s="16">
        <v>1372.56</v>
      </c>
      <c r="N238" s="16">
        <v>2464.8319999999999</v>
      </c>
      <c r="O238" s="16">
        <v>5318.1475</v>
      </c>
      <c r="P238" s="16"/>
      <c r="Q238" s="16">
        <f>SUM(Tabela1[[#This Row],[201805]:[201807]])</f>
        <v>3837.3919999999998</v>
      </c>
      <c r="R238" s="16">
        <f>SUM(Tabela1[[#This Row],[201905]:[201906]])</f>
        <v>5318.1475</v>
      </c>
      <c r="S238" s="16">
        <v>100000</v>
      </c>
      <c r="T238" s="16">
        <f>Tabela1[[#This Row],[Total 2019]]-Tabela1[[#This Row],[Total 2018]]</f>
        <v>1480.7555000000002</v>
      </c>
      <c r="U238" s="40">
        <f>Tabela1[[#This Row],[Total 2019]]/Tabela1[[#This Row],[Meta]]</f>
        <v>5.3181474999999999E-2</v>
      </c>
      <c r="V238" s="17">
        <f>IFERROR(Tabela1[[#This Row],[Total 2019]]/Tabela1[[#This Row],[Total 2018]]-1,0)</f>
        <v>0.38587548522538229</v>
      </c>
      <c r="W23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238" s="48"/>
      <c r="Y238" s="19"/>
      <c r="Z238" s="68"/>
    </row>
    <row r="239" spans="3:26" x14ac:dyDescent="0.35">
      <c r="C239" s="11" t="s">
        <v>2704</v>
      </c>
      <c r="D239" s="12" t="s">
        <v>2700</v>
      </c>
      <c r="E239" s="12">
        <v>228</v>
      </c>
      <c r="F239" s="13" t="s">
        <v>1675</v>
      </c>
      <c r="G239" s="14">
        <v>3</v>
      </c>
      <c r="H239" s="14" t="s">
        <v>1370</v>
      </c>
      <c r="I239" s="13">
        <v>15</v>
      </c>
      <c r="J239" s="15" t="s">
        <v>1414</v>
      </c>
      <c r="K239" s="15" t="s">
        <v>2706</v>
      </c>
      <c r="L239" s="16">
        <v>1314.1824999999999</v>
      </c>
      <c r="M239" s="16">
        <v>2782.6639999999998</v>
      </c>
      <c r="N239" s="16"/>
      <c r="O239" s="16"/>
      <c r="P239" s="16"/>
      <c r="Q239" s="16">
        <f>SUM(Tabela1[[#This Row],[201805]:[201807]])</f>
        <v>4096.8464999999997</v>
      </c>
      <c r="R239" s="16">
        <f>SUM(Tabela1[[#This Row],[201905]:[201906]])</f>
        <v>0</v>
      </c>
      <c r="S239" s="16">
        <v>100000</v>
      </c>
      <c r="T239" s="16">
        <f>Tabela1[[#This Row],[Total 2019]]-Tabela1[[#This Row],[Total 2018]]</f>
        <v>-4096.8464999999997</v>
      </c>
      <c r="U239" s="40">
        <f>Tabela1[[#This Row],[Total 2019]]/Tabela1[[#This Row],[Meta]]</f>
        <v>0</v>
      </c>
      <c r="V239" s="17">
        <f>IFERROR(Tabela1[[#This Row],[Total 2019]]/Tabela1[[#This Row],[Total 2018]]-1,0)</f>
        <v>-1</v>
      </c>
      <c r="W23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39" s="48"/>
      <c r="Y239" s="19"/>
      <c r="Z239" s="68"/>
    </row>
    <row r="240" spans="3:26" x14ac:dyDescent="0.35">
      <c r="C240" s="11" t="s">
        <v>2702</v>
      </c>
      <c r="D240" s="12" t="s">
        <v>2698</v>
      </c>
      <c r="E240" s="12">
        <v>229</v>
      </c>
      <c r="F240" s="13" t="s">
        <v>1676</v>
      </c>
      <c r="G240" s="14">
        <v>2</v>
      </c>
      <c r="H240" s="14" t="s">
        <v>1372</v>
      </c>
      <c r="I240" s="13">
        <v>18</v>
      </c>
      <c r="J240" s="15" t="s">
        <v>1417</v>
      </c>
      <c r="K240" s="15" t="s">
        <v>2708</v>
      </c>
      <c r="L240" s="16"/>
      <c r="M240" s="16">
        <v>6356.7539999999999</v>
      </c>
      <c r="N240" s="16">
        <v>2629.5050000000001</v>
      </c>
      <c r="O240" s="16">
        <v>8687.9970000000012</v>
      </c>
      <c r="P240" s="16">
        <v>1710.7884999999999</v>
      </c>
      <c r="Q240" s="16">
        <f>SUM(Tabela1[[#This Row],[201805]:[201807]])</f>
        <v>8986.259</v>
      </c>
      <c r="R240" s="16">
        <f>SUM(Tabela1[[#This Row],[201905]:[201906]])</f>
        <v>10398.785500000002</v>
      </c>
      <c r="S240" s="16">
        <v>100000</v>
      </c>
      <c r="T240" s="16">
        <f>Tabela1[[#This Row],[Total 2019]]-Tabela1[[#This Row],[Total 2018]]</f>
        <v>1412.5265000000018</v>
      </c>
      <c r="U240" s="40">
        <f>Tabela1[[#This Row],[Total 2019]]/Tabela1[[#This Row],[Meta]]</f>
        <v>0.10398785500000002</v>
      </c>
      <c r="V240" s="17">
        <f>IFERROR(Tabela1[[#This Row],[Total 2019]]/Tabela1[[#This Row],[Total 2018]]-1,0)</f>
        <v>0.15718737908622504</v>
      </c>
      <c r="W24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240" s="48"/>
      <c r="Y240" s="19"/>
      <c r="Z240" s="68"/>
    </row>
    <row r="241" spans="3:26" x14ac:dyDescent="0.35">
      <c r="C241" s="11" t="s">
        <v>2702</v>
      </c>
      <c r="D241" s="12" t="s">
        <v>2699</v>
      </c>
      <c r="E241" s="12">
        <v>230</v>
      </c>
      <c r="F241" s="13" t="s">
        <v>1677</v>
      </c>
      <c r="G241" s="14">
        <v>2</v>
      </c>
      <c r="H241" s="14" t="s">
        <v>1370</v>
      </c>
      <c r="I241" s="13">
        <v>1</v>
      </c>
      <c r="J241" s="15" t="s">
        <v>1400</v>
      </c>
      <c r="K241" s="15" t="s">
        <v>2706</v>
      </c>
      <c r="L241" s="16">
        <v>3125.386</v>
      </c>
      <c r="M241" s="16">
        <v>1975.8574999999998</v>
      </c>
      <c r="N241" s="16"/>
      <c r="O241" s="16"/>
      <c r="P241" s="16"/>
      <c r="Q241" s="16">
        <f>SUM(Tabela1[[#This Row],[201805]:[201807]])</f>
        <v>5101.2434999999996</v>
      </c>
      <c r="R241" s="16">
        <f>SUM(Tabela1[[#This Row],[201905]:[201906]])</f>
        <v>0</v>
      </c>
      <c r="S241" s="16">
        <v>100000</v>
      </c>
      <c r="T241" s="16">
        <f>Tabela1[[#This Row],[Total 2019]]-Tabela1[[#This Row],[Total 2018]]</f>
        <v>-5101.2434999999996</v>
      </c>
      <c r="U241" s="40">
        <f>Tabela1[[#This Row],[Total 2019]]/Tabela1[[#This Row],[Meta]]</f>
        <v>0</v>
      </c>
      <c r="V241" s="17">
        <f>IFERROR(Tabela1[[#This Row],[Total 2019]]/Tabela1[[#This Row],[Total 2018]]-1,0)</f>
        <v>-1</v>
      </c>
      <c r="W24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41" s="48"/>
      <c r="Y241" s="19"/>
      <c r="Z241" s="68"/>
    </row>
    <row r="242" spans="3:26" x14ac:dyDescent="0.35">
      <c r="C242" s="11" t="s">
        <v>2702</v>
      </c>
      <c r="D242" s="12" t="s">
        <v>2700</v>
      </c>
      <c r="E242" s="12">
        <v>231</v>
      </c>
      <c r="F242" s="13" t="s">
        <v>1678</v>
      </c>
      <c r="G242" s="14">
        <v>2</v>
      </c>
      <c r="H242" s="14" t="s">
        <v>1372</v>
      </c>
      <c r="I242" s="13">
        <v>16</v>
      </c>
      <c r="J242" s="15" t="s">
        <v>1415</v>
      </c>
      <c r="K242" s="15" t="s">
        <v>2708</v>
      </c>
      <c r="L242" s="16">
        <v>1706.5705</v>
      </c>
      <c r="M242" s="16">
        <v>2808.2665000000002</v>
      </c>
      <c r="N242" s="16">
        <v>1658.4244999999999</v>
      </c>
      <c r="O242" s="16">
        <v>3448.0630000000001</v>
      </c>
      <c r="P242" s="16">
        <v>1679.1344999999997</v>
      </c>
      <c r="Q242" s="16">
        <f>SUM(Tabela1[[#This Row],[201805]:[201807]])</f>
        <v>6173.2615000000005</v>
      </c>
      <c r="R242" s="16">
        <f>SUM(Tabela1[[#This Row],[201905]:[201906]])</f>
        <v>5127.1975000000002</v>
      </c>
      <c r="S242" s="16">
        <v>100000</v>
      </c>
      <c r="T242" s="16">
        <f>Tabela1[[#This Row],[Total 2019]]-Tabela1[[#This Row],[Total 2018]]</f>
        <v>-1046.0640000000003</v>
      </c>
      <c r="U242" s="40">
        <f>Tabela1[[#This Row],[Total 2019]]/Tabela1[[#This Row],[Meta]]</f>
        <v>5.1271975000000004E-2</v>
      </c>
      <c r="V242" s="17">
        <f>IFERROR(Tabela1[[#This Row],[Total 2019]]/Tabela1[[#This Row],[Total 2018]]-1,0)</f>
        <v>-0.1694507838360646</v>
      </c>
      <c r="W24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242" s="48"/>
      <c r="Y242" s="19"/>
      <c r="Z242" s="68"/>
    </row>
    <row r="243" spans="3:26" x14ac:dyDescent="0.35">
      <c r="C243" s="11" t="s">
        <v>2704</v>
      </c>
      <c r="D243" s="12" t="s">
        <v>2699</v>
      </c>
      <c r="E243" s="12">
        <v>232</v>
      </c>
      <c r="F243" s="13" t="s">
        <v>1679</v>
      </c>
      <c r="G243" s="14">
        <v>3</v>
      </c>
      <c r="H243" s="14" t="s">
        <v>1372</v>
      </c>
      <c r="I243" s="13">
        <v>17</v>
      </c>
      <c r="J243" s="15" t="s">
        <v>1416</v>
      </c>
      <c r="K243" s="15" t="s">
        <v>2708</v>
      </c>
      <c r="L243" s="16"/>
      <c r="M243" s="16"/>
      <c r="N243" s="16"/>
      <c r="O243" s="16">
        <v>8002.3344999999999</v>
      </c>
      <c r="P243" s="16">
        <v>1226.6969999999999</v>
      </c>
      <c r="Q243" s="16">
        <f>SUM(Tabela1[[#This Row],[201805]:[201807]])</f>
        <v>0</v>
      </c>
      <c r="R243" s="16">
        <f>SUM(Tabela1[[#This Row],[201905]:[201906]])</f>
        <v>9229.0314999999991</v>
      </c>
      <c r="S243" s="16">
        <v>100000</v>
      </c>
      <c r="T243" s="16">
        <f>Tabela1[[#This Row],[Total 2019]]-Tabela1[[#This Row],[Total 2018]]</f>
        <v>9229.0314999999991</v>
      </c>
      <c r="U243" s="40">
        <f>Tabela1[[#This Row],[Total 2019]]/Tabela1[[#This Row],[Meta]]</f>
        <v>9.2290314999999998E-2</v>
      </c>
      <c r="V243" s="17">
        <f>IFERROR(Tabela1[[#This Row],[Total 2019]]/Tabela1[[#This Row],[Total 2018]]-1,0)</f>
        <v>0</v>
      </c>
      <c r="W24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243" s="48"/>
      <c r="Y243" s="19"/>
      <c r="Z243" s="68"/>
    </row>
    <row r="244" spans="3:26" x14ac:dyDescent="0.35">
      <c r="C244" s="11" t="s">
        <v>2703</v>
      </c>
      <c r="D244" s="12" t="s">
        <v>2699</v>
      </c>
      <c r="E244" s="12">
        <v>233</v>
      </c>
      <c r="F244" s="13" t="s">
        <v>1680</v>
      </c>
      <c r="G244" s="14">
        <v>3</v>
      </c>
      <c r="H244" s="14" t="s">
        <v>1370</v>
      </c>
      <c r="I244" s="13">
        <v>8</v>
      </c>
      <c r="J244" s="15" t="s">
        <v>1407</v>
      </c>
      <c r="K244" s="15" t="s">
        <v>2706</v>
      </c>
      <c r="L244" s="16">
        <v>921.07249999999999</v>
      </c>
      <c r="M244" s="16">
        <v>5815.6719999999996</v>
      </c>
      <c r="N244" s="16"/>
      <c r="O244" s="16"/>
      <c r="P244" s="16"/>
      <c r="Q244" s="16">
        <f>SUM(Tabela1[[#This Row],[201805]:[201807]])</f>
        <v>6736.7444999999998</v>
      </c>
      <c r="R244" s="16">
        <f>SUM(Tabela1[[#This Row],[201905]:[201906]])</f>
        <v>0</v>
      </c>
      <c r="S244" s="16">
        <v>100000</v>
      </c>
      <c r="T244" s="16">
        <f>Tabela1[[#This Row],[Total 2019]]-Tabela1[[#This Row],[Total 2018]]</f>
        <v>-6736.7444999999998</v>
      </c>
      <c r="U244" s="40">
        <f>Tabela1[[#This Row],[Total 2019]]/Tabela1[[#This Row],[Meta]]</f>
        <v>0</v>
      </c>
      <c r="V244" s="17">
        <f>IFERROR(Tabela1[[#This Row],[Total 2019]]/Tabela1[[#This Row],[Total 2018]]-1,0)</f>
        <v>-1</v>
      </c>
      <c r="W24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44" s="48"/>
      <c r="Y244" s="19"/>
      <c r="Z244" s="68"/>
    </row>
    <row r="245" spans="3:26" x14ac:dyDescent="0.35">
      <c r="C245" s="11" t="s">
        <v>2702</v>
      </c>
      <c r="D245" s="12" t="s">
        <v>2699</v>
      </c>
      <c r="E245" s="12">
        <v>234</v>
      </c>
      <c r="F245" s="13" t="s">
        <v>1681</v>
      </c>
      <c r="G245" s="14">
        <v>1</v>
      </c>
      <c r="H245" s="14" t="s">
        <v>1370</v>
      </c>
      <c r="I245" s="13">
        <v>11</v>
      </c>
      <c r="J245" s="15" t="s">
        <v>1410</v>
      </c>
      <c r="K245" s="15" t="s">
        <v>2706</v>
      </c>
      <c r="L245" s="16"/>
      <c r="M245" s="16">
        <v>3609.8194999999996</v>
      </c>
      <c r="N245" s="16">
        <v>2365.7184999999999</v>
      </c>
      <c r="O245" s="16">
        <v>7213.6635000000015</v>
      </c>
      <c r="P245" s="16"/>
      <c r="Q245" s="16">
        <f>SUM(Tabela1[[#This Row],[201805]:[201807]])</f>
        <v>5975.5379999999996</v>
      </c>
      <c r="R245" s="16">
        <f>SUM(Tabela1[[#This Row],[201905]:[201906]])</f>
        <v>7213.6635000000015</v>
      </c>
      <c r="S245" s="16">
        <v>100000</v>
      </c>
      <c r="T245" s="16">
        <f>Tabela1[[#This Row],[Total 2019]]-Tabela1[[#This Row],[Total 2018]]</f>
        <v>1238.1255000000019</v>
      </c>
      <c r="U245" s="40">
        <f>Tabela1[[#This Row],[Total 2019]]/Tabela1[[#This Row],[Meta]]</f>
        <v>7.2136635000000018E-2</v>
      </c>
      <c r="V245" s="17">
        <f>IFERROR(Tabela1[[#This Row],[Total 2019]]/Tabela1[[#This Row],[Total 2018]]-1,0)</f>
        <v>0.2071990003243227</v>
      </c>
      <c r="W24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245" s="48"/>
      <c r="Y245" s="19"/>
      <c r="Z245" s="68"/>
    </row>
    <row r="246" spans="3:26" x14ac:dyDescent="0.35">
      <c r="C246" s="11" t="s">
        <v>2702</v>
      </c>
      <c r="D246" s="12" t="s">
        <v>2700</v>
      </c>
      <c r="E246" s="12">
        <v>235</v>
      </c>
      <c r="F246" s="13" t="s">
        <v>1682</v>
      </c>
      <c r="G246" s="14">
        <v>1</v>
      </c>
      <c r="H246" s="14" t="s">
        <v>1372</v>
      </c>
      <c r="I246" s="13">
        <v>25</v>
      </c>
      <c r="J246" s="15" t="s">
        <v>1424</v>
      </c>
      <c r="K246" s="15" t="s">
        <v>2708</v>
      </c>
      <c r="L246" s="16">
        <v>1527.9704999999999</v>
      </c>
      <c r="M246" s="16">
        <v>2914.0774999999999</v>
      </c>
      <c r="N246" s="16">
        <v>1760.1505</v>
      </c>
      <c r="O246" s="16"/>
      <c r="P246" s="16"/>
      <c r="Q246" s="16">
        <f>SUM(Tabela1[[#This Row],[201805]:[201807]])</f>
        <v>6202.1984999999995</v>
      </c>
      <c r="R246" s="16">
        <f>SUM(Tabela1[[#This Row],[201905]:[201906]])</f>
        <v>0</v>
      </c>
      <c r="S246" s="16">
        <v>100000</v>
      </c>
      <c r="T246" s="16">
        <f>Tabela1[[#This Row],[Total 2019]]-Tabela1[[#This Row],[Total 2018]]</f>
        <v>-6202.1984999999995</v>
      </c>
      <c r="U246" s="40">
        <f>Tabela1[[#This Row],[Total 2019]]/Tabela1[[#This Row],[Meta]]</f>
        <v>0</v>
      </c>
      <c r="V246" s="17">
        <f>IFERROR(Tabela1[[#This Row],[Total 2019]]/Tabela1[[#This Row],[Total 2018]]-1,0)</f>
        <v>-1</v>
      </c>
      <c r="W24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46" s="48"/>
      <c r="Y246" s="19"/>
      <c r="Z246" s="68"/>
    </row>
    <row r="247" spans="3:26" x14ac:dyDescent="0.35">
      <c r="C247" s="11" t="s">
        <v>2702</v>
      </c>
      <c r="D247" s="12" t="s">
        <v>2698</v>
      </c>
      <c r="E247" s="12">
        <v>236</v>
      </c>
      <c r="F247" s="13" t="s">
        <v>1683</v>
      </c>
      <c r="G247" s="14">
        <v>1</v>
      </c>
      <c r="H247" s="14" t="s">
        <v>1371</v>
      </c>
      <c r="I247" s="13">
        <v>14</v>
      </c>
      <c r="J247" s="15" t="s">
        <v>1413</v>
      </c>
      <c r="K247" s="15" t="s">
        <v>2707</v>
      </c>
      <c r="L247" s="16">
        <v>8074.3634999999995</v>
      </c>
      <c r="M247" s="16">
        <v>8397.3350000000009</v>
      </c>
      <c r="N247" s="16"/>
      <c r="O247" s="16">
        <v>8777.4204999999984</v>
      </c>
      <c r="P247" s="16">
        <v>4287.4544999999998</v>
      </c>
      <c r="Q247" s="16">
        <f>SUM(Tabela1[[#This Row],[201805]:[201807]])</f>
        <v>16471.698499999999</v>
      </c>
      <c r="R247" s="16">
        <f>SUM(Tabela1[[#This Row],[201905]:[201906]])</f>
        <v>13064.874999999998</v>
      </c>
      <c r="S247" s="16">
        <v>100000</v>
      </c>
      <c r="T247" s="16">
        <f>Tabela1[[#This Row],[Total 2019]]-Tabela1[[#This Row],[Total 2018]]</f>
        <v>-3406.8235000000004</v>
      </c>
      <c r="U247" s="40">
        <f>Tabela1[[#This Row],[Total 2019]]/Tabela1[[#This Row],[Meta]]</f>
        <v>0.13064874999999998</v>
      </c>
      <c r="V247" s="17">
        <f>IFERROR(Tabela1[[#This Row],[Total 2019]]/Tabela1[[#This Row],[Total 2018]]-1,0)</f>
        <v>-0.20682891324170372</v>
      </c>
      <c r="W24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247" s="48"/>
      <c r="Y247" s="19"/>
      <c r="Z247" s="68"/>
    </row>
    <row r="248" spans="3:26" x14ac:dyDescent="0.35">
      <c r="C248" s="11" t="s">
        <v>2702</v>
      </c>
      <c r="D248" s="12" t="s">
        <v>2698</v>
      </c>
      <c r="E248" s="12">
        <v>237</v>
      </c>
      <c r="F248" s="13" t="s">
        <v>1684</v>
      </c>
      <c r="G248" s="14">
        <v>3</v>
      </c>
      <c r="H248" s="14" t="s">
        <v>1371</v>
      </c>
      <c r="I248" s="13">
        <v>26</v>
      </c>
      <c r="J248" s="15" t="s">
        <v>1425</v>
      </c>
      <c r="K248" s="15" t="s">
        <v>2707</v>
      </c>
      <c r="L248" s="16">
        <v>1914.402</v>
      </c>
      <c r="M248" s="16">
        <v>3890.3829999999994</v>
      </c>
      <c r="N248" s="16"/>
      <c r="O248" s="16"/>
      <c r="P248" s="16"/>
      <c r="Q248" s="16">
        <f>SUM(Tabela1[[#This Row],[201805]:[201807]])</f>
        <v>5804.7849999999999</v>
      </c>
      <c r="R248" s="16">
        <f>SUM(Tabela1[[#This Row],[201905]:[201906]])</f>
        <v>0</v>
      </c>
      <c r="S248" s="16">
        <v>100000</v>
      </c>
      <c r="T248" s="16">
        <f>Tabela1[[#This Row],[Total 2019]]-Tabela1[[#This Row],[Total 2018]]</f>
        <v>-5804.7849999999999</v>
      </c>
      <c r="U248" s="40">
        <f>Tabela1[[#This Row],[Total 2019]]/Tabela1[[#This Row],[Meta]]</f>
        <v>0</v>
      </c>
      <c r="V248" s="17">
        <f>IFERROR(Tabela1[[#This Row],[Total 2019]]/Tabela1[[#This Row],[Total 2018]]-1,0)</f>
        <v>-1</v>
      </c>
      <c r="W24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48" s="48"/>
      <c r="Y248" s="19"/>
      <c r="Z248" s="68"/>
    </row>
    <row r="249" spans="3:26" x14ac:dyDescent="0.35">
      <c r="C249" s="11" t="s">
        <v>2704</v>
      </c>
      <c r="D249" s="12" t="s">
        <v>2699</v>
      </c>
      <c r="E249" s="12">
        <v>238</v>
      </c>
      <c r="F249" s="13" t="s">
        <v>1685</v>
      </c>
      <c r="G249" s="14">
        <v>3</v>
      </c>
      <c r="H249" s="14" t="s">
        <v>1371</v>
      </c>
      <c r="I249" s="13">
        <v>4</v>
      </c>
      <c r="J249" s="15" t="s">
        <v>1403</v>
      </c>
      <c r="K249" s="15" t="s">
        <v>2707</v>
      </c>
      <c r="L249" s="16">
        <v>1262.5784999999998</v>
      </c>
      <c r="M249" s="16"/>
      <c r="N249" s="16">
        <v>5682.2919999999995</v>
      </c>
      <c r="O249" s="16"/>
      <c r="P249" s="16"/>
      <c r="Q249" s="16">
        <f>SUM(Tabela1[[#This Row],[201805]:[201807]])</f>
        <v>6944.8704999999991</v>
      </c>
      <c r="R249" s="16">
        <f>SUM(Tabela1[[#This Row],[201905]:[201906]])</f>
        <v>0</v>
      </c>
      <c r="S249" s="16">
        <v>100000</v>
      </c>
      <c r="T249" s="16">
        <f>Tabela1[[#This Row],[Total 2019]]-Tabela1[[#This Row],[Total 2018]]</f>
        <v>-6944.8704999999991</v>
      </c>
      <c r="U249" s="40">
        <f>Tabela1[[#This Row],[Total 2019]]/Tabela1[[#This Row],[Meta]]</f>
        <v>0</v>
      </c>
      <c r="V249" s="17">
        <f>IFERROR(Tabela1[[#This Row],[Total 2019]]/Tabela1[[#This Row],[Total 2018]]-1,0)</f>
        <v>-1</v>
      </c>
      <c r="W24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49" s="48"/>
      <c r="Y249" s="19"/>
      <c r="Z249" s="68"/>
    </row>
    <row r="250" spans="3:26" x14ac:dyDescent="0.35">
      <c r="C250" s="11" t="s">
        <v>2703</v>
      </c>
      <c r="D250" s="12" t="s">
        <v>2700</v>
      </c>
      <c r="E250" s="12">
        <v>239</v>
      </c>
      <c r="F250" s="13" t="s">
        <v>1686</v>
      </c>
      <c r="G250" s="14">
        <v>1</v>
      </c>
      <c r="H250" s="14" t="s">
        <v>1372</v>
      </c>
      <c r="I250" s="13">
        <v>6</v>
      </c>
      <c r="J250" s="15" t="s">
        <v>1405</v>
      </c>
      <c r="K250" s="15" t="s">
        <v>2708</v>
      </c>
      <c r="L250" s="16"/>
      <c r="M250" s="16">
        <v>1640.1179999999999</v>
      </c>
      <c r="N250" s="16"/>
      <c r="O250" s="16"/>
      <c r="P250" s="16"/>
      <c r="Q250" s="16">
        <f>SUM(Tabela1[[#This Row],[201805]:[201807]])</f>
        <v>1640.1179999999999</v>
      </c>
      <c r="R250" s="16">
        <f>SUM(Tabela1[[#This Row],[201905]:[201906]])</f>
        <v>0</v>
      </c>
      <c r="S250" s="16">
        <v>100000</v>
      </c>
      <c r="T250" s="16">
        <f>Tabela1[[#This Row],[Total 2019]]-Tabela1[[#This Row],[Total 2018]]</f>
        <v>-1640.1179999999999</v>
      </c>
      <c r="U250" s="40">
        <f>Tabela1[[#This Row],[Total 2019]]/Tabela1[[#This Row],[Meta]]</f>
        <v>0</v>
      </c>
      <c r="V250" s="17">
        <f>IFERROR(Tabela1[[#This Row],[Total 2019]]/Tabela1[[#This Row],[Total 2018]]-1,0)</f>
        <v>-1</v>
      </c>
      <c r="W25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50" s="48"/>
      <c r="Y250" s="19"/>
      <c r="Z250" s="68"/>
    </row>
    <row r="251" spans="3:26" x14ac:dyDescent="0.35">
      <c r="C251" s="11" t="s">
        <v>2703</v>
      </c>
      <c r="D251" s="12" t="s">
        <v>2698</v>
      </c>
      <c r="E251" s="12">
        <v>240</v>
      </c>
      <c r="F251" s="13" t="s">
        <v>1687</v>
      </c>
      <c r="G251" s="14">
        <v>1</v>
      </c>
      <c r="H251" s="14" t="s">
        <v>1372</v>
      </c>
      <c r="I251" s="13">
        <v>25</v>
      </c>
      <c r="J251" s="15" t="s">
        <v>1424</v>
      </c>
      <c r="K251" s="15" t="s">
        <v>2708</v>
      </c>
      <c r="L251" s="16">
        <v>1051.251</v>
      </c>
      <c r="M251" s="16">
        <v>1459.8744999999999</v>
      </c>
      <c r="N251" s="16">
        <v>1346.1215</v>
      </c>
      <c r="O251" s="16">
        <v>5823.0059999999994</v>
      </c>
      <c r="P251" s="16">
        <v>1607.1149999999998</v>
      </c>
      <c r="Q251" s="16">
        <f>SUM(Tabela1[[#This Row],[201805]:[201807]])</f>
        <v>3857.2470000000003</v>
      </c>
      <c r="R251" s="16">
        <f>SUM(Tabela1[[#This Row],[201905]:[201906]])</f>
        <v>7430.1209999999992</v>
      </c>
      <c r="S251" s="16">
        <v>100000</v>
      </c>
      <c r="T251" s="16">
        <f>Tabela1[[#This Row],[Total 2019]]-Tabela1[[#This Row],[Total 2018]]</f>
        <v>3572.8739999999989</v>
      </c>
      <c r="U251" s="40">
        <f>Tabela1[[#This Row],[Total 2019]]/Tabela1[[#This Row],[Meta]]</f>
        <v>7.4301209999999993E-2</v>
      </c>
      <c r="V251" s="17">
        <f>IFERROR(Tabela1[[#This Row],[Total 2019]]/Tabela1[[#This Row],[Total 2018]]-1,0)</f>
        <v>0.92627565722392124</v>
      </c>
      <c r="W25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251" s="48"/>
      <c r="Y251" s="19"/>
      <c r="Z251" s="68"/>
    </row>
    <row r="252" spans="3:26" x14ac:dyDescent="0.35">
      <c r="C252" s="11" t="s">
        <v>2704</v>
      </c>
      <c r="D252" s="12" t="s">
        <v>2700</v>
      </c>
      <c r="E252" s="12">
        <v>241</v>
      </c>
      <c r="F252" s="13" t="s">
        <v>1688</v>
      </c>
      <c r="G252" s="14">
        <v>2</v>
      </c>
      <c r="H252" s="14" t="s">
        <v>1370</v>
      </c>
      <c r="I252" s="13">
        <v>34</v>
      </c>
      <c r="J252" s="15" t="s">
        <v>1433</v>
      </c>
      <c r="K252" s="15" t="s">
        <v>2706</v>
      </c>
      <c r="L252" s="16">
        <v>847.30499999999995</v>
      </c>
      <c r="M252" s="16">
        <v>1328.4515000000001</v>
      </c>
      <c r="N252" s="16">
        <v>1660.5334999999998</v>
      </c>
      <c r="O252" s="16"/>
      <c r="P252" s="16"/>
      <c r="Q252" s="16">
        <f>SUM(Tabela1[[#This Row],[201805]:[201807]])</f>
        <v>3836.29</v>
      </c>
      <c r="R252" s="16">
        <f>SUM(Tabela1[[#This Row],[201905]:[201906]])</f>
        <v>0</v>
      </c>
      <c r="S252" s="16">
        <v>100000</v>
      </c>
      <c r="T252" s="16">
        <f>Tabela1[[#This Row],[Total 2019]]-Tabela1[[#This Row],[Total 2018]]</f>
        <v>-3836.29</v>
      </c>
      <c r="U252" s="40">
        <f>Tabela1[[#This Row],[Total 2019]]/Tabela1[[#This Row],[Meta]]</f>
        <v>0</v>
      </c>
      <c r="V252" s="17">
        <f>IFERROR(Tabela1[[#This Row],[Total 2019]]/Tabela1[[#This Row],[Total 2018]]-1,0)</f>
        <v>-1</v>
      </c>
      <c r="W25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52" s="48"/>
      <c r="Y252" s="19"/>
      <c r="Z252" s="68"/>
    </row>
    <row r="253" spans="3:26" x14ac:dyDescent="0.35">
      <c r="C253" s="11" t="s">
        <v>2702</v>
      </c>
      <c r="D253" s="12" t="s">
        <v>2699</v>
      </c>
      <c r="E253" s="12">
        <v>242</v>
      </c>
      <c r="F253" s="13" t="s">
        <v>1689</v>
      </c>
      <c r="G253" s="14">
        <v>3</v>
      </c>
      <c r="H253" s="14" t="s">
        <v>1371</v>
      </c>
      <c r="I253" s="13">
        <v>26</v>
      </c>
      <c r="J253" s="15" t="s">
        <v>1425</v>
      </c>
      <c r="K253" s="15" t="s">
        <v>2707</v>
      </c>
      <c r="L253" s="16">
        <v>1585.5784999999998</v>
      </c>
      <c r="M253" s="16">
        <v>4717.7569999999996</v>
      </c>
      <c r="N253" s="16"/>
      <c r="O253" s="16"/>
      <c r="P253" s="16"/>
      <c r="Q253" s="16">
        <f>SUM(Tabela1[[#This Row],[201805]:[201807]])</f>
        <v>6303.3354999999992</v>
      </c>
      <c r="R253" s="16">
        <f>SUM(Tabela1[[#This Row],[201905]:[201906]])</f>
        <v>0</v>
      </c>
      <c r="S253" s="16">
        <v>100000</v>
      </c>
      <c r="T253" s="16">
        <f>Tabela1[[#This Row],[Total 2019]]-Tabela1[[#This Row],[Total 2018]]</f>
        <v>-6303.3354999999992</v>
      </c>
      <c r="U253" s="40">
        <f>Tabela1[[#This Row],[Total 2019]]/Tabela1[[#This Row],[Meta]]</f>
        <v>0</v>
      </c>
      <c r="V253" s="17">
        <f>IFERROR(Tabela1[[#This Row],[Total 2019]]/Tabela1[[#This Row],[Total 2018]]-1,0)</f>
        <v>-1</v>
      </c>
      <c r="W25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53" s="48"/>
      <c r="Y253" s="19"/>
      <c r="Z253" s="68"/>
    </row>
    <row r="254" spans="3:26" x14ac:dyDescent="0.35">
      <c r="C254" s="11" t="s">
        <v>2703</v>
      </c>
      <c r="D254" s="12" t="s">
        <v>2700</v>
      </c>
      <c r="E254" s="12">
        <v>243</v>
      </c>
      <c r="F254" s="13" t="s">
        <v>1690</v>
      </c>
      <c r="G254" s="14">
        <v>1</v>
      </c>
      <c r="H254" s="14" t="s">
        <v>1370</v>
      </c>
      <c r="I254" s="13">
        <v>19</v>
      </c>
      <c r="J254" s="15" t="s">
        <v>1418</v>
      </c>
      <c r="K254" s="15" t="s">
        <v>2706</v>
      </c>
      <c r="L254" s="16">
        <v>6918.4795000000004</v>
      </c>
      <c r="M254" s="16">
        <v>4046.6009999999997</v>
      </c>
      <c r="N254" s="16"/>
      <c r="O254" s="16"/>
      <c r="P254" s="16"/>
      <c r="Q254" s="16">
        <f>SUM(Tabela1[[#This Row],[201805]:[201807]])</f>
        <v>10965.0805</v>
      </c>
      <c r="R254" s="16">
        <f>SUM(Tabela1[[#This Row],[201905]:[201906]])</f>
        <v>0</v>
      </c>
      <c r="S254" s="16">
        <v>100000</v>
      </c>
      <c r="T254" s="16">
        <f>Tabela1[[#This Row],[Total 2019]]-Tabela1[[#This Row],[Total 2018]]</f>
        <v>-10965.0805</v>
      </c>
      <c r="U254" s="40">
        <f>Tabela1[[#This Row],[Total 2019]]/Tabela1[[#This Row],[Meta]]</f>
        <v>0</v>
      </c>
      <c r="V254" s="17">
        <f>IFERROR(Tabela1[[#This Row],[Total 2019]]/Tabela1[[#This Row],[Total 2018]]-1,0)</f>
        <v>-1</v>
      </c>
      <c r="W25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54" s="48"/>
      <c r="Y254" s="19"/>
      <c r="Z254" s="68"/>
    </row>
    <row r="255" spans="3:26" x14ac:dyDescent="0.35">
      <c r="C255" s="11" t="s">
        <v>2702</v>
      </c>
      <c r="D255" s="12" t="s">
        <v>2699</v>
      </c>
      <c r="E255" s="12">
        <v>244</v>
      </c>
      <c r="F255" s="13" t="s">
        <v>1691</v>
      </c>
      <c r="G255" s="14">
        <v>1</v>
      </c>
      <c r="H255" s="14" t="s">
        <v>1370</v>
      </c>
      <c r="I255" s="13">
        <v>3</v>
      </c>
      <c r="J255" s="15" t="s">
        <v>1402</v>
      </c>
      <c r="K255" s="15" t="s">
        <v>2706</v>
      </c>
      <c r="L255" s="16"/>
      <c r="M255" s="16">
        <v>4831.9469999999992</v>
      </c>
      <c r="N255" s="16"/>
      <c r="O255" s="16"/>
      <c r="P255" s="16"/>
      <c r="Q255" s="16">
        <f>SUM(Tabela1[[#This Row],[201805]:[201807]])</f>
        <v>4831.9469999999992</v>
      </c>
      <c r="R255" s="16">
        <f>SUM(Tabela1[[#This Row],[201905]:[201906]])</f>
        <v>0</v>
      </c>
      <c r="S255" s="16">
        <v>100000</v>
      </c>
      <c r="T255" s="16">
        <f>Tabela1[[#This Row],[Total 2019]]-Tabela1[[#This Row],[Total 2018]]</f>
        <v>-4831.9469999999992</v>
      </c>
      <c r="U255" s="40">
        <f>Tabela1[[#This Row],[Total 2019]]/Tabela1[[#This Row],[Meta]]</f>
        <v>0</v>
      </c>
      <c r="V255" s="17">
        <f>IFERROR(Tabela1[[#This Row],[Total 2019]]/Tabela1[[#This Row],[Total 2018]]-1,0)</f>
        <v>-1</v>
      </c>
      <c r="W25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55" s="48"/>
      <c r="Y255" s="19"/>
      <c r="Z255" s="68"/>
    </row>
    <row r="256" spans="3:26" x14ac:dyDescent="0.35">
      <c r="C256" s="11" t="s">
        <v>2702</v>
      </c>
      <c r="D256" s="12" t="s">
        <v>2700</v>
      </c>
      <c r="E256" s="12">
        <v>245</v>
      </c>
      <c r="F256" s="13" t="s">
        <v>1692</v>
      </c>
      <c r="G256" s="14">
        <v>3</v>
      </c>
      <c r="H256" s="14" t="s">
        <v>1372</v>
      </c>
      <c r="I256" s="13">
        <v>10</v>
      </c>
      <c r="J256" s="15" t="s">
        <v>1409</v>
      </c>
      <c r="K256" s="15" t="s">
        <v>2708</v>
      </c>
      <c r="L256" s="16">
        <v>3265.5774999999994</v>
      </c>
      <c r="M256" s="16">
        <v>5176.4929999999995</v>
      </c>
      <c r="N256" s="16">
        <v>2240.328</v>
      </c>
      <c r="O256" s="16"/>
      <c r="P256" s="16"/>
      <c r="Q256" s="16">
        <f>SUM(Tabela1[[#This Row],[201805]:[201807]])</f>
        <v>10682.398499999998</v>
      </c>
      <c r="R256" s="16">
        <f>SUM(Tabela1[[#This Row],[201905]:[201906]])</f>
        <v>0</v>
      </c>
      <c r="S256" s="16">
        <v>100000</v>
      </c>
      <c r="T256" s="16">
        <f>Tabela1[[#This Row],[Total 2019]]-Tabela1[[#This Row],[Total 2018]]</f>
        <v>-10682.398499999998</v>
      </c>
      <c r="U256" s="40">
        <f>Tabela1[[#This Row],[Total 2019]]/Tabela1[[#This Row],[Meta]]</f>
        <v>0</v>
      </c>
      <c r="V256" s="17">
        <f>IFERROR(Tabela1[[#This Row],[Total 2019]]/Tabela1[[#This Row],[Total 2018]]-1,0)</f>
        <v>-1</v>
      </c>
      <c r="W25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56" s="48"/>
      <c r="Y256" s="19"/>
      <c r="Z256" s="68"/>
    </row>
    <row r="257" spans="3:26" x14ac:dyDescent="0.35">
      <c r="C257" s="11" t="s">
        <v>2704</v>
      </c>
      <c r="D257" s="12" t="s">
        <v>2700</v>
      </c>
      <c r="E257" s="12">
        <v>246</v>
      </c>
      <c r="F257" s="13" t="s">
        <v>1693</v>
      </c>
      <c r="G257" s="14">
        <v>2</v>
      </c>
      <c r="H257" s="14" t="s">
        <v>1370</v>
      </c>
      <c r="I257" s="13">
        <v>8</v>
      </c>
      <c r="J257" s="15" t="s">
        <v>1407</v>
      </c>
      <c r="K257" s="15" t="s">
        <v>2706</v>
      </c>
      <c r="L257" s="16"/>
      <c r="M257" s="16">
        <v>11182.326499999999</v>
      </c>
      <c r="N257" s="16"/>
      <c r="O257" s="16">
        <v>9443.1614999999983</v>
      </c>
      <c r="P257" s="16">
        <v>6408.1679999999997</v>
      </c>
      <c r="Q257" s="16">
        <f>SUM(Tabela1[[#This Row],[201805]:[201807]])</f>
        <v>11182.326499999999</v>
      </c>
      <c r="R257" s="16">
        <f>SUM(Tabela1[[#This Row],[201905]:[201906]])</f>
        <v>15851.329499999998</v>
      </c>
      <c r="S257" s="16">
        <v>100000</v>
      </c>
      <c r="T257" s="16">
        <f>Tabela1[[#This Row],[Total 2019]]-Tabela1[[#This Row],[Total 2018]]</f>
        <v>4669.0029999999988</v>
      </c>
      <c r="U257" s="40">
        <f>Tabela1[[#This Row],[Total 2019]]/Tabela1[[#This Row],[Meta]]</f>
        <v>0.15851329499999997</v>
      </c>
      <c r="V257" s="17">
        <f>IFERROR(Tabela1[[#This Row],[Total 2019]]/Tabela1[[#This Row],[Total 2018]]-1,0)</f>
        <v>0.41753413299101938</v>
      </c>
      <c r="W25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257" s="48"/>
      <c r="Y257" s="19"/>
      <c r="Z257" s="68"/>
    </row>
    <row r="258" spans="3:26" x14ac:dyDescent="0.35">
      <c r="C258" s="11" t="s">
        <v>2702</v>
      </c>
      <c r="D258" s="12" t="s">
        <v>2699</v>
      </c>
      <c r="E258" s="12">
        <v>247</v>
      </c>
      <c r="F258" s="13" t="s">
        <v>1694</v>
      </c>
      <c r="G258" s="14">
        <v>3</v>
      </c>
      <c r="H258" s="14" t="s">
        <v>1370</v>
      </c>
      <c r="I258" s="13">
        <v>19</v>
      </c>
      <c r="J258" s="15" t="s">
        <v>1418</v>
      </c>
      <c r="K258" s="15" t="s">
        <v>2706</v>
      </c>
      <c r="L258" s="16">
        <v>999.38099999999986</v>
      </c>
      <c r="M258" s="16">
        <v>8759.6364999999987</v>
      </c>
      <c r="N258" s="16"/>
      <c r="O258" s="16"/>
      <c r="P258" s="16"/>
      <c r="Q258" s="16">
        <f>SUM(Tabela1[[#This Row],[201805]:[201807]])</f>
        <v>9759.0174999999981</v>
      </c>
      <c r="R258" s="16">
        <f>SUM(Tabela1[[#This Row],[201905]:[201906]])</f>
        <v>0</v>
      </c>
      <c r="S258" s="16">
        <v>100000</v>
      </c>
      <c r="T258" s="16">
        <f>Tabela1[[#This Row],[Total 2019]]-Tabela1[[#This Row],[Total 2018]]</f>
        <v>-9759.0174999999981</v>
      </c>
      <c r="U258" s="40">
        <f>Tabela1[[#This Row],[Total 2019]]/Tabela1[[#This Row],[Meta]]</f>
        <v>0</v>
      </c>
      <c r="V258" s="17">
        <f>IFERROR(Tabela1[[#This Row],[Total 2019]]/Tabela1[[#This Row],[Total 2018]]-1,0)</f>
        <v>-1</v>
      </c>
      <c r="W25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58" s="48"/>
      <c r="Y258" s="19"/>
      <c r="Z258" s="68"/>
    </row>
    <row r="259" spans="3:26" x14ac:dyDescent="0.35">
      <c r="C259" s="11" t="s">
        <v>2702</v>
      </c>
      <c r="D259" s="12" t="s">
        <v>2698</v>
      </c>
      <c r="E259" s="12">
        <v>248</v>
      </c>
      <c r="F259" s="13" t="s">
        <v>1695</v>
      </c>
      <c r="G259" s="14">
        <v>1</v>
      </c>
      <c r="H259" s="14" t="s">
        <v>1370</v>
      </c>
      <c r="I259" s="13">
        <v>15</v>
      </c>
      <c r="J259" s="15" t="s">
        <v>1414</v>
      </c>
      <c r="K259" s="15" t="s">
        <v>2706</v>
      </c>
      <c r="L259" s="16"/>
      <c r="M259" s="16"/>
      <c r="N259" s="16"/>
      <c r="O259" s="16">
        <v>12745.4755</v>
      </c>
      <c r="P259" s="16">
        <v>13115.253499999997</v>
      </c>
      <c r="Q259" s="16">
        <f>SUM(Tabela1[[#This Row],[201805]:[201807]])</f>
        <v>0</v>
      </c>
      <c r="R259" s="16">
        <f>SUM(Tabela1[[#This Row],[201905]:[201906]])</f>
        <v>25860.728999999999</v>
      </c>
      <c r="S259" s="16">
        <v>100000</v>
      </c>
      <c r="T259" s="16">
        <f>Tabela1[[#This Row],[Total 2019]]-Tabela1[[#This Row],[Total 2018]]</f>
        <v>25860.728999999999</v>
      </c>
      <c r="U259" s="40">
        <f>Tabela1[[#This Row],[Total 2019]]/Tabela1[[#This Row],[Meta]]</f>
        <v>0.25860728999999999</v>
      </c>
      <c r="V259" s="17">
        <f>IFERROR(Tabela1[[#This Row],[Total 2019]]/Tabela1[[#This Row],[Total 2018]]-1,0)</f>
        <v>0</v>
      </c>
      <c r="W25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259" s="48"/>
      <c r="Y259" s="19"/>
      <c r="Z259" s="68"/>
    </row>
    <row r="260" spans="3:26" x14ac:dyDescent="0.35">
      <c r="C260" s="11" t="s">
        <v>2703</v>
      </c>
      <c r="D260" s="12" t="s">
        <v>2699</v>
      </c>
      <c r="E260" s="12">
        <v>249</v>
      </c>
      <c r="F260" s="13" t="s">
        <v>1696</v>
      </c>
      <c r="G260" s="14">
        <v>3</v>
      </c>
      <c r="H260" s="14" t="s">
        <v>1372</v>
      </c>
      <c r="I260" s="13">
        <v>16</v>
      </c>
      <c r="J260" s="15" t="s">
        <v>1415</v>
      </c>
      <c r="K260" s="15" t="s">
        <v>2708</v>
      </c>
      <c r="L260" s="16">
        <v>3259.3360000000002</v>
      </c>
      <c r="M260" s="16">
        <v>3890.3164999999999</v>
      </c>
      <c r="N260" s="16">
        <v>907.19299999999987</v>
      </c>
      <c r="O260" s="16">
        <v>9195.7339999999986</v>
      </c>
      <c r="P260" s="16">
        <v>4871.1249999999991</v>
      </c>
      <c r="Q260" s="16">
        <f>SUM(Tabela1[[#This Row],[201805]:[201807]])</f>
        <v>8056.8455000000004</v>
      </c>
      <c r="R260" s="16">
        <f>SUM(Tabela1[[#This Row],[201905]:[201906]])</f>
        <v>14066.858999999997</v>
      </c>
      <c r="S260" s="16">
        <v>100000</v>
      </c>
      <c r="T260" s="16">
        <f>Tabela1[[#This Row],[Total 2019]]-Tabela1[[#This Row],[Total 2018]]</f>
        <v>6010.0134999999964</v>
      </c>
      <c r="U260" s="40">
        <f>Tabela1[[#This Row],[Total 2019]]/Tabela1[[#This Row],[Meta]]</f>
        <v>0.14066858999999995</v>
      </c>
      <c r="V260" s="17">
        <f>IFERROR(Tabela1[[#This Row],[Total 2019]]/Tabela1[[#This Row],[Total 2018]]-1,0)</f>
        <v>0.74595119144335031</v>
      </c>
      <c r="W26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260" s="48"/>
      <c r="Y260" s="19"/>
      <c r="Z260" s="68"/>
    </row>
    <row r="261" spans="3:26" x14ac:dyDescent="0.35">
      <c r="C261" s="11" t="s">
        <v>2702</v>
      </c>
      <c r="D261" s="12" t="s">
        <v>2699</v>
      </c>
      <c r="E261" s="12">
        <v>250</v>
      </c>
      <c r="F261" s="13" t="s">
        <v>1697</v>
      </c>
      <c r="G261" s="14">
        <v>2</v>
      </c>
      <c r="H261" s="14" t="s">
        <v>1370</v>
      </c>
      <c r="I261" s="13">
        <v>11</v>
      </c>
      <c r="J261" s="15" t="s">
        <v>1410</v>
      </c>
      <c r="K261" s="15" t="s">
        <v>2706</v>
      </c>
      <c r="L261" s="16"/>
      <c r="M261" s="16">
        <v>2685.5169999999998</v>
      </c>
      <c r="N261" s="16">
        <v>851.72249999999997</v>
      </c>
      <c r="O261" s="16">
        <v>4067.5390000000002</v>
      </c>
      <c r="P261" s="16"/>
      <c r="Q261" s="16">
        <f>SUM(Tabela1[[#This Row],[201805]:[201807]])</f>
        <v>3537.2394999999997</v>
      </c>
      <c r="R261" s="16">
        <f>SUM(Tabela1[[#This Row],[201905]:[201906]])</f>
        <v>4067.5390000000002</v>
      </c>
      <c r="S261" s="16">
        <v>100000</v>
      </c>
      <c r="T261" s="16">
        <f>Tabela1[[#This Row],[Total 2019]]-Tabela1[[#This Row],[Total 2018]]</f>
        <v>530.29950000000053</v>
      </c>
      <c r="U261" s="40">
        <f>Tabela1[[#This Row],[Total 2019]]/Tabela1[[#This Row],[Meta]]</f>
        <v>4.0675389999999999E-2</v>
      </c>
      <c r="V261" s="17">
        <f>IFERROR(Tabela1[[#This Row],[Total 2019]]/Tabela1[[#This Row],[Total 2018]]-1,0)</f>
        <v>0.14991902583921735</v>
      </c>
      <c r="W26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261" s="48"/>
      <c r="Y261" s="19"/>
      <c r="Z261" s="68"/>
    </row>
    <row r="262" spans="3:26" x14ac:dyDescent="0.35">
      <c r="C262" s="11" t="s">
        <v>2703</v>
      </c>
      <c r="D262" s="12" t="s">
        <v>2698</v>
      </c>
      <c r="E262" s="12">
        <v>251</v>
      </c>
      <c r="F262" s="13" t="s">
        <v>1698</v>
      </c>
      <c r="G262" s="14">
        <v>3</v>
      </c>
      <c r="H262" s="14" t="s">
        <v>1371</v>
      </c>
      <c r="I262" s="13">
        <v>5</v>
      </c>
      <c r="J262" s="15" t="s">
        <v>1404</v>
      </c>
      <c r="K262" s="15" t="s">
        <v>2707</v>
      </c>
      <c r="L262" s="16"/>
      <c r="M262" s="16">
        <v>3131.0099999999998</v>
      </c>
      <c r="N262" s="16"/>
      <c r="O262" s="16">
        <v>1823.6295</v>
      </c>
      <c r="P262" s="16">
        <v>4695.8215</v>
      </c>
      <c r="Q262" s="16">
        <f>SUM(Tabela1[[#This Row],[201805]:[201807]])</f>
        <v>3131.0099999999998</v>
      </c>
      <c r="R262" s="16">
        <f>SUM(Tabela1[[#This Row],[201905]:[201906]])</f>
        <v>6519.451</v>
      </c>
      <c r="S262" s="16">
        <v>100000</v>
      </c>
      <c r="T262" s="16">
        <f>Tabela1[[#This Row],[Total 2019]]-Tabela1[[#This Row],[Total 2018]]</f>
        <v>3388.4410000000003</v>
      </c>
      <c r="U262" s="40">
        <f>Tabela1[[#This Row],[Total 2019]]/Tabela1[[#This Row],[Meta]]</f>
        <v>6.5194509999999997E-2</v>
      </c>
      <c r="V262" s="17">
        <f>IFERROR(Tabela1[[#This Row],[Total 2019]]/Tabela1[[#This Row],[Total 2018]]-1,0)</f>
        <v>1.0822197948904666</v>
      </c>
      <c r="W26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262" s="48"/>
      <c r="Y262" s="19"/>
      <c r="Z262" s="68"/>
    </row>
    <row r="263" spans="3:26" x14ac:dyDescent="0.35">
      <c r="C263" s="11" t="s">
        <v>2702</v>
      </c>
      <c r="D263" s="12" t="s">
        <v>2698</v>
      </c>
      <c r="E263" s="12">
        <v>252</v>
      </c>
      <c r="F263" s="13" t="s">
        <v>1699</v>
      </c>
      <c r="G263" s="14">
        <v>2</v>
      </c>
      <c r="H263" s="14" t="s">
        <v>1371</v>
      </c>
      <c r="I263" s="13">
        <v>9</v>
      </c>
      <c r="J263" s="15" t="s">
        <v>1408</v>
      </c>
      <c r="K263" s="15" t="s">
        <v>2707</v>
      </c>
      <c r="L263" s="16"/>
      <c r="M263" s="16">
        <v>9987.9959999999992</v>
      </c>
      <c r="N263" s="16"/>
      <c r="O263" s="16">
        <v>2122.5945000000002</v>
      </c>
      <c r="P263" s="16">
        <v>11600.468999999997</v>
      </c>
      <c r="Q263" s="16">
        <f>SUM(Tabela1[[#This Row],[201805]:[201807]])</f>
        <v>9987.9959999999992</v>
      </c>
      <c r="R263" s="16">
        <f>SUM(Tabela1[[#This Row],[201905]:[201906]])</f>
        <v>13723.063499999997</v>
      </c>
      <c r="S263" s="16">
        <v>100000</v>
      </c>
      <c r="T263" s="16">
        <f>Tabela1[[#This Row],[Total 2019]]-Tabela1[[#This Row],[Total 2018]]</f>
        <v>3735.0674999999974</v>
      </c>
      <c r="U263" s="40">
        <f>Tabela1[[#This Row],[Total 2019]]/Tabela1[[#This Row],[Meta]]</f>
        <v>0.13723063499999996</v>
      </c>
      <c r="V263" s="17">
        <f>IFERROR(Tabela1[[#This Row],[Total 2019]]/Tabela1[[#This Row],[Total 2018]]-1,0)</f>
        <v>0.37395564635788769</v>
      </c>
      <c r="W26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263" s="48"/>
      <c r="Y263" s="19"/>
      <c r="Z263" s="68"/>
    </row>
    <row r="264" spans="3:26" x14ac:dyDescent="0.35">
      <c r="C264" s="11" t="s">
        <v>2704</v>
      </c>
      <c r="D264" s="12" t="s">
        <v>2699</v>
      </c>
      <c r="E264" s="12">
        <v>253</v>
      </c>
      <c r="F264" s="13" t="s">
        <v>1700</v>
      </c>
      <c r="G264" s="14">
        <v>2</v>
      </c>
      <c r="H264" s="14" t="s">
        <v>1372</v>
      </c>
      <c r="I264" s="13">
        <v>22</v>
      </c>
      <c r="J264" s="15" t="s">
        <v>1421</v>
      </c>
      <c r="K264" s="15" t="s">
        <v>2708</v>
      </c>
      <c r="L264" s="16">
        <v>2265.1039999999998</v>
      </c>
      <c r="M264" s="16">
        <v>8250.1229999999996</v>
      </c>
      <c r="N264" s="16"/>
      <c r="O264" s="16"/>
      <c r="P264" s="16"/>
      <c r="Q264" s="16">
        <f>SUM(Tabela1[[#This Row],[201805]:[201807]])</f>
        <v>10515.226999999999</v>
      </c>
      <c r="R264" s="16">
        <f>SUM(Tabela1[[#This Row],[201905]:[201906]])</f>
        <v>0</v>
      </c>
      <c r="S264" s="16">
        <v>100000</v>
      </c>
      <c r="T264" s="16">
        <f>Tabela1[[#This Row],[Total 2019]]-Tabela1[[#This Row],[Total 2018]]</f>
        <v>-10515.226999999999</v>
      </c>
      <c r="U264" s="40">
        <f>Tabela1[[#This Row],[Total 2019]]/Tabela1[[#This Row],[Meta]]</f>
        <v>0</v>
      </c>
      <c r="V264" s="17">
        <f>IFERROR(Tabela1[[#This Row],[Total 2019]]/Tabela1[[#This Row],[Total 2018]]-1,0)</f>
        <v>-1</v>
      </c>
      <c r="W26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64" s="48"/>
      <c r="Y264" s="19"/>
      <c r="Z264" s="68"/>
    </row>
    <row r="265" spans="3:26" x14ac:dyDescent="0.35">
      <c r="C265" s="11" t="s">
        <v>2704</v>
      </c>
      <c r="D265" s="12" t="s">
        <v>2699</v>
      </c>
      <c r="E265" s="12">
        <v>254</v>
      </c>
      <c r="F265" s="13" t="s">
        <v>1701</v>
      </c>
      <c r="G265" s="14">
        <v>2</v>
      </c>
      <c r="H265" s="14" t="s">
        <v>1372</v>
      </c>
      <c r="I265" s="13">
        <v>13</v>
      </c>
      <c r="J265" s="15" t="s">
        <v>1412</v>
      </c>
      <c r="K265" s="15" t="s">
        <v>2709</v>
      </c>
      <c r="L265" s="16">
        <v>3396.2879999999996</v>
      </c>
      <c r="M265" s="16">
        <v>1073.5</v>
      </c>
      <c r="N265" s="16"/>
      <c r="O265" s="16"/>
      <c r="P265" s="16"/>
      <c r="Q265" s="16">
        <f>SUM(Tabela1[[#This Row],[201805]:[201807]])</f>
        <v>4469.7879999999996</v>
      </c>
      <c r="R265" s="16">
        <f>SUM(Tabela1[[#This Row],[201905]:[201906]])</f>
        <v>0</v>
      </c>
      <c r="S265" s="16">
        <v>100000</v>
      </c>
      <c r="T265" s="16">
        <f>Tabela1[[#This Row],[Total 2019]]-Tabela1[[#This Row],[Total 2018]]</f>
        <v>-4469.7879999999996</v>
      </c>
      <c r="U265" s="40">
        <f>Tabela1[[#This Row],[Total 2019]]/Tabela1[[#This Row],[Meta]]</f>
        <v>0</v>
      </c>
      <c r="V265" s="17">
        <f>IFERROR(Tabela1[[#This Row],[Total 2019]]/Tabela1[[#This Row],[Total 2018]]-1,0)</f>
        <v>-1</v>
      </c>
      <c r="W26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65" s="48"/>
      <c r="Y265" s="19"/>
      <c r="Z265" s="68"/>
    </row>
    <row r="266" spans="3:26" x14ac:dyDescent="0.35">
      <c r="C266" s="11" t="s">
        <v>2703</v>
      </c>
      <c r="D266" s="12" t="s">
        <v>2699</v>
      </c>
      <c r="E266" s="12">
        <v>255</v>
      </c>
      <c r="F266" s="13" t="s">
        <v>1702</v>
      </c>
      <c r="G266" s="14">
        <v>1</v>
      </c>
      <c r="H266" s="14" t="s">
        <v>1370</v>
      </c>
      <c r="I266" s="13">
        <v>11</v>
      </c>
      <c r="J266" s="15" t="s">
        <v>1410</v>
      </c>
      <c r="K266" s="15" t="s">
        <v>2706</v>
      </c>
      <c r="L266" s="16">
        <v>9543.4150000000009</v>
      </c>
      <c r="M266" s="16">
        <v>6390.6689999999999</v>
      </c>
      <c r="N266" s="16"/>
      <c r="O266" s="16">
        <v>12378.290999999997</v>
      </c>
      <c r="P266" s="16">
        <v>5647.0564999999997</v>
      </c>
      <c r="Q266" s="16">
        <f>SUM(Tabela1[[#This Row],[201805]:[201807]])</f>
        <v>15934.084000000001</v>
      </c>
      <c r="R266" s="16">
        <f>SUM(Tabela1[[#This Row],[201905]:[201906]])</f>
        <v>18025.347499999996</v>
      </c>
      <c r="S266" s="16">
        <v>100000</v>
      </c>
      <c r="T266" s="16">
        <f>Tabela1[[#This Row],[Total 2019]]-Tabela1[[#This Row],[Total 2018]]</f>
        <v>2091.2634999999955</v>
      </c>
      <c r="U266" s="40">
        <f>Tabela1[[#This Row],[Total 2019]]/Tabela1[[#This Row],[Meta]]</f>
        <v>0.18025347499999997</v>
      </c>
      <c r="V266" s="17">
        <f>IFERROR(Tabela1[[#This Row],[Total 2019]]/Tabela1[[#This Row],[Total 2018]]-1,0)</f>
        <v>0.13124466395432544</v>
      </c>
      <c r="W26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266" s="48"/>
      <c r="Y266" s="19"/>
      <c r="Z266" s="68"/>
    </row>
    <row r="267" spans="3:26" x14ac:dyDescent="0.35">
      <c r="C267" s="11" t="s">
        <v>2704</v>
      </c>
      <c r="D267" s="12" t="s">
        <v>2698</v>
      </c>
      <c r="E267" s="12">
        <v>256</v>
      </c>
      <c r="F267" s="13" t="s">
        <v>1703</v>
      </c>
      <c r="G267" s="14">
        <v>3</v>
      </c>
      <c r="H267" s="14" t="s">
        <v>1371</v>
      </c>
      <c r="I267" s="13">
        <v>9</v>
      </c>
      <c r="J267" s="15" t="s">
        <v>1408</v>
      </c>
      <c r="K267" s="15" t="s">
        <v>2707</v>
      </c>
      <c r="L267" s="16">
        <v>12555.238000000001</v>
      </c>
      <c r="M267" s="16">
        <v>2741.3199999999997</v>
      </c>
      <c r="N267" s="16"/>
      <c r="O267" s="16">
        <v>2259.7080000000001</v>
      </c>
      <c r="P267" s="16">
        <v>8610.476999999999</v>
      </c>
      <c r="Q267" s="16">
        <f>SUM(Tabela1[[#This Row],[201805]:[201807]])</f>
        <v>15296.558000000001</v>
      </c>
      <c r="R267" s="16">
        <f>SUM(Tabela1[[#This Row],[201905]:[201906]])</f>
        <v>10870.184999999999</v>
      </c>
      <c r="S267" s="16">
        <v>100000</v>
      </c>
      <c r="T267" s="16">
        <f>Tabela1[[#This Row],[Total 2019]]-Tabela1[[#This Row],[Total 2018]]</f>
        <v>-4426.3730000000014</v>
      </c>
      <c r="U267" s="40">
        <f>Tabela1[[#This Row],[Total 2019]]/Tabela1[[#This Row],[Meta]]</f>
        <v>0.10870184999999999</v>
      </c>
      <c r="V267" s="17">
        <f>IFERROR(Tabela1[[#This Row],[Total 2019]]/Tabela1[[#This Row],[Total 2018]]-1,0)</f>
        <v>-0.28937052374789163</v>
      </c>
      <c r="W26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267" s="48"/>
      <c r="Y267" s="19"/>
      <c r="Z267" s="68"/>
    </row>
    <row r="268" spans="3:26" x14ac:dyDescent="0.35">
      <c r="C268" s="11" t="s">
        <v>2704</v>
      </c>
      <c r="D268" s="12" t="s">
        <v>2700</v>
      </c>
      <c r="E268" s="12">
        <v>257</v>
      </c>
      <c r="F268" s="13" t="s">
        <v>1704</v>
      </c>
      <c r="G268" s="14">
        <v>1</v>
      </c>
      <c r="H268" s="14" t="s">
        <v>1371</v>
      </c>
      <c r="I268" s="13">
        <v>26</v>
      </c>
      <c r="J268" s="15" t="s">
        <v>1425</v>
      </c>
      <c r="K268" s="15" t="s">
        <v>2707</v>
      </c>
      <c r="L268" s="16">
        <v>2908.1115</v>
      </c>
      <c r="M268" s="16">
        <v>2972.4264999999996</v>
      </c>
      <c r="N268" s="16"/>
      <c r="O268" s="16">
        <v>4555.4970000000003</v>
      </c>
      <c r="P268" s="16">
        <v>2718.9759999999997</v>
      </c>
      <c r="Q268" s="16">
        <f>SUM(Tabela1[[#This Row],[201805]:[201807]])</f>
        <v>5880.5379999999996</v>
      </c>
      <c r="R268" s="16">
        <f>SUM(Tabela1[[#This Row],[201905]:[201906]])</f>
        <v>7274.473</v>
      </c>
      <c r="S268" s="16">
        <v>100000</v>
      </c>
      <c r="T268" s="16">
        <f>Tabela1[[#This Row],[Total 2019]]-Tabela1[[#This Row],[Total 2018]]</f>
        <v>1393.9350000000004</v>
      </c>
      <c r="U268" s="40">
        <f>Tabela1[[#This Row],[Total 2019]]/Tabela1[[#This Row],[Meta]]</f>
        <v>7.2744729999999994E-2</v>
      </c>
      <c r="V268" s="17">
        <f>IFERROR(Tabela1[[#This Row],[Total 2019]]/Tabela1[[#This Row],[Total 2018]]-1,0)</f>
        <v>0.23704208696551232</v>
      </c>
      <c r="W26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268" s="48"/>
      <c r="Y268" s="19"/>
      <c r="Z268" s="68"/>
    </row>
    <row r="269" spans="3:26" x14ac:dyDescent="0.35">
      <c r="C269" s="11" t="s">
        <v>2702</v>
      </c>
      <c r="D269" s="12" t="s">
        <v>2698</v>
      </c>
      <c r="E269" s="12">
        <v>258</v>
      </c>
      <c r="F269" s="13" t="s">
        <v>1705</v>
      </c>
      <c r="G269" s="14">
        <v>1</v>
      </c>
      <c r="H269" s="14" t="s">
        <v>1370</v>
      </c>
      <c r="I269" s="13">
        <v>11</v>
      </c>
      <c r="J269" s="15" t="s">
        <v>1410</v>
      </c>
      <c r="K269" s="15" t="s">
        <v>2706</v>
      </c>
      <c r="L269" s="16"/>
      <c r="M269" s="16">
        <v>2714.777</v>
      </c>
      <c r="N269" s="16">
        <v>5108.9859999999999</v>
      </c>
      <c r="O269" s="16">
        <v>15789.4085</v>
      </c>
      <c r="P269" s="16"/>
      <c r="Q269" s="16">
        <f>SUM(Tabela1[[#This Row],[201805]:[201807]])</f>
        <v>7823.7629999999999</v>
      </c>
      <c r="R269" s="16">
        <f>SUM(Tabela1[[#This Row],[201905]:[201906]])</f>
        <v>15789.4085</v>
      </c>
      <c r="S269" s="16">
        <v>100000</v>
      </c>
      <c r="T269" s="16">
        <f>Tabela1[[#This Row],[Total 2019]]-Tabela1[[#This Row],[Total 2018]]</f>
        <v>7965.6454999999996</v>
      </c>
      <c r="U269" s="40">
        <f>Tabela1[[#This Row],[Total 2019]]/Tabela1[[#This Row],[Meta]]</f>
        <v>0.15789408499999999</v>
      </c>
      <c r="V269" s="17">
        <f>IFERROR(Tabela1[[#This Row],[Total 2019]]/Tabela1[[#This Row],[Total 2018]]-1,0)</f>
        <v>1.0181348156890744</v>
      </c>
      <c r="W26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269" s="48"/>
      <c r="Y269" s="19"/>
      <c r="Z269" s="68"/>
    </row>
    <row r="270" spans="3:26" x14ac:dyDescent="0.35">
      <c r="C270" s="11" t="s">
        <v>2704</v>
      </c>
      <c r="D270" s="12" t="s">
        <v>2700</v>
      </c>
      <c r="E270" s="12">
        <v>259</v>
      </c>
      <c r="F270" s="13" t="s">
        <v>1706</v>
      </c>
      <c r="G270" s="14">
        <v>2</v>
      </c>
      <c r="H270" s="14" t="s">
        <v>1372</v>
      </c>
      <c r="I270" s="13">
        <v>20</v>
      </c>
      <c r="J270" s="15" t="s">
        <v>1419</v>
      </c>
      <c r="K270" s="15" t="s">
        <v>2708</v>
      </c>
      <c r="L270" s="16">
        <v>1865.819</v>
      </c>
      <c r="M270" s="16">
        <v>5168.0569999999998</v>
      </c>
      <c r="N270" s="16"/>
      <c r="O270" s="16">
        <v>7651.6419999999998</v>
      </c>
      <c r="P270" s="16"/>
      <c r="Q270" s="16">
        <f>SUM(Tabela1[[#This Row],[201805]:[201807]])</f>
        <v>7033.8760000000002</v>
      </c>
      <c r="R270" s="16">
        <f>SUM(Tabela1[[#This Row],[201905]:[201906]])</f>
        <v>7651.6419999999998</v>
      </c>
      <c r="S270" s="16">
        <v>100000</v>
      </c>
      <c r="T270" s="16">
        <f>Tabela1[[#This Row],[Total 2019]]-Tabela1[[#This Row],[Total 2018]]</f>
        <v>617.76599999999962</v>
      </c>
      <c r="U270" s="40">
        <f>Tabela1[[#This Row],[Total 2019]]/Tabela1[[#This Row],[Meta]]</f>
        <v>7.6516420000000002E-2</v>
      </c>
      <c r="V270" s="17">
        <f>IFERROR(Tabela1[[#This Row],[Total 2019]]/Tabela1[[#This Row],[Total 2018]]-1,0)</f>
        <v>8.7827252001599021E-2</v>
      </c>
      <c r="W27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270" s="48"/>
      <c r="Y270" s="19"/>
      <c r="Z270" s="68"/>
    </row>
    <row r="271" spans="3:26" x14ac:dyDescent="0.35">
      <c r="C271" s="11" t="s">
        <v>2702</v>
      </c>
      <c r="D271" s="12" t="s">
        <v>2699</v>
      </c>
      <c r="E271" s="12">
        <v>260</v>
      </c>
      <c r="F271" s="13" t="s">
        <v>1707</v>
      </c>
      <c r="G271" s="14">
        <v>2</v>
      </c>
      <c r="H271" s="14" t="s">
        <v>1371</v>
      </c>
      <c r="I271" s="13">
        <v>4</v>
      </c>
      <c r="J271" s="15" t="s">
        <v>1403</v>
      </c>
      <c r="K271" s="15" t="s">
        <v>2707</v>
      </c>
      <c r="L271" s="16">
        <v>1591.915</v>
      </c>
      <c r="M271" s="16">
        <v>804.91599999999994</v>
      </c>
      <c r="N271" s="16"/>
      <c r="O271" s="16"/>
      <c r="P271" s="16"/>
      <c r="Q271" s="16">
        <f>SUM(Tabela1[[#This Row],[201805]:[201807]])</f>
        <v>2396.8310000000001</v>
      </c>
      <c r="R271" s="16">
        <f>SUM(Tabela1[[#This Row],[201905]:[201906]])</f>
        <v>0</v>
      </c>
      <c r="S271" s="16">
        <v>100000</v>
      </c>
      <c r="T271" s="16">
        <f>Tabela1[[#This Row],[Total 2019]]-Tabela1[[#This Row],[Total 2018]]</f>
        <v>-2396.8310000000001</v>
      </c>
      <c r="U271" s="40">
        <f>Tabela1[[#This Row],[Total 2019]]/Tabela1[[#This Row],[Meta]]</f>
        <v>0</v>
      </c>
      <c r="V271" s="17">
        <f>IFERROR(Tabela1[[#This Row],[Total 2019]]/Tabela1[[#This Row],[Total 2018]]-1,0)</f>
        <v>-1</v>
      </c>
      <c r="W27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71" s="48"/>
      <c r="Y271" s="19"/>
      <c r="Z271" s="68"/>
    </row>
    <row r="272" spans="3:26" x14ac:dyDescent="0.35">
      <c r="C272" s="11" t="s">
        <v>2702</v>
      </c>
      <c r="D272" s="12" t="s">
        <v>2699</v>
      </c>
      <c r="E272" s="12">
        <v>261</v>
      </c>
      <c r="F272" s="13" t="s">
        <v>1708</v>
      </c>
      <c r="G272" s="14">
        <v>1</v>
      </c>
      <c r="H272" s="14" t="s">
        <v>1370</v>
      </c>
      <c r="I272" s="13">
        <v>11</v>
      </c>
      <c r="J272" s="15" t="s">
        <v>1410</v>
      </c>
      <c r="K272" s="15" t="s">
        <v>2706</v>
      </c>
      <c r="L272" s="16"/>
      <c r="M272" s="16">
        <v>1782.827</v>
      </c>
      <c r="N272" s="16"/>
      <c r="O272" s="16"/>
      <c r="P272" s="16"/>
      <c r="Q272" s="16">
        <f>SUM(Tabela1[[#This Row],[201805]:[201807]])</f>
        <v>1782.827</v>
      </c>
      <c r="R272" s="16">
        <f>SUM(Tabela1[[#This Row],[201905]:[201906]])</f>
        <v>0</v>
      </c>
      <c r="S272" s="16">
        <v>100000</v>
      </c>
      <c r="T272" s="16">
        <f>Tabela1[[#This Row],[Total 2019]]-Tabela1[[#This Row],[Total 2018]]</f>
        <v>-1782.827</v>
      </c>
      <c r="U272" s="40">
        <f>Tabela1[[#This Row],[Total 2019]]/Tabela1[[#This Row],[Meta]]</f>
        <v>0</v>
      </c>
      <c r="V272" s="17">
        <f>IFERROR(Tabela1[[#This Row],[Total 2019]]/Tabela1[[#This Row],[Total 2018]]-1,0)</f>
        <v>-1</v>
      </c>
      <c r="W27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72" s="48"/>
      <c r="Y272" s="19"/>
      <c r="Z272" s="68"/>
    </row>
    <row r="273" spans="3:26" x14ac:dyDescent="0.35">
      <c r="C273" s="11" t="s">
        <v>2703</v>
      </c>
      <c r="D273" s="12" t="s">
        <v>2698</v>
      </c>
      <c r="E273" s="12">
        <v>262</v>
      </c>
      <c r="F273" s="13" t="s">
        <v>1709</v>
      </c>
      <c r="G273" s="14">
        <v>1</v>
      </c>
      <c r="H273" s="14" t="s">
        <v>1370</v>
      </c>
      <c r="I273" s="13">
        <v>30</v>
      </c>
      <c r="J273" s="15" t="s">
        <v>1429</v>
      </c>
      <c r="K273" s="15" t="s">
        <v>2706</v>
      </c>
      <c r="L273" s="16"/>
      <c r="M273" s="16">
        <v>5881.241</v>
      </c>
      <c r="N273" s="16">
        <v>3818.6769999999997</v>
      </c>
      <c r="O273" s="16"/>
      <c r="P273" s="16"/>
      <c r="Q273" s="16">
        <f>SUM(Tabela1[[#This Row],[201805]:[201807]])</f>
        <v>9699.9179999999997</v>
      </c>
      <c r="R273" s="16">
        <f>SUM(Tabela1[[#This Row],[201905]:[201906]])</f>
        <v>0</v>
      </c>
      <c r="S273" s="16">
        <v>100000</v>
      </c>
      <c r="T273" s="16">
        <f>Tabela1[[#This Row],[Total 2019]]-Tabela1[[#This Row],[Total 2018]]</f>
        <v>-9699.9179999999997</v>
      </c>
      <c r="U273" s="40">
        <f>Tabela1[[#This Row],[Total 2019]]/Tabela1[[#This Row],[Meta]]</f>
        <v>0</v>
      </c>
      <c r="V273" s="17">
        <f>IFERROR(Tabela1[[#This Row],[Total 2019]]/Tabela1[[#This Row],[Total 2018]]-1,0)</f>
        <v>-1</v>
      </c>
      <c r="W27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73" s="48"/>
      <c r="Y273" s="19"/>
      <c r="Z273" s="68"/>
    </row>
    <row r="274" spans="3:26" x14ac:dyDescent="0.35">
      <c r="C274" s="11" t="s">
        <v>2703</v>
      </c>
      <c r="D274" s="12" t="s">
        <v>2698</v>
      </c>
      <c r="E274" s="12">
        <v>263</v>
      </c>
      <c r="F274" s="13" t="s">
        <v>1710</v>
      </c>
      <c r="G274" s="14">
        <v>3</v>
      </c>
      <c r="H274" s="14" t="s">
        <v>1372</v>
      </c>
      <c r="I274" s="13">
        <v>27</v>
      </c>
      <c r="J274" s="15" t="s">
        <v>1426</v>
      </c>
      <c r="K274" s="15" t="s">
        <v>2708</v>
      </c>
      <c r="L274" s="16">
        <v>482.39099999999996</v>
      </c>
      <c r="M274" s="16">
        <v>3979.8539999999998</v>
      </c>
      <c r="N274" s="16"/>
      <c r="O274" s="16"/>
      <c r="P274" s="16"/>
      <c r="Q274" s="16">
        <f>SUM(Tabela1[[#This Row],[201805]:[201807]])</f>
        <v>4462.2449999999999</v>
      </c>
      <c r="R274" s="16">
        <f>SUM(Tabela1[[#This Row],[201905]:[201906]])</f>
        <v>0</v>
      </c>
      <c r="S274" s="16">
        <v>100000</v>
      </c>
      <c r="T274" s="16">
        <f>Tabela1[[#This Row],[Total 2019]]-Tabela1[[#This Row],[Total 2018]]</f>
        <v>-4462.2449999999999</v>
      </c>
      <c r="U274" s="40">
        <f>Tabela1[[#This Row],[Total 2019]]/Tabela1[[#This Row],[Meta]]</f>
        <v>0</v>
      </c>
      <c r="V274" s="17">
        <f>IFERROR(Tabela1[[#This Row],[Total 2019]]/Tabela1[[#This Row],[Total 2018]]-1,0)</f>
        <v>-1</v>
      </c>
      <c r="W27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74" s="48"/>
      <c r="Y274" s="19"/>
      <c r="Z274" s="68"/>
    </row>
    <row r="275" spans="3:26" x14ac:dyDescent="0.35">
      <c r="C275" s="11" t="s">
        <v>2704</v>
      </c>
      <c r="D275" s="12" t="s">
        <v>2699</v>
      </c>
      <c r="E275" s="12">
        <v>264</v>
      </c>
      <c r="F275" s="13" t="s">
        <v>1711</v>
      </c>
      <c r="G275" s="14">
        <v>3</v>
      </c>
      <c r="H275" s="14" t="s">
        <v>1371</v>
      </c>
      <c r="I275" s="13">
        <v>9</v>
      </c>
      <c r="J275" s="15" t="s">
        <v>1408</v>
      </c>
      <c r="K275" s="15" t="s">
        <v>2707</v>
      </c>
      <c r="L275" s="16"/>
      <c r="M275" s="16">
        <v>16783.327000000001</v>
      </c>
      <c r="N275" s="16"/>
      <c r="O275" s="16"/>
      <c r="P275" s="16"/>
      <c r="Q275" s="16">
        <f>SUM(Tabela1[[#This Row],[201805]:[201807]])</f>
        <v>16783.327000000001</v>
      </c>
      <c r="R275" s="16">
        <f>SUM(Tabela1[[#This Row],[201905]:[201906]])</f>
        <v>0</v>
      </c>
      <c r="S275" s="16">
        <v>100000</v>
      </c>
      <c r="T275" s="16">
        <f>Tabela1[[#This Row],[Total 2019]]-Tabela1[[#This Row],[Total 2018]]</f>
        <v>-16783.327000000001</v>
      </c>
      <c r="U275" s="40">
        <f>Tabela1[[#This Row],[Total 2019]]/Tabela1[[#This Row],[Meta]]</f>
        <v>0</v>
      </c>
      <c r="V275" s="17">
        <f>IFERROR(Tabela1[[#This Row],[Total 2019]]/Tabela1[[#This Row],[Total 2018]]-1,0)</f>
        <v>-1</v>
      </c>
      <c r="W27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75" s="48"/>
      <c r="Y275" s="19"/>
      <c r="Z275" s="68"/>
    </row>
    <row r="276" spans="3:26" x14ac:dyDescent="0.35">
      <c r="C276" s="11" t="s">
        <v>2703</v>
      </c>
      <c r="D276" s="12" t="s">
        <v>2700</v>
      </c>
      <c r="E276" s="12">
        <v>265</v>
      </c>
      <c r="F276" s="13" t="s">
        <v>1712</v>
      </c>
      <c r="G276" s="14">
        <v>2</v>
      </c>
      <c r="H276" s="14" t="s">
        <v>1370</v>
      </c>
      <c r="I276" s="13">
        <v>15</v>
      </c>
      <c r="J276" s="15" t="s">
        <v>1414</v>
      </c>
      <c r="K276" s="15" t="s">
        <v>2706</v>
      </c>
      <c r="L276" s="16">
        <v>6732.6689999999999</v>
      </c>
      <c r="M276" s="16">
        <v>2523.0764999999997</v>
      </c>
      <c r="N276" s="16">
        <v>1256.6979999999999</v>
      </c>
      <c r="O276" s="16">
        <v>6176.6625000000004</v>
      </c>
      <c r="P276" s="16">
        <v>5227.2134999999998</v>
      </c>
      <c r="Q276" s="16">
        <f>SUM(Tabela1[[#This Row],[201805]:[201807]])</f>
        <v>10512.443499999999</v>
      </c>
      <c r="R276" s="16">
        <f>SUM(Tabela1[[#This Row],[201905]:[201906]])</f>
        <v>11403.876</v>
      </c>
      <c r="S276" s="16">
        <v>100000</v>
      </c>
      <c r="T276" s="16">
        <f>Tabela1[[#This Row],[Total 2019]]-Tabela1[[#This Row],[Total 2018]]</f>
        <v>891.4325000000008</v>
      </c>
      <c r="U276" s="40">
        <f>Tabela1[[#This Row],[Total 2019]]/Tabela1[[#This Row],[Meta]]</f>
        <v>0.11403876</v>
      </c>
      <c r="V276" s="17">
        <f>IFERROR(Tabela1[[#This Row],[Total 2019]]/Tabela1[[#This Row],[Total 2018]]-1,0)</f>
        <v>8.4797839817165377E-2</v>
      </c>
      <c r="W27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276" s="48"/>
      <c r="Y276" s="19"/>
      <c r="Z276" s="68"/>
    </row>
    <row r="277" spans="3:26" x14ac:dyDescent="0.35">
      <c r="C277" s="11" t="s">
        <v>2702</v>
      </c>
      <c r="D277" s="12" t="s">
        <v>2700</v>
      </c>
      <c r="E277" s="12">
        <v>266</v>
      </c>
      <c r="F277" s="13" t="s">
        <v>1713</v>
      </c>
      <c r="G277" s="14">
        <v>1</v>
      </c>
      <c r="H277" s="14" t="s">
        <v>1370</v>
      </c>
      <c r="I277" s="13">
        <v>15</v>
      </c>
      <c r="J277" s="15" t="s">
        <v>1414</v>
      </c>
      <c r="K277" s="15" t="s">
        <v>2706</v>
      </c>
      <c r="L277" s="16">
        <v>8704.9735000000001</v>
      </c>
      <c r="M277" s="16">
        <v>6533.2449999999999</v>
      </c>
      <c r="N277" s="16">
        <v>1466.5814999999998</v>
      </c>
      <c r="O277" s="16">
        <v>12801.050499999998</v>
      </c>
      <c r="P277" s="16">
        <v>7433.3890000000001</v>
      </c>
      <c r="Q277" s="16">
        <f>SUM(Tabela1[[#This Row],[201805]:[201807]])</f>
        <v>16704.8</v>
      </c>
      <c r="R277" s="16">
        <f>SUM(Tabela1[[#This Row],[201905]:[201906]])</f>
        <v>20234.439499999997</v>
      </c>
      <c r="S277" s="16">
        <v>100000</v>
      </c>
      <c r="T277" s="16">
        <f>Tabela1[[#This Row],[Total 2019]]-Tabela1[[#This Row],[Total 2018]]</f>
        <v>3529.6394999999975</v>
      </c>
      <c r="U277" s="40">
        <f>Tabela1[[#This Row],[Total 2019]]/Tabela1[[#This Row],[Meta]]</f>
        <v>0.20234439499999995</v>
      </c>
      <c r="V277" s="17">
        <f>IFERROR(Tabela1[[#This Row],[Total 2019]]/Tabela1[[#This Row],[Total 2018]]-1,0)</f>
        <v>0.21129492720655119</v>
      </c>
      <c r="W27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277" s="48"/>
      <c r="Y277" s="19"/>
      <c r="Z277" s="68"/>
    </row>
    <row r="278" spans="3:26" x14ac:dyDescent="0.35">
      <c r="C278" s="11" t="s">
        <v>2703</v>
      </c>
      <c r="D278" s="12" t="s">
        <v>2698</v>
      </c>
      <c r="E278" s="12">
        <v>267</v>
      </c>
      <c r="F278" s="13" t="s">
        <v>1714</v>
      </c>
      <c r="G278" s="14">
        <v>3</v>
      </c>
      <c r="H278" s="14" t="s">
        <v>1371</v>
      </c>
      <c r="I278" s="13">
        <v>12</v>
      </c>
      <c r="J278" s="15" t="s">
        <v>1411</v>
      </c>
      <c r="K278" s="15" t="s">
        <v>2707</v>
      </c>
      <c r="L278" s="16"/>
      <c r="M278" s="16"/>
      <c r="N278" s="16">
        <v>5879.9110000000001</v>
      </c>
      <c r="O278" s="16"/>
      <c r="P278" s="16"/>
      <c r="Q278" s="16">
        <f>SUM(Tabela1[[#This Row],[201805]:[201807]])</f>
        <v>5879.9110000000001</v>
      </c>
      <c r="R278" s="16">
        <f>SUM(Tabela1[[#This Row],[201905]:[201906]])</f>
        <v>0</v>
      </c>
      <c r="S278" s="16">
        <v>100000</v>
      </c>
      <c r="T278" s="16">
        <f>Tabela1[[#This Row],[Total 2019]]-Tabela1[[#This Row],[Total 2018]]</f>
        <v>-5879.9110000000001</v>
      </c>
      <c r="U278" s="40">
        <f>Tabela1[[#This Row],[Total 2019]]/Tabela1[[#This Row],[Meta]]</f>
        <v>0</v>
      </c>
      <c r="V278" s="17">
        <f>IFERROR(Tabela1[[#This Row],[Total 2019]]/Tabela1[[#This Row],[Total 2018]]-1,0)</f>
        <v>-1</v>
      </c>
      <c r="W27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78" s="48"/>
      <c r="Y278" s="19"/>
      <c r="Z278" s="68"/>
    </row>
    <row r="279" spans="3:26" x14ac:dyDescent="0.35">
      <c r="C279" s="11" t="s">
        <v>2704</v>
      </c>
      <c r="D279" s="12" t="s">
        <v>2699</v>
      </c>
      <c r="E279" s="12">
        <v>268</v>
      </c>
      <c r="F279" s="13" t="s">
        <v>1715</v>
      </c>
      <c r="G279" s="14">
        <v>2</v>
      </c>
      <c r="H279" s="14" t="s">
        <v>1370</v>
      </c>
      <c r="I279" s="13">
        <v>8</v>
      </c>
      <c r="J279" s="15" t="s">
        <v>1407</v>
      </c>
      <c r="K279" s="15" t="s">
        <v>2706</v>
      </c>
      <c r="L279" s="16"/>
      <c r="M279" s="16"/>
      <c r="N279" s="16"/>
      <c r="O279" s="16">
        <v>8369.3670000000002</v>
      </c>
      <c r="P279" s="16">
        <v>7068.1234999999997</v>
      </c>
      <c r="Q279" s="16">
        <f>SUM(Tabela1[[#This Row],[201805]:[201807]])</f>
        <v>0</v>
      </c>
      <c r="R279" s="16">
        <f>SUM(Tabela1[[#This Row],[201905]:[201906]])</f>
        <v>15437.4905</v>
      </c>
      <c r="S279" s="16">
        <v>100000</v>
      </c>
      <c r="T279" s="16">
        <f>Tabela1[[#This Row],[Total 2019]]-Tabela1[[#This Row],[Total 2018]]</f>
        <v>15437.4905</v>
      </c>
      <c r="U279" s="40">
        <f>Tabela1[[#This Row],[Total 2019]]/Tabela1[[#This Row],[Meta]]</f>
        <v>0.15437490500000001</v>
      </c>
      <c r="V279" s="17">
        <f>IFERROR(Tabela1[[#This Row],[Total 2019]]/Tabela1[[#This Row],[Total 2018]]-1,0)</f>
        <v>0</v>
      </c>
      <c r="W27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279" s="48"/>
      <c r="Y279" s="19"/>
      <c r="Z279" s="68"/>
    </row>
    <row r="280" spans="3:26" x14ac:dyDescent="0.35">
      <c r="C280" s="11" t="s">
        <v>2703</v>
      </c>
      <c r="D280" s="12" t="s">
        <v>2698</v>
      </c>
      <c r="E280" s="12">
        <v>269</v>
      </c>
      <c r="F280" s="13" t="s">
        <v>1716</v>
      </c>
      <c r="G280" s="14">
        <v>1</v>
      </c>
      <c r="H280" s="14" t="s">
        <v>1372</v>
      </c>
      <c r="I280" s="13">
        <v>16</v>
      </c>
      <c r="J280" s="15" t="s">
        <v>1415</v>
      </c>
      <c r="K280" s="15" t="s">
        <v>2708</v>
      </c>
      <c r="L280" s="16">
        <v>3857.8454999999999</v>
      </c>
      <c r="M280" s="16">
        <v>9714.7284999999993</v>
      </c>
      <c r="N280" s="16">
        <v>2848.4894999999997</v>
      </c>
      <c r="O280" s="16">
        <v>11932.607999999998</v>
      </c>
      <c r="P280" s="16">
        <v>7152.3600000000006</v>
      </c>
      <c r="Q280" s="16">
        <f>SUM(Tabela1[[#This Row],[201805]:[201807]])</f>
        <v>16421.063499999997</v>
      </c>
      <c r="R280" s="16">
        <f>SUM(Tabela1[[#This Row],[201905]:[201906]])</f>
        <v>19084.968000000001</v>
      </c>
      <c r="S280" s="16">
        <v>100000</v>
      </c>
      <c r="T280" s="16">
        <f>Tabela1[[#This Row],[Total 2019]]-Tabela1[[#This Row],[Total 2018]]</f>
        <v>2663.9045000000042</v>
      </c>
      <c r="U280" s="40">
        <f>Tabela1[[#This Row],[Total 2019]]/Tabela1[[#This Row],[Meta]]</f>
        <v>0.19084967999999999</v>
      </c>
      <c r="V280" s="17">
        <f>IFERROR(Tabela1[[#This Row],[Total 2019]]/Tabela1[[#This Row],[Total 2018]]-1,0)</f>
        <v>0.16222484615567101</v>
      </c>
      <c r="W28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280" s="48"/>
      <c r="Y280" s="19"/>
      <c r="Z280" s="68"/>
    </row>
    <row r="281" spans="3:26" x14ac:dyDescent="0.35">
      <c r="C281" s="11" t="s">
        <v>2702</v>
      </c>
      <c r="D281" s="12" t="s">
        <v>2698</v>
      </c>
      <c r="E281" s="12">
        <v>270</v>
      </c>
      <c r="F281" s="13" t="s">
        <v>1717</v>
      </c>
      <c r="G281" s="14">
        <v>2</v>
      </c>
      <c r="H281" s="14" t="s">
        <v>1370</v>
      </c>
      <c r="I281" s="13">
        <v>3</v>
      </c>
      <c r="J281" s="15" t="s">
        <v>1402</v>
      </c>
      <c r="K281" s="15" t="s">
        <v>2706</v>
      </c>
      <c r="L281" s="16">
        <v>7527.8569999999991</v>
      </c>
      <c r="M281" s="16">
        <v>5780.7879999999996</v>
      </c>
      <c r="N281" s="16"/>
      <c r="O281" s="16"/>
      <c r="P281" s="16"/>
      <c r="Q281" s="16">
        <f>SUM(Tabela1[[#This Row],[201805]:[201807]])</f>
        <v>13308.644999999999</v>
      </c>
      <c r="R281" s="16">
        <f>SUM(Tabela1[[#This Row],[201905]:[201906]])</f>
        <v>0</v>
      </c>
      <c r="S281" s="16">
        <v>100000</v>
      </c>
      <c r="T281" s="16">
        <f>Tabela1[[#This Row],[Total 2019]]-Tabela1[[#This Row],[Total 2018]]</f>
        <v>-13308.644999999999</v>
      </c>
      <c r="U281" s="40">
        <f>Tabela1[[#This Row],[Total 2019]]/Tabela1[[#This Row],[Meta]]</f>
        <v>0</v>
      </c>
      <c r="V281" s="17">
        <f>IFERROR(Tabela1[[#This Row],[Total 2019]]/Tabela1[[#This Row],[Total 2018]]-1,0)</f>
        <v>-1</v>
      </c>
      <c r="W28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81" s="48"/>
      <c r="Y281" s="19"/>
      <c r="Z281" s="68"/>
    </row>
    <row r="282" spans="3:26" x14ac:dyDescent="0.35">
      <c r="C282" s="11" t="s">
        <v>2703</v>
      </c>
      <c r="D282" s="12" t="s">
        <v>2700</v>
      </c>
      <c r="E282" s="12">
        <v>271</v>
      </c>
      <c r="F282" s="13" t="s">
        <v>1718</v>
      </c>
      <c r="G282" s="14">
        <v>2</v>
      </c>
      <c r="H282" s="14" t="s">
        <v>1370</v>
      </c>
      <c r="I282" s="13">
        <v>8</v>
      </c>
      <c r="J282" s="15" t="s">
        <v>1407</v>
      </c>
      <c r="K282" s="15" t="s">
        <v>2706</v>
      </c>
      <c r="L282" s="16"/>
      <c r="M282" s="16"/>
      <c r="N282" s="16"/>
      <c r="O282" s="16">
        <v>18057.543000000001</v>
      </c>
      <c r="P282" s="16">
        <v>12140.5345</v>
      </c>
      <c r="Q282" s="16">
        <f>SUM(Tabela1[[#This Row],[201805]:[201807]])</f>
        <v>0</v>
      </c>
      <c r="R282" s="16">
        <f>SUM(Tabela1[[#This Row],[201905]:[201906]])</f>
        <v>30198.077499999999</v>
      </c>
      <c r="S282" s="16">
        <v>100000</v>
      </c>
      <c r="T282" s="16">
        <f>Tabela1[[#This Row],[Total 2019]]-Tabela1[[#This Row],[Total 2018]]</f>
        <v>30198.077499999999</v>
      </c>
      <c r="U282" s="40">
        <f>Tabela1[[#This Row],[Total 2019]]/Tabela1[[#This Row],[Meta]]</f>
        <v>0.30198077499999998</v>
      </c>
      <c r="V282" s="17">
        <f>IFERROR(Tabela1[[#This Row],[Total 2019]]/Tabela1[[#This Row],[Total 2018]]-1,0)</f>
        <v>0</v>
      </c>
      <c r="W28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282" s="48"/>
      <c r="Y282" s="19"/>
      <c r="Z282" s="68"/>
    </row>
    <row r="283" spans="3:26" x14ac:dyDescent="0.35">
      <c r="C283" s="11" t="s">
        <v>2702</v>
      </c>
      <c r="D283" s="12" t="s">
        <v>2700</v>
      </c>
      <c r="E283" s="12">
        <v>272</v>
      </c>
      <c r="F283" s="13" t="s">
        <v>1719</v>
      </c>
      <c r="G283" s="14">
        <v>3</v>
      </c>
      <c r="H283" s="14" t="s">
        <v>1370</v>
      </c>
      <c r="I283" s="13">
        <v>3</v>
      </c>
      <c r="J283" s="15" t="s">
        <v>1402</v>
      </c>
      <c r="K283" s="15" t="s">
        <v>2706</v>
      </c>
      <c r="L283" s="16"/>
      <c r="M283" s="16">
        <v>6380.58</v>
      </c>
      <c r="N283" s="16"/>
      <c r="O283" s="16"/>
      <c r="P283" s="16"/>
      <c r="Q283" s="16">
        <f>SUM(Tabela1[[#This Row],[201805]:[201807]])</f>
        <v>6380.58</v>
      </c>
      <c r="R283" s="16">
        <f>SUM(Tabela1[[#This Row],[201905]:[201906]])</f>
        <v>0</v>
      </c>
      <c r="S283" s="16">
        <v>100000</v>
      </c>
      <c r="T283" s="16">
        <f>Tabela1[[#This Row],[Total 2019]]-Tabela1[[#This Row],[Total 2018]]</f>
        <v>-6380.58</v>
      </c>
      <c r="U283" s="40">
        <f>Tabela1[[#This Row],[Total 2019]]/Tabela1[[#This Row],[Meta]]</f>
        <v>0</v>
      </c>
      <c r="V283" s="17">
        <f>IFERROR(Tabela1[[#This Row],[Total 2019]]/Tabela1[[#This Row],[Total 2018]]-1,0)</f>
        <v>-1</v>
      </c>
      <c r="W28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83" s="48"/>
      <c r="Y283" s="19"/>
      <c r="Z283" s="68"/>
    </row>
    <row r="284" spans="3:26" x14ac:dyDescent="0.35">
      <c r="C284" s="11" t="s">
        <v>2703</v>
      </c>
      <c r="D284" s="12" t="s">
        <v>2699</v>
      </c>
      <c r="E284" s="12">
        <v>273</v>
      </c>
      <c r="F284" s="13" t="s">
        <v>1720</v>
      </c>
      <c r="G284" s="14">
        <v>3</v>
      </c>
      <c r="H284" s="14" t="s">
        <v>1370</v>
      </c>
      <c r="I284" s="13">
        <v>3</v>
      </c>
      <c r="J284" s="15" t="s">
        <v>1402</v>
      </c>
      <c r="K284" s="15" t="s">
        <v>2706</v>
      </c>
      <c r="L284" s="16"/>
      <c r="M284" s="16">
        <v>6380.58</v>
      </c>
      <c r="N284" s="16"/>
      <c r="O284" s="16"/>
      <c r="P284" s="16"/>
      <c r="Q284" s="16">
        <f>SUM(Tabela1[[#This Row],[201805]:[201807]])</f>
        <v>6380.58</v>
      </c>
      <c r="R284" s="16">
        <f>SUM(Tabela1[[#This Row],[201905]:[201906]])</f>
        <v>0</v>
      </c>
      <c r="S284" s="16">
        <v>100000</v>
      </c>
      <c r="T284" s="16">
        <f>Tabela1[[#This Row],[Total 2019]]-Tabela1[[#This Row],[Total 2018]]</f>
        <v>-6380.58</v>
      </c>
      <c r="U284" s="40">
        <f>Tabela1[[#This Row],[Total 2019]]/Tabela1[[#This Row],[Meta]]</f>
        <v>0</v>
      </c>
      <c r="V284" s="17">
        <f>IFERROR(Tabela1[[#This Row],[Total 2019]]/Tabela1[[#This Row],[Total 2018]]-1,0)</f>
        <v>-1</v>
      </c>
      <c r="W28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84" s="48"/>
      <c r="Y284" s="19"/>
      <c r="Z284" s="68"/>
    </row>
    <row r="285" spans="3:26" x14ac:dyDescent="0.35">
      <c r="C285" s="11" t="s">
        <v>2704</v>
      </c>
      <c r="D285" s="12" t="s">
        <v>2698</v>
      </c>
      <c r="E285" s="12">
        <v>274</v>
      </c>
      <c r="F285" s="13" t="s">
        <v>1721</v>
      </c>
      <c r="G285" s="14">
        <v>1</v>
      </c>
      <c r="H285" s="14" t="s">
        <v>1370</v>
      </c>
      <c r="I285" s="13">
        <v>8</v>
      </c>
      <c r="J285" s="15" t="s">
        <v>1407</v>
      </c>
      <c r="K285" s="15" t="s">
        <v>2706</v>
      </c>
      <c r="L285" s="16">
        <v>3408.5524999999993</v>
      </c>
      <c r="M285" s="16">
        <v>1924.9754999999998</v>
      </c>
      <c r="N285" s="16"/>
      <c r="O285" s="16"/>
      <c r="P285" s="16"/>
      <c r="Q285" s="16">
        <f>SUM(Tabela1[[#This Row],[201805]:[201807]])</f>
        <v>5333.5279999999993</v>
      </c>
      <c r="R285" s="16">
        <f>SUM(Tabela1[[#This Row],[201905]:[201906]])</f>
        <v>0</v>
      </c>
      <c r="S285" s="16">
        <v>100000</v>
      </c>
      <c r="T285" s="16">
        <f>Tabela1[[#This Row],[Total 2019]]-Tabela1[[#This Row],[Total 2018]]</f>
        <v>-5333.5279999999993</v>
      </c>
      <c r="U285" s="40">
        <f>Tabela1[[#This Row],[Total 2019]]/Tabela1[[#This Row],[Meta]]</f>
        <v>0</v>
      </c>
      <c r="V285" s="17">
        <f>IFERROR(Tabela1[[#This Row],[Total 2019]]/Tabela1[[#This Row],[Total 2018]]-1,0)</f>
        <v>-1</v>
      </c>
      <c r="W28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85" s="48"/>
      <c r="Y285" s="19"/>
      <c r="Z285" s="68"/>
    </row>
    <row r="286" spans="3:26" x14ac:dyDescent="0.35">
      <c r="C286" s="11" t="s">
        <v>2703</v>
      </c>
      <c r="D286" s="12" t="s">
        <v>2698</v>
      </c>
      <c r="E286" s="12">
        <v>275</v>
      </c>
      <c r="F286" s="13" t="s">
        <v>1722</v>
      </c>
      <c r="G286" s="14">
        <v>2</v>
      </c>
      <c r="H286" s="14" t="s">
        <v>1371</v>
      </c>
      <c r="I286" s="13">
        <v>12</v>
      </c>
      <c r="J286" s="15" t="s">
        <v>1411</v>
      </c>
      <c r="K286" s="15" t="s">
        <v>2707</v>
      </c>
      <c r="L286" s="16">
        <v>26234.288000000004</v>
      </c>
      <c r="M286" s="16">
        <v>24585.724499999997</v>
      </c>
      <c r="N286" s="16">
        <v>9307.2070000000003</v>
      </c>
      <c r="O286" s="16">
        <v>29231.604499999998</v>
      </c>
      <c r="P286" s="16">
        <v>12021.166999999999</v>
      </c>
      <c r="Q286" s="16">
        <f>SUM(Tabela1[[#This Row],[201805]:[201807]])</f>
        <v>60127.219499999999</v>
      </c>
      <c r="R286" s="16">
        <f>SUM(Tabela1[[#This Row],[201905]:[201906]])</f>
        <v>41252.771499999995</v>
      </c>
      <c r="S286" s="16">
        <v>100000</v>
      </c>
      <c r="T286" s="16">
        <f>Tabela1[[#This Row],[Total 2019]]-Tabela1[[#This Row],[Total 2018]]</f>
        <v>-18874.448000000004</v>
      </c>
      <c r="U286" s="40">
        <f>Tabela1[[#This Row],[Total 2019]]/Tabela1[[#This Row],[Meta]]</f>
        <v>0.41252771499999996</v>
      </c>
      <c r="V286" s="17">
        <f>IFERROR(Tabela1[[#This Row],[Total 2019]]/Tabela1[[#This Row],[Total 2018]]-1,0)</f>
        <v>-0.3139085451972381</v>
      </c>
      <c r="W28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286" s="48"/>
      <c r="Y286" s="19"/>
      <c r="Z286" s="68"/>
    </row>
    <row r="287" spans="3:26" x14ac:dyDescent="0.35">
      <c r="C287" s="11" t="s">
        <v>2704</v>
      </c>
      <c r="D287" s="12" t="s">
        <v>2699</v>
      </c>
      <c r="E287" s="12">
        <v>276</v>
      </c>
      <c r="F287" s="13" t="s">
        <v>1723</v>
      </c>
      <c r="G287" s="14">
        <v>2</v>
      </c>
      <c r="H287" s="14" t="s">
        <v>1372</v>
      </c>
      <c r="I287" s="13">
        <v>25</v>
      </c>
      <c r="J287" s="15" t="s">
        <v>1424</v>
      </c>
      <c r="K287" s="15" t="s">
        <v>2708</v>
      </c>
      <c r="L287" s="16"/>
      <c r="M287" s="16">
        <v>2016.7455</v>
      </c>
      <c r="N287" s="16">
        <v>968.92399999999998</v>
      </c>
      <c r="O287" s="16"/>
      <c r="P287" s="16"/>
      <c r="Q287" s="16">
        <f>SUM(Tabela1[[#This Row],[201805]:[201807]])</f>
        <v>2985.6695</v>
      </c>
      <c r="R287" s="16">
        <f>SUM(Tabela1[[#This Row],[201905]:[201906]])</f>
        <v>0</v>
      </c>
      <c r="S287" s="16">
        <v>100000</v>
      </c>
      <c r="T287" s="16">
        <f>Tabela1[[#This Row],[Total 2019]]-Tabela1[[#This Row],[Total 2018]]</f>
        <v>-2985.6695</v>
      </c>
      <c r="U287" s="40">
        <f>Tabela1[[#This Row],[Total 2019]]/Tabela1[[#This Row],[Meta]]</f>
        <v>0</v>
      </c>
      <c r="V287" s="17">
        <f>IFERROR(Tabela1[[#This Row],[Total 2019]]/Tabela1[[#This Row],[Total 2018]]-1,0)</f>
        <v>-1</v>
      </c>
      <c r="W28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87" s="48"/>
      <c r="Y287" s="19"/>
      <c r="Z287" s="68"/>
    </row>
    <row r="288" spans="3:26" x14ac:dyDescent="0.35">
      <c r="C288" s="11" t="s">
        <v>2703</v>
      </c>
      <c r="D288" s="12" t="s">
        <v>2699</v>
      </c>
      <c r="E288" s="12">
        <v>277</v>
      </c>
      <c r="F288" s="13" t="s">
        <v>1724</v>
      </c>
      <c r="G288" s="14">
        <v>2</v>
      </c>
      <c r="H288" s="14" t="s">
        <v>1372</v>
      </c>
      <c r="I288" s="13">
        <v>23</v>
      </c>
      <c r="J288" s="15" t="s">
        <v>1422</v>
      </c>
      <c r="K288" s="15" t="s">
        <v>2708</v>
      </c>
      <c r="L288" s="16">
        <v>3817.0429999999997</v>
      </c>
      <c r="M288" s="16">
        <v>2083.5115000000001</v>
      </c>
      <c r="N288" s="16">
        <v>3014.1030000000001</v>
      </c>
      <c r="O288" s="16"/>
      <c r="P288" s="16"/>
      <c r="Q288" s="16">
        <f>SUM(Tabela1[[#This Row],[201805]:[201807]])</f>
        <v>8914.6575000000012</v>
      </c>
      <c r="R288" s="16">
        <f>SUM(Tabela1[[#This Row],[201905]:[201906]])</f>
        <v>0</v>
      </c>
      <c r="S288" s="16">
        <v>100000</v>
      </c>
      <c r="T288" s="16">
        <f>Tabela1[[#This Row],[Total 2019]]-Tabela1[[#This Row],[Total 2018]]</f>
        <v>-8914.6575000000012</v>
      </c>
      <c r="U288" s="40">
        <f>Tabela1[[#This Row],[Total 2019]]/Tabela1[[#This Row],[Meta]]</f>
        <v>0</v>
      </c>
      <c r="V288" s="17">
        <f>IFERROR(Tabela1[[#This Row],[Total 2019]]/Tabela1[[#This Row],[Total 2018]]-1,0)</f>
        <v>-1</v>
      </c>
      <c r="W28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88" s="48"/>
      <c r="Y288" s="19"/>
      <c r="Z288" s="68"/>
    </row>
    <row r="289" spans="3:26" x14ac:dyDescent="0.35">
      <c r="C289" s="11" t="s">
        <v>2702</v>
      </c>
      <c r="D289" s="12" t="s">
        <v>2700</v>
      </c>
      <c r="E289" s="12">
        <v>278</v>
      </c>
      <c r="F289" s="13" t="s">
        <v>1725</v>
      </c>
      <c r="G289" s="14">
        <v>3</v>
      </c>
      <c r="H289" s="14" t="s">
        <v>1371</v>
      </c>
      <c r="I289" s="13">
        <v>5</v>
      </c>
      <c r="J289" s="15" t="s">
        <v>1404</v>
      </c>
      <c r="K289" s="15" t="s">
        <v>2707</v>
      </c>
      <c r="L289" s="16">
        <v>7657.0854999999992</v>
      </c>
      <c r="M289" s="16">
        <v>1885.3509999999999</v>
      </c>
      <c r="N289" s="16"/>
      <c r="O289" s="16">
        <v>1287.1455000000001</v>
      </c>
      <c r="P289" s="16">
        <v>8019.9475000000002</v>
      </c>
      <c r="Q289" s="16">
        <f>SUM(Tabela1[[#This Row],[201805]:[201807]])</f>
        <v>9542.4364999999998</v>
      </c>
      <c r="R289" s="16">
        <f>SUM(Tabela1[[#This Row],[201905]:[201906]])</f>
        <v>9307.0930000000008</v>
      </c>
      <c r="S289" s="16">
        <v>100000</v>
      </c>
      <c r="T289" s="16">
        <f>Tabela1[[#This Row],[Total 2019]]-Tabela1[[#This Row],[Total 2018]]</f>
        <v>-235.34349999999904</v>
      </c>
      <c r="U289" s="40">
        <f>Tabela1[[#This Row],[Total 2019]]/Tabela1[[#This Row],[Meta]]</f>
        <v>9.307093000000001E-2</v>
      </c>
      <c r="V289" s="17">
        <f>IFERROR(Tabela1[[#This Row],[Total 2019]]/Tabela1[[#This Row],[Total 2018]]-1,0)</f>
        <v>-2.4662831133327345E-2</v>
      </c>
      <c r="W28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289" s="48"/>
      <c r="Y289" s="19"/>
      <c r="Z289" s="68"/>
    </row>
    <row r="290" spans="3:26" x14ac:dyDescent="0.35">
      <c r="C290" s="11" t="s">
        <v>2702</v>
      </c>
      <c r="D290" s="12" t="s">
        <v>2698</v>
      </c>
      <c r="E290" s="12">
        <v>279</v>
      </c>
      <c r="F290" s="13" t="s">
        <v>1726</v>
      </c>
      <c r="G290" s="14">
        <v>3</v>
      </c>
      <c r="H290" s="14" t="s">
        <v>1371</v>
      </c>
      <c r="I290" s="13">
        <v>5</v>
      </c>
      <c r="J290" s="15" t="s">
        <v>1404</v>
      </c>
      <c r="K290" s="15" t="s">
        <v>2707</v>
      </c>
      <c r="L290" s="16">
        <v>9310.9119999999984</v>
      </c>
      <c r="M290" s="16">
        <v>2245.4960000000001</v>
      </c>
      <c r="N290" s="16"/>
      <c r="O290" s="16">
        <v>1870.5974999999999</v>
      </c>
      <c r="P290" s="16">
        <v>11529.209500000001</v>
      </c>
      <c r="Q290" s="16">
        <f>SUM(Tabela1[[#This Row],[201805]:[201807]])</f>
        <v>11556.407999999999</v>
      </c>
      <c r="R290" s="16">
        <f>SUM(Tabela1[[#This Row],[201905]:[201906]])</f>
        <v>13399.807000000001</v>
      </c>
      <c r="S290" s="16">
        <v>100000</v>
      </c>
      <c r="T290" s="16">
        <f>Tabela1[[#This Row],[Total 2019]]-Tabela1[[#This Row],[Total 2018]]</f>
        <v>1843.3990000000013</v>
      </c>
      <c r="U290" s="40">
        <f>Tabela1[[#This Row],[Total 2019]]/Tabela1[[#This Row],[Meta]]</f>
        <v>0.13399807</v>
      </c>
      <c r="V290" s="17">
        <f>IFERROR(Tabela1[[#This Row],[Total 2019]]/Tabela1[[#This Row],[Total 2018]]-1,0)</f>
        <v>0.15951314629943858</v>
      </c>
      <c r="W29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290" s="48"/>
      <c r="Y290" s="19"/>
      <c r="Z290" s="68"/>
    </row>
    <row r="291" spans="3:26" x14ac:dyDescent="0.35">
      <c r="C291" s="11" t="s">
        <v>2704</v>
      </c>
      <c r="D291" s="12" t="s">
        <v>2700</v>
      </c>
      <c r="E291" s="12">
        <v>280</v>
      </c>
      <c r="F291" s="13" t="s">
        <v>1727</v>
      </c>
      <c r="G291" s="14">
        <v>2</v>
      </c>
      <c r="H291" s="14" t="s">
        <v>1370</v>
      </c>
      <c r="I291" s="13">
        <v>11</v>
      </c>
      <c r="J291" s="15" t="s">
        <v>1410</v>
      </c>
      <c r="K291" s="15" t="s">
        <v>2706</v>
      </c>
      <c r="L291" s="16"/>
      <c r="M291" s="16"/>
      <c r="N291" s="16"/>
      <c r="O291" s="16">
        <v>6456.076500000001</v>
      </c>
      <c r="P291" s="16"/>
      <c r="Q291" s="16">
        <f>SUM(Tabela1[[#This Row],[201805]:[201807]])</f>
        <v>0</v>
      </c>
      <c r="R291" s="16">
        <f>SUM(Tabela1[[#This Row],[201905]:[201906]])</f>
        <v>6456.076500000001</v>
      </c>
      <c r="S291" s="16">
        <v>100000</v>
      </c>
      <c r="T291" s="16">
        <f>Tabela1[[#This Row],[Total 2019]]-Tabela1[[#This Row],[Total 2018]]</f>
        <v>6456.076500000001</v>
      </c>
      <c r="U291" s="40">
        <f>Tabela1[[#This Row],[Total 2019]]/Tabela1[[#This Row],[Meta]]</f>
        <v>6.4560765000000006E-2</v>
      </c>
      <c r="V291" s="17">
        <f>IFERROR(Tabela1[[#This Row],[Total 2019]]/Tabela1[[#This Row],[Total 2018]]-1,0)</f>
        <v>0</v>
      </c>
      <c r="W29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291" s="48"/>
      <c r="Y291" s="19"/>
      <c r="Z291" s="68"/>
    </row>
    <row r="292" spans="3:26" x14ac:dyDescent="0.35">
      <c r="C292" s="11" t="s">
        <v>2703</v>
      </c>
      <c r="D292" s="12" t="s">
        <v>2700</v>
      </c>
      <c r="E292" s="12">
        <v>281</v>
      </c>
      <c r="F292" s="13" t="s">
        <v>1728</v>
      </c>
      <c r="G292" s="14">
        <v>3</v>
      </c>
      <c r="H292" s="14" t="s">
        <v>1372</v>
      </c>
      <c r="I292" s="13">
        <v>20</v>
      </c>
      <c r="J292" s="15" t="s">
        <v>1419</v>
      </c>
      <c r="K292" s="15" t="s">
        <v>2708</v>
      </c>
      <c r="L292" s="16">
        <v>1161.1185</v>
      </c>
      <c r="M292" s="16">
        <v>3452.3664999999996</v>
      </c>
      <c r="N292" s="16"/>
      <c r="O292" s="16"/>
      <c r="P292" s="16"/>
      <c r="Q292" s="16">
        <f>SUM(Tabela1[[#This Row],[201805]:[201807]])</f>
        <v>4613.4849999999997</v>
      </c>
      <c r="R292" s="16">
        <f>SUM(Tabela1[[#This Row],[201905]:[201906]])</f>
        <v>0</v>
      </c>
      <c r="S292" s="16">
        <v>100000</v>
      </c>
      <c r="T292" s="16">
        <f>Tabela1[[#This Row],[Total 2019]]-Tabela1[[#This Row],[Total 2018]]</f>
        <v>-4613.4849999999997</v>
      </c>
      <c r="U292" s="40">
        <f>Tabela1[[#This Row],[Total 2019]]/Tabela1[[#This Row],[Meta]]</f>
        <v>0</v>
      </c>
      <c r="V292" s="17">
        <f>IFERROR(Tabela1[[#This Row],[Total 2019]]/Tabela1[[#This Row],[Total 2018]]-1,0)</f>
        <v>-1</v>
      </c>
      <c r="W29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92" s="48"/>
      <c r="Y292" s="19"/>
      <c r="Z292" s="68"/>
    </row>
    <row r="293" spans="3:26" x14ac:dyDescent="0.35">
      <c r="C293" s="11" t="s">
        <v>2702</v>
      </c>
      <c r="D293" s="12" t="s">
        <v>2700</v>
      </c>
      <c r="E293" s="12">
        <v>282</v>
      </c>
      <c r="F293" s="13" t="s">
        <v>1729</v>
      </c>
      <c r="G293" s="14">
        <v>1</v>
      </c>
      <c r="H293" s="14" t="s">
        <v>1370</v>
      </c>
      <c r="I293" s="13">
        <v>3</v>
      </c>
      <c r="J293" s="15" t="s">
        <v>1402</v>
      </c>
      <c r="K293" s="15" t="s">
        <v>2706</v>
      </c>
      <c r="L293" s="16">
        <v>5376.0214999999998</v>
      </c>
      <c r="M293" s="16">
        <v>9621.5429999999997</v>
      </c>
      <c r="N293" s="16"/>
      <c r="O293" s="16"/>
      <c r="P293" s="16"/>
      <c r="Q293" s="16">
        <f>SUM(Tabela1[[#This Row],[201805]:[201807]])</f>
        <v>14997.5645</v>
      </c>
      <c r="R293" s="16">
        <f>SUM(Tabela1[[#This Row],[201905]:[201906]])</f>
        <v>0</v>
      </c>
      <c r="S293" s="16">
        <v>100000</v>
      </c>
      <c r="T293" s="16">
        <f>Tabela1[[#This Row],[Total 2019]]-Tabela1[[#This Row],[Total 2018]]</f>
        <v>-14997.5645</v>
      </c>
      <c r="U293" s="40">
        <f>Tabela1[[#This Row],[Total 2019]]/Tabela1[[#This Row],[Meta]]</f>
        <v>0</v>
      </c>
      <c r="V293" s="17">
        <f>IFERROR(Tabela1[[#This Row],[Total 2019]]/Tabela1[[#This Row],[Total 2018]]-1,0)</f>
        <v>-1</v>
      </c>
      <c r="W29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93" s="48"/>
      <c r="Y293" s="19"/>
      <c r="Z293" s="68"/>
    </row>
    <row r="294" spans="3:26" x14ac:dyDescent="0.35">
      <c r="C294" s="11" t="s">
        <v>2703</v>
      </c>
      <c r="D294" s="12" t="s">
        <v>2699</v>
      </c>
      <c r="E294" s="12">
        <v>283</v>
      </c>
      <c r="F294" s="13" t="s">
        <v>1730</v>
      </c>
      <c r="G294" s="14">
        <v>3</v>
      </c>
      <c r="H294" s="14" t="s">
        <v>1372</v>
      </c>
      <c r="I294" s="13">
        <v>22</v>
      </c>
      <c r="J294" s="15" t="s">
        <v>1421</v>
      </c>
      <c r="K294" s="15" t="s">
        <v>2708</v>
      </c>
      <c r="L294" s="16">
        <v>2764.2244999999998</v>
      </c>
      <c r="M294" s="16">
        <v>2293.4899999999998</v>
      </c>
      <c r="N294" s="16"/>
      <c r="O294" s="16"/>
      <c r="P294" s="16"/>
      <c r="Q294" s="16">
        <f>SUM(Tabela1[[#This Row],[201805]:[201807]])</f>
        <v>5057.7145</v>
      </c>
      <c r="R294" s="16">
        <f>SUM(Tabela1[[#This Row],[201905]:[201906]])</f>
        <v>0</v>
      </c>
      <c r="S294" s="16">
        <v>100000</v>
      </c>
      <c r="T294" s="16">
        <f>Tabela1[[#This Row],[Total 2019]]-Tabela1[[#This Row],[Total 2018]]</f>
        <v>-5057.7145</v>
      </c>
      <c r="U294" s="40">
        <f>Tabela1[[#This Row],[Total 2019]]/Tabela1[[#This Row],[Meta]]</f>
        <v>0</v>
      </c>
      <c r="V294" s="17">
        <f>IFERROR(Tabela1[[#This Row],[Total 2019]]/Tabela1[[#This Row],[Total 2018]]-1,0)</f>
        <v>-1</v>
      </c>
      <c r="W29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94" s="48"/>
      <c r="Y294" s="19"/>
      <c r="Z294" s="68"/>
    </row>
    <row r="295" spans="3:26" x14ac:dyDescent="0.35">
      <c r="C295" s="11" t="s">
        <v>2703</v>
      </c>
      <c r="D295" s="12" t="s">
        <v>2698</v>
      </c>
      <c r="E295" s="12">
        <v>284</v>
      </c>
      <c r="F295" s="13" t="s">
        <v>1731</v>
      </c>
      <c r="G295" s="14">
        <v>2</v>
      </c>
      <c r="H295" s="14" t="s">
        <v>1370</v>
      </c>
      <c r="I295" s="13">
        <v>30</v>
      </c>
      <c r="J295" s="15" t="s">
        <v>1429</v>
      </c>
      <c r="K295" s="15" t="s">
        <v>2706</v>
      </c>
      <c r="L295" s="16"/>
      <c r="M295" s="16">
        <v>5412.5679999999993</v>
      </c>
      <c r="N295" s="16">
        <v>5883.2550000000001</v>
      </c>
      <c r="O295" s="16"/>
      <c r="P295" s="16"/>
      <c r="Q295" s="16">
        <f>SUM(Tabela1[[#This Row],[201805]:[201807]])</f>
        <v>11295.823</v>
      </c>
      <c r="R295" s="16">
        <f>SUM(Tabela1[[#This Row],[201905]:[201906]])</f>
        <v>0</v>
      </c>
      <c r="S295" s="16">
        <v>100000</v>
      </c>
      <c r="T295" s="16">
        <f>Tabela1[[#This Row],[Total 2019]]-Tabela1[[#This Row],[Total 2018]]</f>
        <v>-11295.823</v>
      </c>
      <c r="U295" s="40">
        <f>Tabela1[[#This Row],[Total 2019]]/Tabela1[[#This Row],[Meta]]</f>
        <v>0</v>
      </c>
      <c r="V295" s="17">
        <f>IFERROR(Tabela1[[#This Row],[Total 2019]]/Tabela1[[#This Row],[Total 2018]]-1,0)</f>
        <v>-1</v>
      </c>
      <c r="W29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95" s="48"/>
      <c r="Y295" s="19"/>
      <c r="Z295" s="68"/>
    </row>
    <row r="296" spans="3:26" x14ac:dyDescent="0.35">
      <c r="C296" s="11" t="s">
        <v>2704</v>
      </c>
      <c r="D296" s="12" t="s">
        <v>2700</v>
      </c>
      <c r="E296" s="12">
        <v>285</v>
      </c>
      <c r="F296" s="13" t="s">
        <v>1732</v>
      </c>
      <c r="G296" s="14">
        <v>3</v>
      </c>
      <c r="H296" s="14" t="s">
        <v>1371</v>
      </c>
      <c r="I296" s="13">
        <v>12</v>
      </c>
      <c r="J296" s="15" t="s">
        <v>1411</v>
      </c>
      <c r="K296" s="15" t="s">
        <v>2707</v>
      </c>
      <c r="L296" s="16">
        <v>4006.8909999999996</v>
      </c>
      <c r="M296" s="16">
        <v>4213.2404999999999</v>
      </c>
      <c r="N296" s="16">
        <v>2697.9904999999999</v>
      </c>
      <c r="O296" s="16">
        <v>1523.7239999999999</v>
      </c>
      <c r="P296" s="16">
        <v>5187.2564999999995</v>
      </c>
      <c r="Q296" s="16">
        <f>SUM(Tabela1[[#This Row],[201805]:[201807]])</f>
        <v>10918.121999999999</v>
      </c>
      <c r="R296" s="16">
        <f>SUM(Tabela1[[#This Row],[201905]:[201906]])</f>
        <v>6710.9804999999997</v>
      </c>
      <c r="S296" s="16">
        <v>100000</v>
      </c>
      <c r="T296" s="16">
        <f>Tabela1[[#This Row],[Total 2019]]-Tabela1[[#This Row],[Total 2018]]</f>
        <v>-4207.1414999999997</v>
      </c>
      <c r="U296" s="40">
        <f>Tabela1[[#This Row],[Total 2019]]/Tabela1[[#This Row],[Meta]]</f>
        <v>6.7109804999999995E-2</v>
      </c>
      <c r="V296" s="17">
        <f>IFERROR(Tabela1[[#This Row],[Total 2019]]/Tabela1[[#This Row],[Total 2018]]-1,0)</f>
        <v>-0.38533563739258458</v>
      </c>
      <c r="W29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296" s="48"/>
      <c r="Y296" s="19"/>
      <c r="Z296" s="68"/>
    </row>
    <row r="297" spans="3:26" x14ac:dyDescent="0.35">
      <c r="C297" s="11" t="s">
        <v>2702</v>
      </c>
      <c r="D297" s="12" t="s">
        <v>2699</v>
      </c>
      <c r="E297" s="12">
        <v>286</v>
      </c>
      <c r="F297" s="13" t="s">
        <v>1733</v>
      </c>
      <c r="G297" s="14">
        <v>2</v>
      </c>
      <c r="H297" s="14" t="s">
        <v>1370</v>
      </c>
      <c r="I297" s="13">
        <v>1</v>
      </c>
      <c r="J297" s="15" t="s">
        <v>1400</v>
      </c>
      <c r="K297" s="15" t="s">
        <v>2706</v>
      </c>
      <c r="L297" s="16">
        <v>1915.7889999999998</v>
      </c>
      <c r="M297" s="16">
        <v>10299.9475</v>
      </c>
      <c r="N297" s="16"/>
      <c r="O297" s="16">
        <v>4040.6824999999999</v>
      </c>
      <c r="P297" s="16">
        <v>3446.4479999999999</v>
      </c>
      <c r="Q297" s="16">
        <f>SUM(Tabela1[[#This Row],[201805]:[201807]])</f>
        <v>12215.736499999999</v>
      </c>
      <c r="R297" s="16">
        <f>SUM(Tabela1[[#This Row],[201905]:[201906]])</f>
        <v>7487.1304999999993</v>
      </c>
      <c r="S297" s="16">
        <v>100000</v>
      </c>
      <c r="T297" s="16">
        <f>Tabela1[[#This Row],[Total 2019]]-Tabela1[[#This Row],[Total 2018]]</f>
        <v>-4728.6059999999998</v>
      </c>
      <c r="U297" s="40">
        <f>Tabela1[[#This Row],[Total 2019]]/Tabela1[[#This Row],[Meta]]</f>
        <v>7.4871304999999999E-2</v>
      </c>
      <c r="V297" s="17">
        <f>IFERROR(Tabela1[[#This Row],[Total 2019]]/Tabela1[[#This Row],[Total 2018]]-1,0)</f>
        <v>-0.3870913554823322</v>
      </c>
      <c r="W29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297" s="48"/>
      <c r="Y297" s="19"/>
      <c r="Z297" s="68"/>
    </row>
    <row r="298" spans="3:26" x14ac:dyDescent="0.35">
      <c r="C298" s="11" t="s">
        <v>2704</v>
      </c>
      <c r="D298" s="12" t="s">
        <v>2698</v>
      </c>
      <c r="E298" s="12">
        <v>287</v>
      </c>
      <c r="F298" s="13" t="s">
        <v>1734</v>
      </c>
      <c r="G298" s="14">
        <v>1</v>
      </c>
      <c r="H298" s="14" t="s">
        <v>1371</v>
      </c>
      <c r="I298" s="13">
        <v>7</v>
      </c>
      <c r="J298" s="15" t="s">
        <v>1406</v>
      </c>
      <c r="K298" s="15" t="s">
        <v>2707</v>
      </c>
      <c r="L298" s="16"/>
      <c r="M298" s="16">
        <v>5007.2124999999996</v>
      </c>
      <c r="N298" s="16"/>
      <c r="O298" s="16"/>
      <c r="P298" s="16"/>
      <c r="Q298" s="16">
        <f>SUM(Tabela1[[#This Row],[201805]:[201807]])</f>
        <v>5007.2124999999996</v>
      </c>
      <c r="R298" s="16">
        <f>SUM(Tabela1[[#This Row],[201905]:[201906]])</f>
        <v>0</v>
      </c>
      <c r="S298" s="16">
        <v>100000</v>
      </c>
      <c r="T298" s="16">
        <f>Tabela1[[#This Row],[Total 2019]]-Tabela1[[#This Row],[Total 2018]]</f>
        <v>-5007.2124999999996</v>
      </c>
      <c r="U298" s="40">
        <f>Tabela1[[#This Row],[Total 2019]]/Tabela1[[#This Row],[Meta]]</f>
        <v>0</v>
      </c>
      <c r="V298" s="17">
        <f>IFERROR(Tabela1[[#This Row],[Total 2019]]/Tabela1[[#This Row],[Total 2018]]-1,0)</f>
        <v>-1</v>
      </c>
      <c r="W29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98" s="48"/>
      <c r="Y298" s="19"/>
      <c r="Z298" s="68"/>
    </row>
    <row r="299" spans="3:26" x14ac:dyDescent="0.35">
      <c r="C299" s="11" t="s">
        <v>2703</v>
      </c>
      <c r="D299" s="12" t="s">
        <v>2700</v>
      </c>
      <c r="E299" s="12">
        <v>288</v>
      </c>
      <c r="F299" s="13" t="s">
        <v>1735</v>
      </c>
      <c r="G299" s="14">
        <v>3</v>
      </c>
      <c r="H299" s="14" t="s">
        <v>1372</v>
      </c>
      <c r="I299" s="13">
        <v>22</v>
      </c>
      <c r="J299" s="15" t="s">
        <v>1421</v>
      </c>
      <c r="K299" s="15" t="s">
        <v>2708</v>
      </c>
      <c r="L299" s="16"/>
      <c r="M299" s="16">
        <v>6216.6574999999993</v>
      </c>
      <c r="N299" s="16">
        <v>2198.2334999999998</v>
      </c>
      <c r="O299" s="16"/>
      <c r="P299" s="16"/>
      <c r="Q299" s="16">
        <f>SUM(Tabela1[[#This Row],[201805]:[201807]])</f>
        <v>8414.8909999999996</v>
      </c>
      <c r="R299" s="16">
        <f>SUM(Tabela1[[#This Row],[201905]:[201906]])</f>
        <v>0</v>
      </c>
      <c r="S299" s="16">
        <v>100000</v>
      </c>
      <c r="T299" s="16">
        <f>Tabela1[[#This Row],[Total 2019]]-Tabela1[[#This Row],[Total 2018]]</f>
        <v>-8414.8909999999996</v>
      </c>
      <c r="U299" s="40">
        <f>Tabela1[[#This Row],[Total 2019]]/Tabela1[[#This Row],[Meta]]</f>
        <v>0</v>
      </c>
      <c r="V299" s="17">
        <f>IFERROR(Tabela1[[#This Row],[Total 2019]]/Tabela1[[#This Row],[Total 2018]]-1,0)</f>
        <v>-1</v>
      </c>
      <c r="W29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299" s="48"/>
      <c r="Y299" s="19"/>
      <c r="Z299" s="68"/>
    </row>
    <row r="300" spans="3:26" x14ac:dyDescent="0.35">
      <c r="C300" s="11" t="s">
        <v>2704</v>
      </c>
      <c r="D300" s="12" t="s">
        <v>2700</v>
      </c>
      <c r="E300" s="12">
        <v>289</v>
      </c>
      <c r="F300" s="13" t="s">
        <v>1736</v>
      </c>
      <c r="G300" s="14">
        <v>1</v>
      </c>
      <c r="H300" s="14" t="s">
        <v>1370</v>
      </c>
      <c r="I300" s="13">
        <v>8</v>
      </c>
      <c r="J300" s="15" t="s">
        <v>1407</v>
      </c>
      <c r="K300" s="15" t="s">
        <v>2706</v>
      </c>
      <c r="L300" s="16">
        <v>2014.8359999999998</v>
      </c>
      <c r="M300" s="16">
        <v>4755.1109999999999</v>
      </c>
      <c r="N300" s="16"/>
      <c r="O300" s="16"/>
      <c r="P300" s="16"/>
      <c r="Q300" s="16">
        <f>SUM(Tabela1[[#This Row],[201805]:[201807]])</f>
        <v>6769.9470000000001</v>
      </c>
      <c r="R300" s="16">
        <f>SUM(Tabela1[[#This Row],[201905]:[201906]])</f>
        <v>0</v>
      </c>
      <c r="S300" s="16">
        <v>100000</v>
      </c>
      <c r="T300" s="16">
        <f>Tabela1[[#This Row],[Total 2019]]-Tabela1[[#This Row],[Total 2018]]</f>
        <v>-6769.9470000000001</v>
      </c>
      <c r="U300" s="40">
        <f>Tabela1[[#This Row],[Total 2019]]/Tabela1[[#This Row],[Meta]]</f>
        <v>0</v>
      </c>
      <c r="V300" s="17">
        <f>IFERROR(Tabela1[[#This Row],[Total 2019]]/Tabela1[[#This Row],[Total 2018]]-1,0)</f>
        <v>-1</v>
      </c>
      <c r="W30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00" s="48"/>
      <c r="Y300" s="19"/>
      <c r="Z300" s="68"/>
    </row>
    <row r="301" spans="3:26" x14ac:dyDescent="0.35">
      <c r="C301" s="11" t="s">
        <v>2702</v>
      </c>
      <c r="D301" s="12" t="s">
        <v>2698</v>
      </c>
      <c r="E301" s="12">
        <v>290</v>
      </c>
      <c r="F301" s="13" t="s">
        <v>1737</v>
      </c>
      <c r="G301" s="14">
        <v>3</v>
      </c>
      <c r="H301" s="14" t="s">
        <v>1372</v>
      </c>
      <c r="I301" s="13">
        <v>25</v>
      </c>
      <c r="J301" s="15" t="s">
        <v>1424</v>
      </c>
      <c r="K301" s="15" t="s">
        <v>2708</v>
      </c>
      <c r="L301" s="16"/>
      <c r="M301" s="16">
        <v>1313.7359999999999</v>
      </c>
      <c r="N301" s="16"/>
      <c r="O301" s="16"/>
      <c r="P301" s="16"/>
      <c r="Q301" s="16">
        <f>SUM(Tabela1[[#This Row],[201805]:[201807]])</f>
        <v>1313.7359999999999</v>
      </c>
      <c r="R301" s="16">
        <f>SUM(Tabela1[[#This Row],[201905]:[201906]])</f>
        <v>0</v>
      </c>
      <c r="S301" s="16">
        <v>100000</v>
      </c>
      <c r="T301" s="16">
        <f>Tabela1[[#This Row],[Total 2019]]-Tabela1[[#This Row],[Total 2018]]</f>
        <v>-1313.7359999999999</v>
      </c>
      <c r="U301" s="40">
        <f>Tabela1[[#This Row],[Total 2019]]/Tabela1[[#This Row],[Meta]]</f>
        <v>0</v>
      </c>
      <c r="V301" s="17">
        <f>IFERROR(Tabela1[[#This Row],[Total 2019]]/Tabela1[[#This Row],[Total 2018]]-1,0)</f>
        <v>-1</v>
      </c>
      <c r="W30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01" s="48"/>
      <c r="Y301" s="19"/>
      <c r="Z301" s="68"/>
    </row>
    <row r="302" spans="3:26" x14ac:dyDescent="0.35">
      <c r="C302" s="11" t="s">
        <v>2704</v>
      </c>
      <c r="D302" s="12" t="s">
        <v>2700</v>
      </c>
      <c r="E302" s="12">
        <v>291</v>
      </c>
      <c r="F302" s="13" t="s">
        <v>1738</v>
      </c>
      <c r="G302" s="14">
        <v>1</v>
      </c>
      <c r="H302" s="14" t="s">
        <v>1372</v>
      </c>
      <c r="I302" s="13">
        <v>21</v>
      </c>
      <c r="J302" s="15" t="s">
        <v>1420</v>
      </c>
      <c r="K302" s="15" t="s">
        <v>2708</v>
      </c>
      <c r="L302" s="16">
        <v>716.14800000000002</v>
      </c>
      <c r="M302" s="16">
        <v>1950.0554999999999</v>
      </c>
      <c r="N302" s="16"/>
      <c r="O302" s="16"/>
      <c r="P302" s="16"/>
      <c r="Q302" s="16">
        <f>SUM(Tabela1[[#This Row],[201805]:[201807]])</f>
        <v>2666.2035000000001</v>
      </c>
      <c r="R302" s="16">
        <f>SUM(Tabela1[[#This Row],[201905]:[201906]])</f>
        <v>0</v>
      </c>
      <c r="S302" s="16">
        <v>100000</v>
      </c>
      <c r="T302" s="16">
        <f>Tabela1[[#This Row],[Total 2019]]-Tabela1[[#This Row],[Total 2018]]</f>
        <v>-2666.2035000000001</v>
      </c>
      <c r="U302" s="40">
        <f>Tabela1[[#This Row],[Total 2019]]/Tabela1[[#This Row],[Meta]]</f>
        <v>0</v>
      </c>
      <c r="V302" s="17">
        <f>IFERROR(Tabela1[[#This Row],[Total 2019]]/Tabela1[[#This Row],[Total 2018]]-1,0)</f>
        <v>-1</v>
      </c>
      <c r="W30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02" s="48"/>
      <c r="Y302" s="19"/>
      <c r="Z302" s="68"/>
    </row>
    <row r="303" spans="3:26" x14ac:dyDescent="0.35">
      <c r="C303" s="11" t="s">
        <v>2702</v>
      </c>
      <c r="D303" s="12" t="s">
        <v>2699</v>
      </c>
      <c r="E303" s="12">
        <v>292</v>
      </c>
      <c r="F303" s="13" t="s">
        <v>1739</v>
      </c>
      <c r="G303" s="14">
        <v>3</v>
      </c>
      <c r="H303" s="14" t="s">
        <v>1372</v>
      </c>
      <c r="I303" s="13">
        <v>20</v>
      </c>
      <c r="J303" s="15" t="s">
        <v>1419</v>
      </c>
      <c r="K303" s="15" t="s">
        <v>2708</v>
      </c>
      <c r="L303" s="16"/>
      <c r="M303" s="16">
        <v>2765.5734999999995</v>
      </c>
      <c r="N303" s="16"/>
      <c r="O303" s="16"/>
      <c r="P303" s="16"/>
      <c r="Q303" s="16">
        <f>SUM(Tabela1[[#This Row],[201805]:[201807]])</f>
        <v>2765.5734999999995</v>
      </c>
      <c r="R303" s="16">
        <f>SUM(Tabela1[[#This Row],[201905]:[201906]])</f>
        <v>0</v>
      </c>
      <c r="S303" s="16">
        <v>100000</v>
      </c>
      <c r="T303" s="16">
        <f>Tabela1[[#This Row],[Total 2019]]-Tabela1[[#This Row],[Total 2018]]</f>
        <v>-2765.5734999999995</v>
      </c>
      <c r="U303" s="40">
        <f>Tabela1[[#This Row],[Total 2019]]/Tabela1[[#This Row],[Meta]]</f>
        <v>0</v>
      </c>
      <c r="V303" s="17">
        <f>IFERROR(Tabela1[[#This Row],[Total 2019]]/Tabela1[[#This Row],[Total 2018]]-1,0)</f>
        <v>-1</v>
      </c>
      <c r="W30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03" s="48"/>
      <c r="Y303" s="19"/>
      <c r="Z303" s="68"/>
    </row>
    <row r="304" spans="3:26" x14ac:dyDescent="0.35">
      <c r="C304" s="11" t="s">
        <v>2703</v>
      </c>
      <c r="D304" s="12" t="s">
        <v>2699</v>
      </c>
      <c r="E304" s="12">
        <v>293</v>
      </c>
      <c r="F304" s="13" t="s">
        <v>1740</v>
      </c>
      <c r="G304" s="14">
        <v>2</v>
      </c>
      <c r="H304" s="14" t="s">
        <v>1370</v>
      </c>
      <c r="I304" s="13">
        <v>11</v>
      </c>
      <c r="J304" s="15" t="s">
        <v>1410</v>
      </c>
      <c r="K304" s="15" t="s">
        <v>2706</v>
      </c>
      <c r="L304" s="16"/>
      <c r="M304" s="16"/>
      <c r="N304" s="16">
        <v>4472.0964999999997</v>
      </c>
      <c r="O304" s="16"/>
      <c r="P304" s="16"/>
      <c r="Q304" s="16">
        <f>SUM(Tabela1[[#This Row],[201805]:[201807]])</f>
        <v>4472.0964999999997</v>
      </c>
      <c r="R304" s="16">
        <f>SUM(Tabela1[[#This Row],[201905]:[201906]])</f>
        <v>0</v>
      </c>
      <c r="S304" s="16">
        <v>100000</v>
      </c>
      <c r="T304" s="16">
        <f>Tabela1[[#This Row],[Total 2019]]-Tabela1[[#This Row],[Total 2018]]</f>
        <v>-4472.0964999999997</v>
      </c>
      <c r="U304" s="40">
        <f>Tabela1[[#This Row],[Total 2019]]/Tabela1[[#This Row],[Meta]]</f>
        <v>0</v>
      </c>
      <c r="V304" s="17">
        <f>IFERROR(Tabela1[[#This Row],[Total 2019]]/Tabela1[[#This Row],[Total 2018]]-1,0)</f>
        <v>-1</v>
      </c>
      <c r="W30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04" s="48"/>
      <c r="Y304" s="19"/>
      <c r="Z304" s="68"/>
    </row>
    <row r="305" spans="3:26" x14ac:dyDescent="0.35">
      <c r="C305" s="11" t="s">
        <v>2703</v>
      </c>
      <c r="D305" s="12" t="s">
        <v>2698</v>
      </c>
      <c r="E305" s="12">
        <v>294</v>
      </c>
      <c r="F305" s="13" t="s">
        <v>1741</v>
      </c>
      <c r="G305" s="14">
        <v>1</v>
      </c>
      <c r="H305" s="14" t="s">
        <v>1372</v>
      </c>
      <c r="I305" s="13">
        <v>21</v>
      </c>
      <c r="J305" s="15" t="s">
        <v>1420</v>
      </c>
      <c r="K305" s="15" t="s">
        <v>2708</v>
      </c>
      <c r="L305" s="16">
        <v>1628.1385</v>
      </c>
      <c r="M305" s="16">
        <v>3065.3744999999999</v>
      </c>
      <c r="N305" s="16">
        <v>1226.982</v>
      </c>
      <c r="O305" s="16"/>
      <c r="P305" s="16"/>
      <c r="Q305" s="16">
        <f>SUM(Tabela1[[#This Row],[201805]:[201807]])</f>
        <v>5920.4949999999999</v>
      </c>
      <c r="R305" s="16">
        <f>SUM(Tabela1[[#This Row],[201905]:[201906]])</f>
        <v>0</v>
      </c>
      <c r="S305" s="16">
        <v>100000</v>
      </c>
      <c r="T305" s="16">
        <f>Tabela1[[#This Row],[Total 2019]]-Tabela1[[#This Row],[Total 2018]]</f>
        <v>-5920.4949999999999</v>
      </c>
      <c r="U305" s="40">
        <f>Tabela1[[#This Row],[Total 2019]]/Tabela1[[#This Row],[Meta]]</f>
        <v>0</v>
      </c>
      <c r="V305" s="17">
        <f>IFERROR(Tabela1[[#This Row],[Total 2019]]/Tabela1[[#This Row],[Total 2018]]-1,0)</f>
        <v>-1</v>
      </c>
      <c r="W30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05" s="48"/>
      <c r="Y305" s="19"/>
      <c r="Z305" s="68"/>
    </row>
    <row r="306" spans="3:26" x14ac:dyDescent="0.35">
      <c r="C306" s="11" t="s">
        <v>2702</v>
      </c>
      <c r="D306" s="12" t="s">
        <v>2698</v>
      </c>
      <c r="E306" s="12">
        <v>295</v>
      </c>
      <c r="F306" s="13" t="s">
        <v>1742</v>
      </c>
      <c r="G306" s="14">
        <v>1</v>
      </c>
      <c r="H306" s="14" t="s">
        <v>1371</v>
      </c>
      <c r="I306" s="13">
        <v>7</v>
      </c>
      <c r="J306" s="15" t="s">
        <v>1406</v>
      </c>
      <c r="K306" s="15" t="s">
        <v>2707</v>
      </c>
      <c r="L306" s="16"/>
      <c r="M306" s="16">
        <v>1739.5924999999997</v>
      </c>
      <c r="N306" s="16">
        <v>3449.5924999999997</v>
      </c>
      <c r="O306" s="16">
        <v>10594.989</v>
      </c>
      <c r="P306" s="16"/>
      <c r="Q306" s="16">
        <f>SUM(Tabela1[[#This Row],[201805]:[201807]])</f>
        <v>5189.1849999999995</v>
      </c>
      <c r="R306" s="16">
        <f>SUM(Tabela1[[#This Row],[201905]:[201906]])</f>
        <v>10594.989</v>
      </c>
      <c r="S306" s="16">
        <v>100000</v>
      </c>
      <c r="T306" s="16">
        <f>Tabela1[[#This Row],[Total 2019]]-Tabela1[[#This Row],[Total 2018]]</f>
        <v>5405.8040000000001</v>
      </c>
      <c r="U306" s="40">
        <f>Tabela1[[#This Row],[Total 2019]]/Tabela1[[#This Row],[Meta]]</f>
        <v>0.10594988999999999</v>
      </c>
      <c r="V306" s="17">
        <f>IFERROR(Tabela1[[#This Row],[Total 2019]]/Tabela1[[#This Row],[Total 2018]]-1,0)</f>
        <v>1.0417443201581751</v>
      </c>
      <c r="W30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306" s="48"/>
      <c r="Y306" s="19"/>
      <c r="Z306" s="68"/>
    </row>
    <row r="307" spans="3:26" x14ac:dyDescent="0.35">
      <c r="C307" s="11" t="s">
        <v>2704</v>
      </c>
      <c r="D307" s="12" t="s">
        <v>2700</v>
      </c>
      <c r="E307" s="12">
        <v>296</v>
      </c>
      <c r="F307" s="13" t="s">
        <v>1743</v>
      </c>
      <c r="G307" s="14">
        <v>2</v>
      </c>
      <c r="H307" s="14" t="s">
        <v>1371</v>
      </c>
      <c r="I307" s="13">
        <v>4</v>
      </c>
      <c r="J307" s="15" t="s">
        <v>1403</v>
      </c>
      <c r="K307" s="15" t="s">
        <v>2707</v>
      </c>
      <c r="L307" s="16"/>
      <c r="M307" s="16">
        <v>4114.5449999999992</v>
      </c>
      <c r="N307" s="16"/>
      <c r="O307" s="16"/>
      <c r="P307" s="16"/>
      <c r="Q307" s="16">
        <f>SUM(Tabela1[[#This Row],[201805]:[201807]])</f>
        <v>4114.5449999999992</v>
      </c>
      <c r="R307" s="16">
        <f>SUM(Tabela1[[#This Row],[201905]:[201906]])</f>
        <v>0</v>
      </c>
      <c r="S307" s="16">
        <v>100000</v>
      </c>
      <c r="T307" s="16">
        <f>Tabela1[[#This Row],[Total 2019]]-Tabela1[[#This Row],[Total 2018]]</f>
        <v>-4114.5449999999992</v>
      </c>
      <c r="U307" s="40">
        <f>Tabela1[[#This Row],[Total 2019]]/Tabela1[[#This Row],[Meta]]</f>
        <v>0</v>
      </c>
      <c r="V307" s="17">
        <f>IFERROR(Tabela1[[#This Row],[Total 2019]]/Tabela1[[#This Row],[Total 2018]]-1,0)</f>
        <v>-1</v>
      </c>
      <c r="W30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07" s="48"/>
      <c r="Y307" s="19"/>
      <c r="Z307" s="68"/>
    </row>
    <row r="308" spans="3:26" x14ac:dyDescent="0.35">
      <c r="C308" s="11" t="s">
        <v>2703</v>
      </c>
      <c r="D308" s="12" t="s">
        <v>2698</v>
      </c>
      <c r="E308" s="12">
        <v>297</v>
      </c>
      <c r="F308" s="13" t="s">
        <v>1744</v>
      </c>
      <c r="G308" s="14">
        <v>3</v>
      </c>
      <c r="H308" s="14" t="s">
        <v>1372</v>
      </c>
      <c r="I308" s="13">
        <v>17</v>
      </c>
      <c r="J308" s="15" t="s">
        <v>1416</v>
      </c>
      <c r="K308" s="15" t="s">
        <v>2708</v>
      </c>
      <c r="L308" s="16">
        <v>1379.9984999999999</v>
      </c>
      <c r="M308" s="16">
        <v>1003.0765000000001</v>
      </c>
      <c r="N308" s="16"/>
      <c r="O308" s="16"/>
      <c r="P308" s="16"/>
      <c r="Q308" s="16">
        <f>SUM(Tabela1[[#This Row],[201805]:[201807]])</f>
        <v>2383.0749999999998</v>
      </c>
      <c r="R308" s="16">
        <f>SUM(Tabela1[[#This Row],[201905]:[201906]])</f>
        <v>0</v>
      </c>
      <c r="S308" s="16">
        <v>100000</v>
      </c>
      <c r="T308" s="16">
        <f>Tabela1[[#This Row],[Total 2019]]-Tabela1[[#This Row],[Total 2018]]</f>
        <v>-2383.0749999999998</v>
      </c>
      <c r="U308" s="40">
        <f>Tabela1[[#This Row],[Total 2019]]/Tabela1[[#This Row],[Meta]]</f>
        <v>0</v>
      </c>
      <c r="V308" s="17">
        <f>IFERROR(Tabela1[[#This Row],[Total 2019]]/Tabela1[[#This Row],[Total 2018]]-1,0)</f>
        <v>-1</v>
      </c>
      <c r="W30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08" s="48"/>
      <c r="Y308" s="19"/>
      <c r="Z308" s="68"/>
    </row>
    <row r="309" spans="3:26" x14ac:dyDescent="0.35">
      <c r="C309" s="11" t="s">
        <v>2702</v>
      </c>
      <c r="D309" s="12" t="s">
        <v>2698</v>
      </c>
      <c r="E309" s="12">
        <v>298</v>
      </c>
      <c r="F309" s="13" t="s">
        <v>1745</v>
      </c>
      <c r="G309" s="14">
        <v>1</v>
      </c>
      <c r="H309" s="14" t="s">
        <v>1372</v>
      </c>
      <c r="I309" s="13">
        <v>22</v>
      </c>
      <c r="J309" s="15" t="s">
        <v>1421</v>
      </c>
      <c r="K309" s="15" t="s">
        <v>2708</v>
      </c>
      <c r="L309" s="16">
        <v>2055.7905000000001</v>
      </c>
      <c r="M309" s="16">
        <v>4293.847999999999</v>
      </c>
      <c r="N309" s="16">
        <v>6085.2155000000002</v>
      </c>
      <c r="O309" s="16">
        <v>7390.2020000000002</v>
      </c>
      <c r="P309" s="16">
        <v>3641.9579999999996</v>
      </c>
      <c r="Q309" s="16">
        <f>SUM(Tabela1[[#This Row],[201805]:[201807]])</f>
        <v>12434.853999999999</v>
      </c>
      <c r="R309" s="16">
        <f>SUM(Tabela1[[#This Row],[201905]:[201906]])</f>
        <v>11032.16</v>
      </c>
      <c r="S309" s="16">
        <v>100000</v>
      </c>
      <c r="T309" s="16">
        <f>Tabela1[[#This Row],[Total 2019]]-Tabela1[[#This Row],[Total 2018]]</f>
        <v>-1402.6939999999995</v>
      </c>
      <c r="U309" s="40">
        <f>Tabela1[[#This Row],[Total 2019]]/Tabela1[[#This Row],[Meta]]</f>
        <v>0.11032159999999999</v>
      </c>
      <c r="V309" s="17">
        <f>IFERROR(Tabela1[[#This Row],[Total 2019]]/Tabela1[[#This Row],[Total 2018]]-1,0)</f>
        <v>-0.11280341530346871</v>
      </c>
      <c r="W30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309" s="48"/>
      <c r="Y309" s="19"/>
      <c r="Z309" s="68"/>
    </row>
    <row r="310" spans="3:26" x14ac:dyDescent="0.35">
      <c r="C310" s="11" t="s">
        <v>2702</v>
      </c>
      <c r="D310" s="12" t="s">
        <v>2698</v>
      </c>
      <c r="E310" s="12">
        <v>299</v>
      </c>
      <c r="F310" s="13" t="s">
        <v>1746</v>
      </c>
      <c r="G310" s="14">
        <v>3</v>
      </c>
      <c r="H310" s="14" t="s">
        <v>1372</v>
      </c>
      <c r="I310" s="13">
        <v>23</v>
      </c>
      <c r="J310" s="15" t="s">
        <v>1422</v>
      </c>
      <c r="K310" s="15" t="s">
        <v>2708</v>
      </c>
      <c r="L310" s="16">
        <v>4044.6154999999999</v>
      </c>
      <c r="M310" s="16">
        <v>3880.7974999999997</v>
      </c>
      <c r="N310" s="16"/>
      <c r="O310" s="16"/>
      <c r="P310" s="16"/>
      <c r="Q310" s="16">
        <f>SUM(Tabela1[[#This Row],[201805]:[201807]])</f>
        <v>7925.4129999999996</v>
      </c>
      <c r="R310" s="16">
        <f>SUM(Tabela1[[#This Row],[201905]:[201906]])</f>
        <v>0</v>
      </c>
      <c r="S310" s="16">
        <v>100000</v>
      </c>
      <c r="T310" s="16">
        <f>Tabela1[[#This Row],[Total 2019]]-Tabela1[[#This Row],[Total 2018]]</f>
        <v>-7925.4129999999996</v>
      </c>
      <c r="U310" s="40">
        <f>Tabela1[[#This Row],[Total 2019]]/Tabela1[[#This Row],[Meta]]</f>
        <v>0</v>
      </c>
      <c r="V310" s="17">
        <f>IFERROR(Tabela1[[#This Row],[Total 2019]]/Tabela1[[#This Row],[Total 2018]]-1,0)</f>
        <v>-1</v>
      </c>
      <c r="W31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10" s="48"/>
      <c r="Y310" s="19"/>
      <c r="Z310" s="68"/>
    </row>
    <row r="311" spans="3:26" x14ac:dyDescent="0.35">
      <c r="C311" s="11" t="s">
        <v>2702</v>
      </c>
      <c r="D311" s="12" t="s">
        <v>2700</v>
      </c>
      <c r="E311" s="12">
        <v>300</v>
      </c>
      <c r="F311" s="13" t="s">
        <v>1747</v>
      </c>
      <c r="G311" s="14">
        <v>1</v>
      </c>
      <c r="H311" s="14" t="s">
        <v>1372</v>
      </c>
      <c r="I311" s="13">
        <v>25</v>
      </c>
      <c r="J311" s="15" t="s">
        <v>1424</v>
      </c>
      <c r="K311" s="15" t="s">
        <v>2708</v>
      </c>
      <c r="L311" s="16"/>
      <c r="M311" s="16"/>
      <c r="N311" s="16">
        <v>9841.2780000000002</v>
      </c>
      <c r="O311" s="16"/>
      <c r="P311" s="16"/>
      <c r="Q311" s="16">
        <f>SUM(Tabela1[[#This Row],[201805]:[201807]])</f>
        <v>9841.2780000000002</v>
      </c>
      <c r="R311" s="16">
        <f>SUM(Tabela1[[#This Row],[201905]:[201906]])</f>
        <v>0</v>
      </c>
      <c r="S311" s="16">
        <v>100000</v>
      </c>
      <c r="T311" s="16">
        <f>Tabela1[[#This Row],[Total 2019]]-Tabela1[[#This Row],[Total 2018]]</f>
        <v>-9841.2780000000002</v>
      </c>
      <c r="U311" s="40">
        <f>Tabela1[[#This Row],[Total 2019]]/Tabela1[[#This Row],[Meta]]</f>
        <v>0</v>
      </c>
      <c r="V311" s="17">
        <f>IFERROR(Tabela1[[#This Row],[Total 2019]]/Tabela1[[#This Row],[Total 2018]]-1,0)</f>
        <v>-1</v>
      </c>
      <c r="W31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11" s="48"/>
      <c r="Y311" s="19"/>
      <c r="Z311" s="68"/>
    </row>
    <row r="312" spans="3:26" x14ac:dyDescent="0.35">
      <c r="C312" s="11" t="s">
        <v>2702</v>
      </c>
      <c r="D312" s="12" t="s">
        <v>2698</v>
      </c>
      <c r="E312" s="12">
        <v>301</v>
      </c>
      <c r="F312" s="13" t="s">
        <v>1748</v>
      </c>
      <c r="G312" s="14">
        <v>1</v>
      </c>
      <c r="H312" s="14" t="s">
        <v>1371</v>
      </c>
      <c r="I312" s="13">
        <v>9</v>
      </c>
      <c r="J312" s="15" t="s">
        <v>1408</v>
      </c>
      <c r="K312" s="15" t="s">
        <v>2707</v>
      </c>
      <c r="L312" s="16">
        <v>9376.2150000000001</v>
      </c>
      <c r="M312" s="16">
        <v>4043.2285000000002</v>
      </c>
      <c r="N312" s="16"/>
      <c r="O312" s="16">
        <v>2112.933</v>
      </c>
      <c r="P312" s="16">
        <v>6259.7684999999992</v>
      </c>
      <c r="Q312" s="16">
        <f>SUM(Tabela1[[#This Row],[201805]:[201807]])</f>
        <v>13419.443500000001</v>
      </c>
      <c r="R312" s="16">
        <f>SUM(Tabela1[[#This Row],[201905]:[201906]])</f>
        <v>8372.7014999999992</v>
      </c>
      <c r="S312" s="16">
        <v>100000</v>
      </c>
      <c r="T312" s="16">
        <f>Tabela1[[#This Row],[Total 2019]]-Tabela1[[#This Row],[Total 2018]]</f>
        <v>-5046.742000000002</v>
      </c>
      <c r="U312" s="40">
        <f>Tabela1[[#This Row],[Total 2019]]/Tabela1[[#This Row],[Meta]]</f>
        <v>8.3727014999999988E-2</v>
      </c>
      <c r="V312" s="17">
        <f>IFERROR(Tabela1[[#This Row],[Total 2019]]/Tabela1[[#This Row],[Total 2018]]-1,0)</f>
        <v>-0.37607684700188959</v>
      </c>
      <c r="W31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312" s="48"/>
      <c r="Y312" s="19"/>
      <c r="Z312" s="68"/>
    </row>
    <row r="313" spans="3:26" x14ac:dyDescent="0.35">
      <c r="C313" s="11" t="s">
        <v>2703</v>
      </c>
      <c r="D313" s="12" t="s">
        <v>2699</v>
      </c>
      <c r="E313" s="12">
        <v>302</v>
      </c>
      <c r="F313" s="13" t="s">
        <v>1749</v>
      </c>
      <c r="G313" s="14">
        <v>1</v>
      </c>
      <c r="H313" s="14" t="s">
        <v>1372</v>
      </c>
      <c r="I313" s="13">
        <v>17</v>
      </c>
      <c r="J313" s="15" t="s">
        <v>1416</v>
      </c>
      <c r="K313" s="15" t="s">
        <v>2708</v>
      </c>
      <c r="L313" s="16">
        <v>3455.7675000000004</v>
      </c>
      <c r="M313" s="16">
        <v>2510.9450000000002</v>
      </c>
      <c r="N313" s="16"/>
      <c r="O313" s="16"/>
      <c r="P313" s="16"/>
      <c r="Q313" s="16">
        <f>SUM(Tabela1[[#This Row],[201805]:[201807]])</f>
        <v>5966.7125000000005</v>
      </c>
      <c r="R313" s="16">
        <f>SUM(Tabela1[[#This Row],[201905]:[201906]])</f>
        <v>0</v>
      </c>
      <c r="S313" s="16">
        <v>100000</v>
      </c>
      <c r="T313" s="16">
        <f>Tabela1[[#This Row],[Total 2019]]-Tabela1[[#This Row],[Total 2018]]</f>
        <v>-5966.7125000000005</v>
      </c>
      <c r="U313" s="40">
        <f>Tabela1[[#This Row],[Total 2019]]/Tabela1[[#This Row],[Meta]]</f>
        <v>0</v>
      </c>
      <c r="V313" s="17">
        <f>IFERROR(Tabela1[[#This Row],[Total 2019]]/Tabela1[[#This Row],[Total 2018]]-1,0)</f>
        <v>-1</v>
      </c>
      <c r="W31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13" s="48"/>
      <c r="Y313" s="19"/>
      <c r="Z313" s="68"/>
    </row>
    <row r="314" spans="3:26" x14ac:dyDescent="0.35">
      <c r="C314" s="11" t="s">
        <v>2704</v>
      </c>
      <c r="D314" s="12" t="s">
        <v>2700</v>
      </c>
      <c r="E314" s="12">
        <v>303</v>
      </c>
      <c r="F314" s="13" t="s">
        <v>1750</v>
      </c>
      <c r="G314" s="14">
        <v>3</v>
      </c>
      <c r="H314" s="14" t="s">
        <v>1372</v>
      </c>
      <c r="I314" s="13">
        <v>21</v>
      </c>
      <c r="J314" s="15" t="s">
        <v>1420</v>
      </c>
      <c r="K314" s="15" t="s">
        <v>2708</v>
      </c>
      <c r="L314" s="16">
        <v>11102.735499999999</v>
      </c>
      <c r="M314" s="16">
        <v>9313.8379999999997</v>
      </c>
      <c r="N314" s="16">
        <v>1517.1594999999998</v>
      </c>
      <c r="O314" s="16">
        <v>12667.376</v>
      </c>
      <c r="P314" s="16"/>
      <c r="Q314" s="16">
        <f>SUM(Tabela1[[#This Row],[201805]:[201807]])</f>
        <v>21933.733</v>
      </c>
      <c r="R314" s="16">
        <f>SUM(Tabela1[[#This Row],[201905]:[201906]])</f>
        <v>12667.376</v>
      </c>
      <c r="S314" s="16">
        <v>100000</v>
      </c>
      <c r="T314" s="16">
        <f>Tabela1[[#This Row],[Total 2019]]-Tabela1[[#This Row],[Total 2018]]</f>
        <v>-9266.357</v>
      </c>
      <c r="U314" s="40">
        <f>Tabela1[[#This Row],[Total 2019]]/Tabela1[[#This Row],[Meta]]</f>
        <v>0.12667376</v>
      </c>
      <c r="V314" s="17">
        <f>IFERROR(Tabela1[[#This Row],[Total 2019]]/Tabela1[[#This Row],[Total 2018]]-1,0)</f>
        <v>-0.42247058446457786</v>
      </c>
      <c r="W31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314" s="48"/>
      <c r="Y314" s="19"/>
      <c r="Z314" s="68"/>
    </row>
    <row r="315" spans="3:26" x14ac:dyDescent="0.35">
      <c r="C315" s="11" t="s">
        <v>2704</v>
      </c>
      <c r="D315" s="12" t="s">
        <v>2698</v>
      </c>
      <c r="E315" s="12">
        <v>304</v>
      </c>
      <c r="F315" s="13" t="s">
        <v>1751</v>
      </c>
      <c r="G315" s="14">
        <v>2</v>
      </c>
      <c r="H315" s="14" t="s">
        <v>1372</v>
      </c>
      <c r="I315" s="13">
        <v>13</v>
      </c>
      <c r="J315" s="15" t="s">
        <v>1412</v>
      </c>
      <c r="K315" s="15" t="s">
        <v>2709</v>
      </c>
      <c r="L315" s="16">
        <v>2508.6554999999998</v>
      </c>
      <c r="M315" s="16">
        <v>3543.9939999999997</v>
      </c>
      <c r="N315" s="16">
        <v>1435.4974999999999</v>
      </c>
      <c r="O315" s="16"/>
      <c r="P315" s="16"/>
      <c r="Q315" s="16">
        <f>SUM(Tabela1[[#This Row],[201805]:[201807]])</f>
        <v>7488.146999999999</v>
      </c>
      <c r="R315" s="16">
        <f>SUM(Tabela1[[#This Row],[201905]:[201906]])</f>
        <v>0</v>
      </c>
      <c r="S315" s="16">
        <v>100000</v>
      </c>
      <c r="T315" s="16">
        <f>Tabela1[[#This Row],[Total 2019]]-Tabela1[[#This Row],[Total 2018]]</f>
        <v>-7488.146999999999</v>
      </c>
      <c r="U315" s="40">
        <f>Tabela1[[#This Row],[Total 2019]]/Tabela1[[#This Row],[Meta]]</f>
        <v>0</v>
      </c>
      <c r="V315" s="17">
        <f>IFERROR(Tabela1[[#This Row],[Total 2019]]/Tabela1[[#This Row],[Total 2018]]-1,0)</f>
        <v>-1</v>
      </c>
      <c r="W31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15" s="48"/>
      <c r="Y315" s="19"/>
      <c r="Z315" s="68"/>
    </row>
    <row r="316" spans="3:26" x14ac:dyDescent="0.35">
      <c r="C316" s="11" t="s">
        <v>2704</v>
      </c>
      <c r="D316" s="12" t="s">
        <v>2700</v>
      </c>
      <c r="E316" s="12">
        <v>305</v>
      </c>
      <c r="F316" s="13" t="s">
        <v>1752</v>
      </c>
      <c r="G316" s="14">
        <v>1</v>
      </c>
      <c r="H316" s="14" t="s">
        <v>1372</v>
      </c>
      <c r="I316" s="13">
        <v>17</v>
      </c>
      <c r="J316" s="15" t="s">
        <v>1416</v>
      </c>
      <c r="K316" s="15" t="s">
        <v>2708</v>
      </c>
      <c r="L316" s="16"/>
      <c r="M316" s="16">
        <v>6157.8429999999998</v>
      </c>
      <c r="N316" s="16"/>
      <c r="O316" s="16"/>
      <c r="P316" s="16"/>
      <c r="Q316" s="16">
        <f>SUM(Tabela1[[#This Row],[201805]:[201807]])</f>
        <v>6157.8429999999998</v>
      </c>
      <c r="R316" s="16">
        <f>SUM(Tabela1[[#This Row],[201905]:[201906]])</f>
        <v>0</v>
      </c>
      <c r="S316" s="16">
        <v>100000</v>
      </c>
      <c r="T316" s="16">
        <f>Tabela1[[#This Row],[Total 2019]]-Tabela1[[#This Row],[Total 2018]]</f>
        <v>-6157.8429999999998</v>
      </c>
      <c r="U316" s="40">
        <f>Tabela1[[#This Row],[Total 2019]]/Tabela1[[#This Row],[Meta]]</f>
        <v>0</v>
      </c>
      <c r="V316" s="17">
        <f>IFERROR(Tabela1[[#This Row],[Total 2019]]/Tabela1[[#This Row],[Total 2018]]-1,0)</f>
        <v>-1</v>
      </c>
      <c r="W31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16" s="48"/>
      <c r="Y316" s="19"/>
      <c r="Z316" s="68"/>
    </row>
    <row r="317" spans="3:26" x14ac:dyDescent="0.35">
      <c r="C317" s="11" t="s">
        <v>2703</v>
      </c>
      <c r="D317" s="12" t="s">
        <v>2699</v>
      </c>
      <c r="E317" s="12">
        <v>306</v>
      </c>
      <c r="F317" s="13" t="s">
        <v>1753</v>
      </c>
      <c r="G317" s="14">
        <v>3</v>
      </c>
      <c r="H317" s="14" t="s">
        <v>1372</v>
      </c>
      <c r="I317" s="13">
        <v>22</v>
      </c>
      <c r="J317" s="15" t="s">
        <v>1421</v>
      </c>
      <c r="K317" s="15" t="s">
        <v>2708</v>
      </c>
      <c r="L317" s="16">
        <v>1289.1594999999998</v>
      </c>
      <c r="M317" s="16">
        <v>2311.6729999999998</v>
      </c>
      <c r="N317" s="16"/>
      <c r="O317" s="16"/>
      <c r="P317" s="16"/>
      <c r="Q317" s="16">
        <f>SUM(Tabela1[[#This Row],[201805]:[201807]])</f>
        <v>3600.8324999999995</v>
      </c>
      <c r="R317" s="16">
        <f>SUM(Tabela1[[#This Row],[201905]:[201906]])</f>
        <v>0</v>
      </c>
      <c r="S317" s="16">
        <v>100000</v>
      </c>
      <c r="T317" s="16">
        <f>Tabela1[[#This Row],[Total 2019]]-Tabela1[[#This Row],[Total 2018]]</f>
        <v>-3600.8324999999995</v>
      </c>
      <c r="U317" s="40">
        <f>Tabela1[[#This Row],[Total 2019]]/Tabela1[[#This Row],[Meta]]</f>
        <v>0</v>
      </c>
      <c r="V317" s="17">
        <f>IFERROR(Tabela1[[#This Row],[Total 2019]]/Tabela1[[#This Row],[Total 2018]]-1,0)</f>
        <v>-1</v>
      </c>
      <c r="W31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17" s="48"/>
      <c r="Y317" s="19"/>
      <c r="Z317" s="68"/>
    </row>
    <row r="318" spans="3:26" x14ac:dyDescent="0.35">
      <c r="C318" s="11" t="s">
        <v>2704</v>
      </c>
      <c r="D318" s="12" t="s">
        <v>2700</v>
      </c>
      <c r="E318" s="12">
        <v>307</v>
      </c>
      <c r="F318" s="13" t="s">
        <v>1754</v>
      </c>
      <c r="G318" s="14">
        <v>3</v>
      </c>
      <c r="H318" s="14" t="s">
        <v>1372</v>
      </c>
      <c r="I318" s="13">
        <v>25</v>
      </c>
      <c r="J318" s="15" t="s">
        <v>1424</v>
      </c>
      <c r="K318" s="15" t="s">
        <v>2708</v>
      </c>
      <c r="L318" s="16">
        <v>4826.5985000000001</v>
      </c>
      <c r="M318" s="16">
        <v>11765.531499999999</v>
      </c>
      <c r="N318" s="16">
        <v>2890.7644999999998</v>
      </c>
      <c r="O318" s="16"/>
      <c r="P318" s="16"/>
      <c r="Q318" s="16">
        <f>SUM(Tabela1[[#This Row],[201805]:[201807]])</f>
        <v>19482.894499999999</v>
      </c>
      <c r="R318" s="16">
        <f>SUM(Tabela1[[#This Row],[201905]:[201906]])</f>
        <v>0</v>
      </c>
      <c r="S318" s="16">
        <v>100000</v>
      </c>
      <c r="T318" s="16">
        <f>Tabela1[[#This Row],[Total 2019]]-Tabela1[[#This Row],[Total 2018]]</f>
        <v>-19482.894499999999</v>
      </c>
      <c r="U318" s="40">
        <f>Tabela1[[#This Row],[Total 2019]]/Tabela1[[#This Row],[Meta]]</f>
        <v>0</v>
      </c>
      <c r="V318" s="17">
        <f>IFERROR(Tabela1[[#This Row],[Total 2019]]/Tabela1[[#This Row],[Total 2018]]-1,0)</f>
        <v>-1</v>
      </c>
      <c r="W31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18" s="48"/>
      <c r="Y318" s="19"/>
      <c r="Z318" s="68"/>
    </row>
    <row r="319" spans="3:26" x14ac:dyDescent="0.35">
      <c r="C319" s="11" t="s">
        <v>2704</v>
      </c>
      <c r="D319" s="12" t="s">
        <v>2698</v>
      </c>
      <c r="E319" s="12">
        <v>308</v>
      </c>
      <c r="F319" s="13" t="s">
        <v>1755</v>
      </c>
      <c r="G319" s="14">
        <v>1</v>
      </c>
      <c r="H319" s="14" t="s">
        <v>1370</v>
      </c>
      <c r="I319" s="13">
        <v>8</v>
      </c>
      <c r="J319" s="15" t="s">
        <v>1407</v>
      </c>
      <c r="K319" s="15" t="s">
        <v>2706</v>
      </c>
      <c r="L319" s="16"/>
      <c r="M319" s="16">
        <v>3134.6959999999999</v>
      </c>
      <c r="N319" s="16"/>
      <c r="O319" s="16"/>
      <c r="P319" s="16"/>
      <c r="Q319" s="16">
        <f>SUM(Tabela1[[#This Row],[201805]:[201807]])</f>
        <v>3134.6959999999999</v>
      </c>
      <c r="R319" s="16">
        <f>SUM(Tabela1[[#This Row],[201905]:[201906]])</f>
        <v>0</v>
      </c>
      <c r="S319" s="16">
        <v>100000</v>
      </c>
      <c r="T319" s="16">
        <f>Tabela1[[#This Row],[Total 2019]]-Tabela1[[#This Row],[Total 2018]]</f>
        <v>-3134.6959999999999</v>
      </c>
      <c r="U319" s="40">
        <f>Tabela1[[#This Row],[Total 2019]]/Tabela1[[#This Row],[Meta]]</f>
        <v>0</v>
      </c>
      <c r="V319" s="17">
        <f>IFERROR(Tabela1[[#This Row],[Total 2019]]/Tabela1[[#This Row],[Total 2018]]-1,0)</f>
        <v>-1</v>
      </c>
      <c r="W31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19" s="48"/>
      <c r="Y319" s="19"/>
      <c r="Z319" s="68"/>
    </row>
    <row r="320" spans="3:26" x14ac:dyDescent="0.35">
      <c r="C320" s="11" t="s">
        <v>2703</v>
      </c>
      <c r="D320" s="12" t="s">
        <v>2700</v>
      </c>
      <c r="E320" s="12">
        <v>309</v>
      </c>
      <c r="F320" s="13" t="s">
        <v>1756</v>
      </c>
      <c r="G320" s="14">
        <v>1</v>
      </c>
      <c r="H320" s="14" t="s">
        <v>1372</v>
      </c>
      <c r="I320" s="13">
        <v>22</v>
      </c>
      <c r="J320" s="15" t="s">
        <v>1421</v>
      </c>
      <c r="K320" s="15" t="s">
        <v>2708</v>
      </c>
      <c r="L320" s="16">
        <v>7905.4249999999993</v>
      </c>
      <c r="M320" s="16">
        <v>12481.641500000002</v>
      </c>
      <c r="N320" s="16"/>
      <c r="O320" s="16"/>
      <c r="P320" s="16"/>
      <c r="Q320" s="16">
        <f>SUM(Tabela1[[#This Row],[201805]:[201807]])</f>
        <v>20387.066500000001</v>
      </c>
      <c r="R320" s="16">
        <f>SUM(Tabela1[[#This Row],[201905]:[201906]])</f>
        <v>0</v>
      </c>
      <c r="S320" s="16">
        <v>100000</v>
      </c>
      <c r="T320" s="16">
        <f>Tabela1[[#This Row],[Total 2019]]-Tabela1[[#This Row],[Total 2018]]</f>
        <v>-20387.066500000001</v>
      </c>
      <c r="U320" s="40">
        <f>Tabela1[[#This Row],[Total 2019]]/Tabela1[[#This Row],[Meta]]</f>
        <v>0</v>
      </c>
      <c r="V320" s="17">
        <f>IFERROR(Tabela1[[#This Row],[Total 2019]]/Tabela1[[#This Row],[Total 2018]]-1,0)</f>
        <v>-1</v>
      </c>
      <c r="W32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20" s="48"/>
      <c r="Y320" s="19"/>
      <c r="Z320" s="68"/>
    </row>
    <row r="321" spans="3:26" x14ac:dyDescent="0.35">
      <c r="C321" s="11" t="s">
        <v>2704</v>
      </c>
      <c r="D321" s="12" t="s">
        <v>2699</v>
      </c>
      <c r="E321" s="12">
        <v>310</v>
      </c>
      <c r="F321" s="13" t="s">
        <v>1757</v>
      </c>
      <c r="G321" s="14">
        <v>3</v>
      </c>
      <c r="H321" s="14" t="s">
        <v>1370</v>
      </c>
      <c r="I321" s="13">
        <v>32</v>
      </c>
      <c r="J321" s="15" t="s">
        <v>1431</v>
      </c>
      <c r="K321" s="15" t="s">
        <v>2706</v>
      </c>
      <c r="L321" s="16"/>
      <c r="M321" s="16">
        <v>7749.8815000000004</v>
      </c>
      <c r="N321" s="16">
        <v>1242.98</v>
      </c>
      <c r="O321" s="16"/>
      <c r="P321" s="16"/>
      <c r="Q321" s="16">
        <f>SUM(Tabela1[[#This Row],[201805]:[201807]])</f>
        <v>8992.8615000000009</v>
      </c>
      <c r="R321" s="16">
        <f>SUM(Tabela1[[#This Row],[201905]:[201906]])</f>
        <v>0</v>
      </c>
      <c r="S321" s="16">
        <v>100000</v>
      </c>
      <c r="T321" s="16">
        <f>Tabela1[[#This Row],[Total 2019]]-Tabela1[[#This Row],[Total 2018]]</f>
        <v>-8992.8615000000009</v>
      </c>
      <c r="U321" s="40">
        <f>Tabela1[[#This Row],[Total 2019]]/Tabela1[[#This Row],[Meta]]</f>
        <v>0</v>
      </c>
      <c r="V321" s="17">
        <f>IFERROR(Tabela1[[#This Row],[Total 2019]]/Tabela1[[#This Row],[Total 2018]]-1,0)</f>
        <v>-1</v>
      </c>
      <c r="W32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21" s="48"/>
      <c r="Y321" s="19"/>
      <c r="Z321" s="68"/>
    </row>
    <row r="322" spans="3:26" x14ac:dyDescent="0.35">
      <c r="C322" s="11" t="s">
        <v>2703</v>
      </c>
      <c r="D322" s="12" t="s">
        <v>2699</v>
      </c>
      <c r="E322" s="12">
        <v>311</v>
      </c>
      <c r="F322" s="13" t="s">
        <v>1758</v>
      </c>
      <c r="G322" s="14">
        <v>2</v>
      </c>
      <c r="H322" s="14" t="s">
        <v>1372</v>
      </c>
      <c r="I322" s="13">
        <v>16</v>
      </c>
      <c r="J322" s="15" t="s">
        <v>1415</v>
      </c>
      <c r="K322" s="15" t="s">
        <v>2708</v>
      </c>
      <c r="L322" s="16">
        <v>2637.7794999999996</v>
      </c>
      <c r="M322" s="16">
        <v>4615.7459999999992</v>
      </c>
      <c r="N322" s="16">
        <v>1768.1305</v>
      </c>
      <c r="O322" s="16"/>
      <c r="P322" s="16"/>
      <c r="Q322" s="16">
        <f>SUM(Tabela1[[#This Row],[201805]:[201807]])</f>
        <v>9021.655999999999</v>
      </c>
      <c r="R322" s="16">
        <f>SUM(Tabela1[[#This Row],[201905]:[201906]])</f>
        <v>0</v>
      </c>
      <c r="S322" s="16">
        <v>100000</v>
      </c>
      <c r="T322" s="16">
        <f>Tabela1[[#This Row],[Total 2019]]-Tabela1[[#This Row],[Total 2018]]</f>
        <v>-9021.655999999999</v>
      </c>
      <c r="U322" s="40">
        <f>Tabela1[[#This Row],[Total 2019]]/Tabela1[[#This Row],[Meta]]</f>
        <v>0</v>
      </c>
      <c r="V322" s="17">
        <f>IFERROR(Tabela1[[#This Row],[Total 2019]]/Tabela1[[#This Row],[Total 2018]]-1,0)</f>
        <v>-1</v>
      </c>
      <c r="W32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22" s="48"/>
      <c r="Y322" s="19"/>
      <c r="Z322" s="68"/>
    </row>
    <row r="323" spans="3:26" x14ac:dyDescent="0.35">
      <c r="C323" s="11" t="s">
        <v>2702</v>
      </c>
      <c r="D323" s="12" t="s">
        <v>2699</v>
      </c>
      <c r="E323" s="12">
        <v>311</v>
      </c>
      <c r="F323" s="13" t="s">
        <v>1758</v>
      </c>
      <c r="G323" s="14">
        <v>3</v>
      </c>
      <c r="H323" s="14" t="s">
        <v>1372</v>
      </c>
      <c r="I323" s="13">
        <v>16</v>
      </c>
      <c r="J323" s="15" t="s">
        <v>1415</v>
      </c>
      <c r="K323" s="15" t="s">
        <v>2708</v>
      </c>
      <c r="L323" s="16"/>
      <c r="M323" s="16"/>
      <c r="N323" s="16"/>
      <c r="O323" s="16">
        <v>6059.29</v>
      </c>
      <c r="P323" s="16">
        <v>3211.4465</v>
      </c>
      <c r="Q323" s="16">
        <f>SUM(Tabela1[[#This Row],[201805]:[201807]])</f>
        <v>0</v>
      </c>
      <c r="R323" s="16">
        <f>SUM(Tabela1[[#This Row],[201905]:[201906]])</f>
        <v>9270.7364999999991</v>
      </c>
      <c r="S323" s="16">
        <v>100000</v>
      </c>
      <c r="T323" s="16">
        <f>Tabela1[[#This Row],[Total 2019]]-Tabela1[[#This Row],[Total 2018]]</f>
        <v>9270.7364999999991</v>
      </c>
      <c r="U323" s="40">
        <f>Tabela1[[#This Row],[Total 2019]]/Tabela1[[#This Row],[Meta]]</f>
        <v>9.2707364999999986E-2</v>
      </c>
      <c r="V323" s="17">
        <f>IFERROR(Tabela1[[#This Row],[Total 2019]]/Tabela1[[#This Row],[Total 2018]]-1,0)</f>
        <v>0</v>
      </c>
      <c r="W32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323" s="48"/>
      <c r="Y323" s="19"/>
      <c r="Z323" s="68"/>
    </row>
    <row r="324" spans="3:26" x14ac:dyDescent="0.35">
      <c r="C324" s="11" t="s">
        <v>2703</v>
      </c>
      <c r="D324" s="12" t="s">
        <v>2700</v>
      </c>
      <c r="E324" s="12">
        <v>312</v>
      </c>
      <c r="F324" s="13" t="s">
        <v>1759</v>
      </c>
      <c r="G324" s="14">
        <v>1</v>
      </c>
      <c r="H324" s="14" t="s">
        <v>1370</v>
      </c>
      <c r="I324" s="13">
        <v>11</v>
      </c>
      <c r="J324" s="15" t="s">
        <v>1410</v>
      </c>
      <c r="K324" s="15" t="s">
        <v>2706</v>
      </c>
      <c r="L324" s="16"/>
      <c r="M324" s="16">
        <v>1891.184</v>
      </c>
      <c r="N324" s="16"/>
      <c r="O324" s="16"/>
      <c r="P324" s="16"/>
      <c r="Q324" s="16">
        <f>SUM(Tabela1[[#This Row],[201805]:[201807]])</f>
        <v>1891.184</v>
      </c>
      <c r="R324" s="16">
        <f>SUM(Tabela1[[#This Row],[201905]:[201906]])</f>
        <v>0</v>
      </c>
      <c r="S324" s="16">
        <v>100000</v>
      </c>
      <c r="T324" s="16">
        <f>Tabela1[[#This Row],[Total 2019]]-Tabela1[[#This Row],[Total 2018]]</f>
        <v>-1891.184</v>
      </c>
      <c r="U324" s="40">
        <f>Tabela1[[#This Row],[Total 2019]]/Tabela1[[#This Row],[Meta]]</f>
        <v>0</v>
      </c>
      <c r="V324" s="17">
        <f>IFERROR(Tabela1[[#This Row],[Total 2019]]/Tabela1[[#This Row],[Total 2018]]-1,0)</f>
        <v>-1</v>
      </c>
      <c r="W32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24" s="48"/>
      <c r="Y324" s="19"/>
      <c r="Z324" s="68"/>
    </row>
    <row r="325" spans="3:26" x14ac:dyDescent="0.35">
      <c r="C325" s="11" t="s">
        <v>2704</v>
      </c>
      <c r="D325" s="12" t="s">
        <v>2699</v>
      </c>
      <c r="E325" s="12">
        <v>313</v>
      </c>
      <c r="F325" s="13" t="s">
        <v>1760</v>
      </c>
      <c r="G325" s="14">
        <v>2</v>
      </c>
      <c r="H325" s="14" t="s">
        <v>1370</v>
      </c>
      <c r="I325" s="13">
        <v>1</v>
      </c>
      <c r="J325" s="15" t="s">
        <v>1400</v>
      </c>
      <c r="K325" s="15" t="s">
        <v>2706</v>
      </c>
      <c r="L325" s="16"/>
      <c r="M325" s="16"/>
      <c r="N325" s="16"/>
      <c r="O325" s="16">
        <v>1385.0524999999998</v>
      </c>
      <c r="P325" s="16">
        <v>1935.5585000000001</v>
      </c>
      <c r="Q325" s="16">
        <f>SUM(Tabela1[[#This Row],[201805]:[201807]])</f>
        <v>0</v>
      </c>
      <c r="R325" s="16">
        <f>SUM(Tabela1[[#This Row],[201905]:[201906]])</f>
        <v>3320.6109999999999</v>
      </c>
      <c r="S325" s="16">
        <v>100000</v>
      </c>
      <c r="T325" s="16">
        <f>Tabela1[[#This Row],[Total 2019]]-Tabela1[[#This Row],[Total 2018]]</f>
        <v>3320.6109999999999</v>
      </c>
      <c r="U325" s="40">
        <f>Tabela1[[#This Row],[Total 2019]]/Tabela1[[#This Row],[Meta]]</f>
        <v>3.3206109999999997E-2</v>
      </c>
      <c r="V325" s="17">
        <f>IFERROR(Tabela1[[#This Row],[Total 2019]]/Tabela1[[#This Row],[Total 2018]]-1,0)</f>
        <v>0</v>
      </c>
      <c r="W32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325" s="48"/>
      <c r="Y325" s="19"/>
      <c r="Z325" s="68"/>
    </row>
    <row r="326" spans="3:26" x14ac:dyDescent="0.35">
      <c r="C326" s="11" t="s">
        <v>2703</v>
      </c>
      <c r="D326" s="12" t="s">
        <v>2699</v>
      </c>
      <c r="E326" s="12">
        <v>314</v>
      </c>
      <c r="F326" s="13" t="s">
        <v>1761</v>
      </c>
      <c r="G326" s="14">
        <v>1</v>
      </c>
      <c r="H326" s="14" t="s">
        <v>1370</v>
      </c>
      <c r="I326" s="13">
        <v>29</v>
      </c>
      <c r="J326" s="15" t="s">
        <v>1428</v>
      </c>
      <c r="K326" s="15" t="s">
        <v>2706</v>
      </c>
      <c r="L326" s="16">
        <v>3155.9474999999998</v>
      </c>
      <c r="M326" s="16">
        <v>1860.3660000000002</v>
      </c>
      <c r="N326" s="16"/>
      <c r="O326" s="16"/>
      <c r="P326" s="16"/>
      <c r="Q326" s="16">
        <f>SUM(Tabela1[[#This Row],[201805]:[201807]])</f>
        <v>5016.3135000000002</v>
      </c>
      <c r="R326" s="16">
        <f>SUM(Tabela1[[#This Row],[201905]:[201906]])</f>
        <v>0</v>
      </c>
      <c r="S326" s="16">
        <v>100000</v>
      </c>
      <c r="T326" s="16">
        <f>Tabela1[[#This Row],[Total 2019]]-Tabela1[[#This Row],[Total 2018]]</f>
        <v>-5016.3135000000002</v>
      </c>
      <c r="U326" s="40">
        <f>Tabela1[[#This Row],[Total 2019]]/Tabela1[[#This Row],[Meta]]</f>
        <v>0</v>
      </c>
      <c r="V326" s="17">
        <f>IFERROR(Tabela1[[#This Row],[Total 2019]]/Tabela1[[#This Row],[Total 2018]]-1,0)</f>
        <v>-1</v>
      </c>
      <c r="W32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26" s="48"/>
      <c r="Y326" s="19"/>
      <c r="Z326" s="68"/>
    </row>
    <row r="327" spans="3:26" x14ac:dyDescent="0.35">
      <c r="C327" s="11" t="s">
        <v>2702</v>
      </c>
      <c r="D327" s="12" t="s">
        <v>2698</v>
      </c>
      <c r="E327" s="12">
        <v>315</v>
      </c>
      <c r="F327" s="13" t="s">
        <v>1762</v>
      </c>
      <c r="G327" s="14">
        <v>2</v>
      </c>
      <c r="H327" s="14" t="s">
        <v>1370</v>
      </c>
      <c r="I327" s="13">
        <v>29</v>
      </c>
      <c r="J327" s="15" t="s">
        <v>1428</v>
      </c>
      <c r="K327" s="15" t="s">
        <v>2706</v>
      </c>
      <c r="L327" s="16">
        <v>4537.4565000000002</v>
      </c>
      <c r="M327" s="16">
        <v>2885.8434999999999</v>
      </c>
      <c r="N327" s="16"/>
      <c r="O327" s="16"/>
      <c r="P327" s="16"/>
      <c r="Q327" s="16">
        <f>SUM(Tabela1[[#This Row],[201805]:[201807]])</f>
        <v>7423.3</v>
      </c>
      <c r="R327" s="16">
        <f>SUM(Tabela1[[#This Row],[201905]:[201906]])</f>
        <v>0</v>
      </c>
      <c r="S327" s="16">
        <v>100000</v>
      </c>
      <c r="T327" s="16">
        <f>Tabela1[[#This Row],[Total 2019]]-Tabela1[[#This Row],[Total 2018]]</f>
        <v>-7423.3</v>
      </c>
      <c r="U327" s="40">
        <f>Tabela1[[#This Row],[Total 2019]]/Tabela1[[#This Row],[Meta]]</f>
        <v>0</v>
      </c>
      <c r="V327" s="17">
        <f>IFERROR(Tabela1[[#This Row],[Total 2019]]/Tabela1[[#This Row],[Total 2018]]-1,0)</f>
        <v>-1</v>
      </c>
      <c r="W32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27" s="48"/>
      <c r="Y327" s="19"/>
      <c r="Z327" s="68"/>
    </row>
    <row r="328" spans="3:26" x14ac:dyDescent="0.35">
      <c r="C328" s="11" t="s">
        <v>2703</v>
      </c>
      <c r="D328" s="12" t="s">
        <v>2699</v>
      </c>
      <c r="E328" s="12">
        <v>316</v>
      </c>
      <c r="F328" s="13" t="s">
        <v>1763</v>
      </c>
      <c r="G328" s="14">
        <v>1</v>
      </c>
      <c r="H328" s="14" t="s">
        <v>1371</v>
      </c>
      <c r="I328" s="13">
        <v>5</v>
      </c>
      <c r="J328" s="15" t="s">
        <v>1404</v>
      </c>
      <c r="K328" s="15" t="s">
        <v>2707</v>
      </c>
      <c r="L328" s="16">
        <v>3237.4290000000001</v>
      </c>
      <c r="M328" s="16">
        <v>423.84250000000003</v>
      </c>
      <c r="N328" s="16"/>
      <c r="O328" s="16"/>
      <c r="P328" s="16"/>
      <c r="Q328" s="16">
        <f>SUM(Tabela1[[#This Row],[201805]:[201807]])</f>
        <v>3661.2715000000003</v>
      </c>
      <c r="R328" s="16">
        <f>SUM(Tabela1[[#This Row],[201905]:[201906]])</f>
        <v>0</v>
      </c>
      <c r="S328" s="16">
        <v>100000</v>
      </c>
      <c r="T328" s="16">
        <f>Tabela1[[#This Row],[Total 2019]]-Tabela1[[#This Row],[Total 2018]]</f>
        <v>-3661.2715000000003</v>
      </c>
      <c r="U328" s="40">
        <f>Tabela1[[#This Row],[Total 2019]]/Tabela1[[#This Row],[Meta]]</f>
        <v>0</v>
      </c>
      <c r="V328" s="17">
        <f>IFERROR(Tabela1[[#This Row],[Total 2019]]/Tabela1[[#This Row],[Total 2018]]-1,0)</f>
        <v>-1</v>
      </c>
      <c r="W32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28" s="48"/>
      <c r="Y328" s="19"/>
      <c r="Z328" s="68"/>
    </row>
    <row r="329" spans="3:26" x14ac:dyDescent="0.35">
      <c r="C329" s="11" t="s">
        <v>2703</v>
      </c>
      <c r="D329" s="12" t="s">
        <v>2698</v>
      </c>
      <c r="E329" s="12">
        <v>317</v>
      </c>
      <c r="F329" s="13" t="s">
        <v>1764</v>
      </c>
      <c r="G329" s="14">
        <v>1</v>
      </c>
      <c r="H329" s="14" t="s">
        <v>1372</v>
      </c>
      <c r="I329" s="13">
        <v>6</v>
      </c>
      <c r="J329" s="15" t="s">
        <v>1405</v>
      </c>
      <c r="K329" s="15" t="s">
        <v>2708</v>
      </c>
      <c r="L329" s="16"/>
      <c r="M329" s="16"/>
      <c r="N329" s="16"/>
      <c r="O329" s="16">
        <v>4764.7534999999998</v>
      </c>
      <c r="P329" s="16"/>
      <c r="Q329" s="16">
        <f>SUM(Tabela1[[#This Row],[201805]:[201807]])</f>
        <v>0</v>
      </c>
      <c r="R329" s="16">
        <f>SUM(Tabela1[[#This Row],[201905]:[201906]])</f>
        <v>4764.7534999999998</v>
      </c>
      <c r="S329" s="16">
        <v>100000</v>
      </c>
      <c r="T329" s="16">
        <f>Tabela1[[#This Row],[Total 2019]]-Tabela1[[#This Row],[Total 2018]]</f>
        <v>4764.7534999999998</v>
      </c>
      <c r="U329" s="40">
        <f>Tabela1[[#This Row],[Total 2019]]/Tabela1[[#This Row],[Meta]]</f>
        <v>4.7647534999999998E-2</v>
      </c>
      <c r="V329" s="17">
        <f>IFERROR(Tabela1[[#This Row],[Total 2019]]/Tabela1[[#This Row],[Total 2018]]-1,0)</f>
        <v>0</v>
      </c>
      <c r="W32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329" s="48"/>
      <c r="Y329" s="19"/>
      <c r="Z329" s="68"/>
    </row>
    <row r="330" spans="3:26" x14ac:dyDescent="0.35">
      <c r="C330" s="11" t="s">
        <v>2703</v>
      </c>
      <c r="D330" s="12" t="s">
        <v>2700</v>
      </c>
      <c r="E330" s="12">
        <v>318</v>
      </c>
      <c r="F330" s="13" t="s">
        <v>1765</v>
      </c>
      <c r="G330" s="14">
        <v>3</v>
      </c>
      <c r="H330" s="14" t="s">
        <v>1372</v>
      </c>
      <c r="I330" s="13">
        <v>25</v>
      </c>
      <c r="J330" s="15" t="s">
        <v>1424</v>
      </c>
      <c r="K330" s="15" t="s">
        <v>2708</v>
      </c>
      <c r="L330" s="16">
        <v>2224.8144999999995</v>
      </c>
      <c r="M330" s="16">
        <v>6213.3514999999998</v>
      </c>
      <c r="N330" s="16">
        <v>1958.8240000000001</v>
      </c>
      <c r="O330" s="16">
        <v>11096.057000000001</v>
      </c>
      <c r="P330" s="16">
        <v>2166.3609999999999</v>
      </c>
      <c r="Q330" s="16">
        <f>SUM(Tabela1[[#This Row],[201805]:[201807]])</f>
        <v>10396.99</v>
      </c>
      <c r="R330" s="16">
        <f>SUM(Tabela1[[#This Row],[201905]:[201906]])</f>
        <v>13262.418000000001</v>
      </c>
      <c r="S330" s="16">
        <v>100000</v>
      </c>
      <c r="T330" s="16">
        <f>Tabela1[[#This Row],[Total 2019]]-Tabela1[[#This Row],[Total 2018]]</f>
        <v>2865.4280000000017</v>
      </c>
      <c r="U330" s="40">
        <f>Tabela1[[#This Row],[Total 2019]]/Tabela1[[#This Row],[Meta]]</f>
        <v>0.13262418000000001</v>
      </c>
      <c r="V330" s="17">
        <f>IFERROR(Tabela1[[#This Row],[Total 2019]]/Tabela1[[#This Row],[Total 2018]]-1,0)</f>
        <v>0.27560168856563316</v>
      </c>
      <c r="W33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330" s="48"/>
      <c r="Y330" s="19"/>
      <c r="Z330" s="68"/>
    </row>
    <row r="331" spans="3:26" x14ac:dyDescent="0.35">
      <c r="C331" s="11" t="s">
        <v>2702</v>
      </c>
      <c r="D331" s="12" t="s">
        <v>2700</v>
      </c>
      <c r="E331" s="12">
        <v>319</v>
      </c>
      <c r="F331" s="13" t="s">
        <v>1766</v>
      </c>
      <c r="G331" s="14">
        <v>1</v>
      </c>
      <c r="H331" s="14" t="s">
        <v>1372</v>
      </c>
      <c r="I331" s="13">
        <v>17</v>
      </c>
      <c r="J331" s="15" t="s">
        <v>1416</v>
      </c>
      <c r="K331" s="15" t="s">
        <v>2708</v>
      </c>
      <c r="L331" s="16">
        <v>4295.8050000000003</v>
      </c>
      <c r="M331" s="16">
        <v>1779.6254999999999</v>
      </c>
      <c r="N331" s="16"/>
      <c r="O331" s="16"/>
      <c r="P331" s="16"/>
      <c r="Q331" s="16">
        <f>SUM(Tabela1[[#This Row],[201805]:[201807]])</f>
        <v>6075.4305000000004</v>
      </c>
      <c r="R331" s="16">
        <f>SUM(Tabela1[[#This Row],[201905]:[201906]])</f>
        <v>0</v>
      </c>
      <c r="S331" s="16">
        <v>100000</v>
      </c>
      <c r="T331" s="16">
        <f>Tabela1[[#This Row],[Total 2019]]-Tabela1[[#This Row],[Total 2018]]</f>
        <v>-6075.4305000000004</v>
      </c>
      <c r="U331" s="40">
        <f>Tabela1[[#This Row],[Total 2019]]/Tabela1[[#This Row],[Meta]]</f>
        <v>0</v>
      </c>
      <c r="V331" s="17">
        <f>IFERROR(Tabela1[[#This Row],[Total 2019]]/Tabela1[[#This Row],[Total 2018]]-1,0)</f>
        <v>-1</v>
      </c>
      <c r="W33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31" s="48"/>
      <c r="Y331" s="19"/>
      <c r="Z331" s="68"/>
    </row>
    <row r="332" spans="3:26" x14ac:dyDescent="0.35">
      <c r="C332" s="11" t="s">
        <v>2702</v>
      </c>
      <c r="D332" s="12" t="s">
        <v>2698</v>
      </c>
      <c r="E332" s="12">
        <v>320</v>
      </c>
      <c r="F332" s="13" t="s">
        <v>1767</v>
      </c>
      <c r="G332" s="14">
        <v>3</v>
      </c>
      <c r="H332" s="14" t="s">
        <v>1371</v>
      </c>
      <c r="I332" s="13">
        <v>14</v>
      </c>
      <c r="J332" s="15" t="s">
        <v>1413</v>
      </c>
      <c r="K332" s="15" t="s">
        <v>2707</v>
      </c>
      <c r="L332" s="16"/>
      <c r="M332" s="16">
        <v>3167.2904999999996</v>
      </c>
      <c r="N332" s="16"/>
      <c r="O332" s="16"/>
      <c r="P332" s="16"/>
      <c r="Q332" s="16">
        <f>SUM(Tabela1[[#This Row],[201805]:[201807]])</f>
        <v>3167.2904999999996</v>
      </c>
      <c r="R332" s="16">
        <f>SUM(Tabela1[[#This Row],[201905]:[201906]])</f>
        <v>0</v>
      </c>
      <c r="S332" s="16">
        <v>100000</v>
      </c>
      <c r="T332" s="16">
        <f>Tabela1[[#This Row],[Total 2019]]-Tabela1[[#This Row],[Total 2018]]</f>
        <v>-3167.2904999999996</v>
      </c>
      <c r="U332" s="40">
        <f>Tabela1[[#This Row],[Total 2019]]/Tabela1[[#This Row],[Meta]]</f>
        <v>0</v>
      </c>
      <c r="V332" s="17">
        <f>IFERROR(Tabela1[[#This Row],[Total 2019]]/Tabela1[[#This Row],[Total 2018]]-1,0)</f>
        <v>-1</v>
      </c>
      <c r="W33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32" s="48"/>
      <c r="Y332" s="19"/>
      <c r="Z332" s="68"/>
    </row>
    <row r="333" spans="3:26" x14ac:dyDescent="0.35">
      <c r="C333" s="11" t="s">
        <v>2702</v>
      </c>
      <c r="D333" s="12" t="s">
        <v>2699</v>
      </c>
      <c r="E333" s="12">
        <v>321</v>
      </c>
      <c r="F333" s="13" t="s">
        <v>1768</v>
      </c>
      <c r="G333" s="14">
        <v>1</v>
      </c>
      <c r="H333" s="14" t="s">
        <v>1373</v>
      </c>
      <c r="I333" s="13">
        <v>28</v>
      </c>
      <c r="J333" s="15" t="s">
        <v>1427</v>
      </c>
      <c r="K333" s="15" t="s">
        <v>2710</v>
      </c>
      <c r="L333" s="16"/>
      <c r="M333" s="16"/>
      <c r="N333" s="16"/>
      <c r="O333" s="16">
        <v>1972.5324999999998</v>
      </c>
      <c r="P333" s="16">
        <v>7809.0285000000003</v>
      </c>
      <c r="Q333" s="16">
        <f>SUM(Tabela1[[#This Row],[201805]:[201807]])</f>
        <v>0</v>
      </c>
      <c r="R333" s="16">
        <f>SUM(Tabela1[[#This Row],[201905]:[201906]])</f>
        <v>9781.5609999999997</v>
      </c>
      <c r="S333" s="16">
        <v>100000</v>
      </c>
      <c r="T333" s="16">
        <f>Tabela1[[#This Row],[Total 2019]]-Tabela1[[#This Row],[Total 2018]]</f>
        <v>9781.5609999999997</v>
      </c>
      <c r="U333" s="40">
        <f>Tabela1[[#This Row],[Total 2019]]/Tabela1[[#This Row],[Meta]]</f>
        <v>9.7815609999999997E-2</v>
      </c>
      <c r="V333" s="17">
        <f>IFERROR(Tabela1[[#This Row],[Total 2019]]/Tabela1[[#This Row],[Total 2018]]-1,0)</f>
        <v>0</v>
      </c>
      <c r="W33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333" s="48"/>
      <c r="Y333" s="19"/>
      <c r="Z333" s="68"/>
    </row>
    <row r="334" spans="3:26" x14ac:dyDescent="0.35">
      <c r="C334" s="11" t="s">
        <v>2703</v>
      </c>
      <c r="D334" s="12" t="s">
        <v>2700</v>
      </c>
      <c r="E334" s="12">
        <v>322</v>
      </c>
      <c r="F334" s="13" t="s">
        <v>1769</v>
      </c>
      <c r="G334" s="14">
        <v>2</v>
      </c>
      <c r="H334" s="14" t="s">
        <v>1372</v>
      </c>
      <c r="I334" s="13">
        <v>25</v>
      </c>
      <c r="J334" s="15" t="s">
        <v>1424</v>
      </c>
      <c r="K334" s="15" t="s">
        <v>2708</v>
      </c>
      <c r="L334" s="16">
        <v>1528.6924999999999</v>
      </c>
      <c r="M334" s="16">
        <v>2179.7939999999999</v>
      </c>
      <c r="N334" s="16">
        <v>813.76049999999998</v>
      </c>
      <c r="O334" s="16"/>
      <c r="P334" s="16"/>
      <c r="Q334" s="16">
        <f>SUM(Tabela1[[#This Row],[201805]:[201807]])</f>
        <v>4522.2470000000003</v>
      </c>
      <c r="R334" s="16">
        <f>SUM(Tabela1[[#This Row],[201905]:[201906]])</f>
        <v>0</v>
      </c>
      <c r="S334" s="16">
        <v>100000</v>
      </c>
      <c r="T334" s="16">
        <f>Tabela1[[#This Row],[Total 2019]]-Tabela1[[#This Row],[Total 2018]]</f>
        <v>-4522.2470000000003</v>
      </c>
      <c r="U334" s="40">
        <f>Tabela1[[#This Row],[Total 2019]]/Tabela1[[#This Row],[Meta]]</f>
        <v>0</v>
      </c>
      <c r="V334" s="17">
        <f>IFERROR(Tabela1[[#This Row],[Total 2019]]/Tabela1[[#This Row],[Total 2018]]-1,0)</f>
        <v>-1</v>
      </c>
      <c r="W33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34" s="48"/>
      <c r="Y334" s="19"/>
      <c r="Z334" s="68"/>
    </row>
    <row r="335" spans="3:26" x14ac:dyDescent="0.35">
      <c r="C335" s="11" t="s">
        <v>2704</v>
      </c>
      <c r="D335" s="12" t="s">
        <v>2699</v>
      </c>
      <c r="E335" s="12">
        <v>323</v>
      </c>
      <c r="F335" s="13" t="s">
        <v>1770</v>
      </c>
      <c r="G335" s="14">
        <v>2</v>
      </c>
      <c r="H335" s="14" t="s">
        <v>1372</v>
      </c>
      <c r="I335" s="13">
        <v>27</v>
      </c>
      <c r="J335" s="15" t="s">
        <v>1426</v>
      </c>
      <c r="K335" s="15" t="s">
        <v>2708</v>
      </c>
      <c r="L335" s="16">
        <v>1379.3335</v>
      </c>
      <c r="M335" s="16">
        <v>4188.9394999999995</v>
      </c>
      <c r="N335" s="16">
        <v>1510.443</v>
      </c>
      <c r="O335" s="16"/>
      <c r="P335" s="16"/>
      <c r="Q335" s="16">
        <f>SUM(Tabela1[[#This Row],[201805]:[201807]])</f>
        <v>7078.7159999999994</v>
      </c>
      <c r="R335" s="16">
        <f>SUM(Tabela1[[#This Row],[201905]:[201906]])</f>
        <v>0</v>
      </c>
      <c r="S335" s="16">
        <v>100000</v>
      </c>
      <c r="T335" s="16">
        <f>Tabela1[[#This Row],[Total 2019]]-Tabela1[[#This Row],[Total 2018]]</f>
        <v>-7078.7159999999994</v>
      </c>
      <c r="U335" s="40">
        <f>Tabela1[[#This Row],[Total 2019]]/Tabela1[[#This Row],[Meta]]</f>
        <v>0</v>
      </c>
      <c r="V335" s="17">
        <f>IFERROR(Tabela1[[#This Row],[Total 2019]]/Tabela1[[#This Row],[Total 2018]]-1,0)</f>
        <v>-1</v>
      </c>
      <c r="W33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35" s="48"/>
      <c r="Y335" s="19"/>
      <c r="Z335" s="68"/>
    </row>
    <row r="336" spans="3:26" x14ac:dyDescent="0.35">
      <c r="C336" s="11" t="s">
        <v>2702</v>
      </c>
      <c r="D336" s="12" t="s">
        <v>2698</v>
      </c>
      <c r="E336" s="12">
        <v>324</v>
      </c>
      <c r="F336" s="13" t="s">
        <v>1771</v>
      </c>
      <c r="G336" s="14">
        <v>3</v>
      </c>
      <c r="H336" s="14" t="s">
        <v>1372</v>
      </c>
      <c r="I336" s="13">
        <v>21</v>
      </c>
      <c r="J336" s="15" t="s">
        <v>1420</v>
      </c>
      <c r="K336" s="15" t="s">
        <v>2708</v>
      </c>
      <c r="L336" s="16">
        <v>743.57449999999994</v>
      </c>
      <c r="M336" s="16">
        <v>1458.402</v>
      </c>
      <c r="N336" s="16">
        <v>754.39499999999998</v>
      </c>
      <c r="O336" s="16"/>
      <c r="P336" s="16"/>
      <c r="Q336" s="16">
        <f>SUM(Tabela1[[#This Row],[201805]:[201807]])</f>
        <v>2956.3714999999997</v>
      </c>
      <c r="R336" s="16">
        <f>SUM(Tabela1[[#This Row],[201905]:[201906]])</f>
        <v>0</v>
      </c>
      <c r="S336" s="16">
        <v>100000</v>
      </c>
      <c r="T336" s="16">
        <f>Tabela1[[#This Row],[Total 2019]]-Tabela1[[#This Row],[Total 2018]]</f>
        <v>-2956.3714999999997</v>
      </c>
      <c r="U336" s="40">
        <f>Tabela1[[#This Row],[Total 2019]]/Tabela1[[#This Row],[Meta]]</f>
        <v>0</v>
      </c>
      <c r="V336" s="17">
        <f>IFERROR(Tabela1[[#This Row],[Total 2019]]/Tabela1[[#This Row],[Total 2018]]-1,0)</f>
        <v>-1</v>
      </c>
      <c r="W33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36" s="48"/>
      <c r="Y336" s="19"/>
      <c r="Z336" s="68"/>
    </row>
    <row r="337" spans="3:26" x14ac:dyDescent="0.35">
      <c r="C337" s="11" t="s">
        <v>2704</v>
      </c>
      <c r="D337" s="12" t="s">
        <v>2699</v>
      </c>
      <c r="E337" s="12">
        <v>325</v>
      </c>
      <c r="F337" s="13" t="s">
        <v>1772</v>
      </c>
      <c r="G337" s="14">
        <v>2</v>
      </c>
      <c r="H337" s="14" t="s">
        <v>1372</v>
      </c>
      <c r="I337" s="13">
        <v>6</v>
      </c>
      <c r="J337" s="15" t="s">
        <v>1405</v>
      </c>
      <c r="K337" s="15" t="s">
        <v>2708</v>
      </c>
      <c r="L337" s="16">
        <v>1095.9769999999999</v>
      </c>
      <c r="M337" s="16">
        <v>1976.076</v>
      </c>
      <c r="N337" s="16">
        <v>1589.692</v>
      </c>
      <c r="O337" s="16">
        <v>2720.895</v>
      </c>
      <c r="P337" s="16"/>
      <c r="Q337" s="16">
        <f>SUM(Tabela1[[#This Row],[201805]:[201807]])</f>
        <v>4661.7449999999999</v>
      </c>
      <c r="R337" s="16">
        <f>SUM(Tabela1[[#This Row],[201905]:[201906]])</f>
        <v>2720.895</v>
      </c>
      <c r="S337" s="16">
        <v>100000</v>
      </c>
      <c r="T337" s="16">
        <f>Tabela1[[#This Row],[Total 2019]]-Tabela1[[#This Row],[Total 2018]]</f>
        <v>-1940.85</v>
      </c>
      <c r="U337" s="40">
        <f>Tabela1[[#This Row],[Total 2019]]/Tabela1[[#This Row],[Meta]]</f>
        <v>2.7208949999999999E-2</v>
      </c>
      <c r="V337" s="17">
        <f>IFERROR(Tabela1[[#This Row],[Total 2019]]/Tabela1[[#This Row],[Total 2018]]-1,0)</f>
        <v>-0.41633551384728251</v>
      </c>
      <c r="W33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337" s="48"/>
      <c r="Y337" s="19"/>
      <c r="Z337" s="68"/>
    </row>
    <row r="338" spans="3:26" x14ac:dyDescent="0.35">
      <c r="C338" s="11" t="s">
        <v>2704</v>
      </c>
      <c r="D338" s="12" t="s">
        <v>2700</v>
      </c>
      <c r="E338" s="12">
        <v>326</v>
      </c>
      <c r="F338" s="13" t="s">
        <v>1773</v>
      </c>
      <c r="G338" s="14">
        <v>2</v>
      </c>
      <c r="H338" s="14" t="s">
        <v>1371</v>
      </c>
      <c r="I338" s="13">
        <v>9</v>
      </c>
      <c r="J338" s="15" t="s">
        <v>1408</v>
      </c>
      <c r="K338" s="15" t="s">
        <v>2707</v>
      </c>
      <c r="L338" s="16"/>
      <c r="M338" s="16">
        <v>18306.328999999998</v>
      </c>
      <c r="N338" s="16"/>
      <c r="O338" s="16">
        <v>1856.9935</v>
      </c>
      <c r="P338" s="16">
        <v>10325.0085</v>
      </c>
      <c r="Q338" s="16">
        <f>SUM(Tabela1[[#This Row],[201805]:[201807]])</f>
        <v>18306.328999999998</v>
      </c>
      <c r="R338" s="16">
        <f>SUM(Tabela1[[#This Row],[201905]:[201906]])</f>
        <v>12182.002</v>
      </c>
      <c r="S338" s="16">
        <v>100000</v>
      </c>
      <c r="T338" s="16">
        <f>Tabela1[[#This Row],[Total 2019]]-Tabela1[[#This Row],[Total 2018]]</f>
        <v>-6124.3269999999975</v>
      </c>
      <c r="U338" s="40">
        <f>Tabela1[[#This Row],[Total 2019]]/Tabela1[[#This Row],[Meta]]</f>
        <v>0.12182002</v>
      </c>
      <c r="V338" s="17">
        <f>IFERROR(Tabela1[[#This Row],[Total 2019]]/Tabela1[[#This Row],[Total 2018]]-1,0)</f>
        <v>-0.33454697552961044</v>
      </c>
      <c r="W33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338" s="48"/>
      <c r="Y338" s="19"/>
      <c r="Z338" s="68"/>
    </row>
    <row r="339" spans="3:26" x14ac:dyDescent="0.35">
      <c r="C339" s="11" t="s">
        <v>2703</v>
      </c>
      <c r="D339" s="12" t="s">
        <v>2699</v>
      </c>
      <c r="E339" s="12">
        <v>327</v>
      </c>
      <c r="F339" s="13" t="s">
        <v>1774</v>
      </c>
      <c r="G339" s="14">
        <v>2</v>
      </c>
      <c r="H339" s="14" t="s">
        <v>1372</v>
      </c>
      <c r="I339" s="13">
        <v>22</v>
      </c>
      <c r="J339" s="15" t="s">
        <v>1421</v>
      </c>
      <c r="K339" s="15" t="s">
        <v>2708</v>
      </c>
      <c r="L339" s="16">
        <v>3817.29</v>
      </c>
      <c r="M339" s="16">
        <v>7623.6739999999991</v>
      </c>
      <c r="N339" s="16">
        <v>3155.2824999999998</v>
      </c>
      <c r="O339" s="16"/>
      <c r="P339" s="16"/>
      <c r="Q339" s="16">
        <f>SUM(Tabela1[[#This Row],[201805]:[201807]])</f>
        <v>14596.246499999999</v>
      </c>
      <c r="R339" s="16">
        <f>SUM(Tabela1[[#This Row],[201905]:[201906]])</f>
        <v>0</v>
      </c>
      <c r="S339" s="16">
        <v>100000</v>
      </c>
      <c r="T339" s="16">
        <f>Tabela1[[#This Row],[Total 2019]]-Tabela1[[#This Row],[Total 2018]]</f>
        <v>-14596.246499999999</v>
      </c>
      <c r="U339" s="40">
        <f>Tabela1[[#This Row],[Total 2019]]/Tabela1[[#This Row],[Meta]]</f>
        <v>0</v>
      </c>
      <c r="V339" s="17">
        <f>IFERROR(Tabela1[[#This Row],[Total 2019]]/Tabela1[[#This Row],[Total 2018]]-1,0)</f>
        <v>-1</v>
      </c>
      <c r="W33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39" s="48"/>
      <c r="Y339" s="19"/>
      <c r="Z339" s="68"/>
    </row>
    <row r="340" spans="3:26" x14ac:dyDescent="0.35">
      <c r="C340" s="11" t="s">
        <v>2702</v>
      </c>
      <c r="D340" s="12" t="s">
        <v>2698</v>
      </c>
      <c r="E340" s="12">
        <v>327</v>
      </c>
      <c r="F340" s="13" t="s">
        <v>1774</v>
      </c>
      <c r="G340" s="14">
        <v>1</v>
      </c>
      <c r="H340" s="14" t="s">
        <v>1372</v>
      </c>
      <c r="I340" s="13">
        <v>22</v>
      </c>
      <c r="J340" s="15" t="s">
        <v>1421</v>
      </c>
      <c r="K340" s="15" t="s">
        <v>2708</v>
      </c>
      <c r="L340" s="16"/>
      <c r="M340" s="16"/>
      <c r="N340" s="16"/>
      <c r="O340" s="16">
        <v>7842.7819999999992</v>
      </c>
      <c r="P340" s="16">
        <v>5260.3685000000005</v>
      </c>
      <c r="Q340" s="16">
        <f>SUM(Tabela1[[#This Row],[201805]:[201807]])</f>
        <v>0</v>
      </c>
      <c r="R340" s="16">
        <f>SUM(Tabela1[[#This Row],[201905]:[201906]])</f>
        <v>13103.1505</v>
      </c>
      <c r="S340" s="16">
        <v>100000</v>
      </c>
      <c r="T340" s="16">
        <f>Tabela1[[#This Row],[Total 2019]]-Tabela1[[#This Row],[Total 2018]]</f>
        <v>13103.1505</v>
      </c>
      <c r="U340" s="40">
        <f>Tabela1[[#This Row],[Total 2019]]/Tabela1[[#This Row],[Meta]]</f>
        <v>0.13103150499999999</v>
      </c>
      <c r="V340" s="17">
        <f>IFERROR(Tabela1[[#This Row],[Total 2019]]/Tabela1[[#This Row],[Total 2018]]-1,0)</f>
        <v>0</v>
      </c>
      <c r="W34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340" s="48"/>
      <c r="Y340" s="19"/>
      <c r="Z340" s="68"/>
    </row>
    <row r="341" spans="3:26" x14ac:dyDescent="0.35">
      <c r="C341" s="11" t="s">
        <v>2703</v>
      </c>
      <c r="D341" s="12" t="s">
        <v>2698</v>
      </c>
      <c r="E341" s="12">
        <v>328</v>
      </c>
      <c r="F341" s="13" t="s">
        <v>1775</v>
      </c>
      <c r="G341" s="14">
        <v>1</v>
      </c>
      <c r="H341" s="14" t="s">
        <v>1371</v>
      </c>
      <c r="I341" s="13">
        <v>4</v>
      </c>
      <c r="J341" s="15" t="s">
        <v>1403</v>
      </c>
      <c r="K341" s="15" t="s">
        <v>2707</v>
      </c>
      <c r="L341" s="16"/>
      <c r="M341" s="16">
        <v>3083.9659999999999</v>
      </c>
      <c r="N341" s="16">
        <v>2522.212</v>
      </c>
      <c r="O341" s="16"/>
      <c r="P341" s="16"/>
      <c r="Q341" s="16">
        <f>SUM(Tabela1[[#This Row],[201805]:[201807]])</f>
        <v>5606.1779999999999</v>
      </c>
      <c r="R341" s="16">
        <f>SUM(Tabela1[[#This Row],[201905]:[201906]])</f>
        <v>0</v>
      </c>
      <c r="S341" s="16">
        <v>100000</v>
      </c>
      <c r="T341" s="16">
        <f>Tabela1[[#This Row],[Total 2019]]-Tabela1[[#This Row],[Total 2018]]</f>
        <v>-5606.1779999999999</v>
      </c>
      <c r="U341" s="40">
        <f>Tabela1[[#This Row],[Total 2019]]/Tabela1[[#This Row],[Meta]]</f>
        <v>0</v>
      </c>
      <c r="V341" s="17">
        <f>IFERROR(Tabela1[[#This Row],[Total 2019]]/Tabela1[[#This Row],[Total 2018]]-1,0)</f>
        <v>-1</v>
      </c>
      <c r="W34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41" s="48"/>
      <c r="Y341" s="19"/>
      <c r="Z341" s="68"/>
    </row>
    <row r="342" spans="3:26" x14ac:dyDescent="0.35">
      <c r="C342" s="11" t="s">
        <v>2704</v>
      </c>
      <c r="D342" s="12" t="s">
        <v>2700</v>
      </c>
      <c r="E342" s="12">
        <v>329</v>
      </c>
      <c r="F342" s="13" t="s">
        <v>1776</v>
      </c>
      <c r="G342" s="14">
        <v>1</v>
      </c>
      <c r="H342" s="14" t="s">
        <v>1372</v>
      </c>
      <c r="I342" s="13">
        <v>13</v>
      </c>
      <c r="J342" s="15" t="s">
        <v>1412</v>
      </c>
      <c r="K342" s="15" t="s">
        <v>2709</v>
      </c>
      <c r="L342" s="16">
        <v>1543.845</v>
      </c>
      <c r="M342" s="16">
        <v>233.05399999999997</v>
      </c>
      <c r="N342" s="16"/>
      <c r="O342" s="16"/>
      <c r="P342" s="16"/>
      <c r="Q342" s="16">
        <f>SUM(Tabela1[[#This Row],[201805]:[201807]])</f>
        <v>1776.8989999999999</v>
      </c>
      <c r="R342" s="16">
        <f>SUM(Tabela1[[#This Row],[201905]:[201906]])</f>
        <v>0</v>
      </c>
      <c r="S342" s="16">
        <v>100000</v>
      </c>
      <c r="T342" s="16">
        <f>Tabela1[[#This Row],[Total 2019]]-Tabela1[[#This Row],[Total 2018]]</f>
        <v>-1776.8989999999999</v>
      </c>
      <c r="U342" s="40">
        <f>Tabela1[[#This Row],[Total 2019]]/Tabela1[[#This Row],[Meta]]</f>
        <v>0</v>
      </c>
      <c r="V342" s="17">
        <f>IFERROR(Tabela1[[#This Row],[Total 2019]]/Tabela1[[#This Row],[Total 2018]]-1,0)</f>
        <v>-1</v>
      </c>
      <c r="W34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42" s="48"/>
      <c r="Y342" s="19"/>
      <c r="Z342" s="68"/>
    </row>
    <row r="343" spans="3:26" x14ac:dyDescent="0.35">
      <c r="C343" s="11" t="s">
        <v>2703</v>
      </c>
      <c r="D343" s="12" t="s">
        <v>2700</v>
      </c>
      <c r="E343" s="12">
        <v>330</v>
      </c>
      <c r="F343" s="13" t="s">
        <v>1777</v>
      </c>
      <c r="G343" s="14">
        <v>2</v>
      </c>
      <c r="H343" s="14" t="s">
        <v>1371</v>
      </c>
      <c r="I343" s="13">
        <v>4</v>
      </c>
      <c r="J343" s="15" t="s">
        <v>1403</v>
      </c>
      <c r="K343" s="15" t="s">
        <v>2707</v>
      </c>
      <c r="L343" s="16"/>
      <c r="M343" s="16">
        <v>4501.7934999999998</v>
      </c>
      <c r="N343" s="16">
        <v>7349.9124999999995</v>
      </c>
      <c r="O343" s="16"/>
      <c r="P343" s="16"/>
      <c r="Q343" s="16">
        <f>SUM(Tabela1[[#This Row],[201805]:[201807]])</f>
        <v>11851.705999999998</v>
      </c>
      <c r="R343" s="16">
        <f>SUM(Tabela1[[#This Row],[201905]:[201906]])</f>
        <v>0</v>
      </c>
      <c r="S343" s="16">
        <v>100000</v>
      </c>
      <c r="T343" s="16">
        <f>Tabela1[[#This Row],[Total 2019]]-Tabela1[[#This Row],[Total 2018]]</f>
        <v>-11851.705999999998</v>
      </c>
      <c r="U343" s="40">
        <f>Tabela1[[#This Row],[Total 2019]]/Tabela1[[#This Row],[Meta]]</f>
        <v>0</v>
      </c>
      <c r="V343" s="17">
        <f>IFERROR(Tabela1[[#This Row],[Total 2019]]/Tabela1[[#This Row],[Total 2018]]-1,0)</f>
        <v>-1</v>
      </c>
      <c r="W34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43" s="48"/>
      <c r="Y343" s="19"/>
      <c r="Z343" s="68"/>
    </row>
    <row r="344" spans="3:26" x14ac:dyDescent="0.35">
      <c r="C344" s="11" t="s">
        <v>2702</v>
      </c>
      <c r="D344" s="12" t="s">
        <v>2698</v>
      </c>
      <c r="E344" s="12">
        <v>331</v>
      </c>
      <c r="F344" s="13" t="s">
        <v>1778</v>
      </c>
      <c r="G344" s="14">
        <v>3</v>
      </c>
      <c r="H344" s="14" t="s">
        <v>1370</v>
      </c>
      <c r="I344" s="13">
        <v>1</v>
      </c>
      <c r="J344" s="15" t="s">
        <v>1400</v>
      </c>
      <c r="K344" s="15" t="s">
        <v>2706</v>
      </c>
      <c r="L344" s="16">
        <v>7999.5319999999992</v>
      </c>
      <c r="M344" s="16">
        <v>1672.874</v>
      </c>
      <c r="N344" s="16"/>
      <c r="O344" s="16">
        <v>12398.164999999997</v>
      </c>
      <c r="P344" s="16">
        <v>8113.95</v>
      </c>
      <c r="Q344" s="16">
        <f>SUM(Tabela1[[#This Row],[201805]:[201807]])</f>
        <v>9672.405999999999</v>
      </c>
      <c r="R344" s="16">
        <f>SUM(Tabela1[[#This Row],[201905]:[201906]])</f>
        <v>20512.114999999998</v>
      </c>
      <c r="S344" s="16">
        <v>100000</v>
      </c>
      <c r="T344" s="16">
        <f>Tabela1[[#This Row],[Total 2019]]-Tabela1[[#This Row],[Total 2018]]</f>
        <v>10839.708999999999</v>
      </c>
      <c r="U344" s="40">
        <f>Tabela1[[#This Row],[Total 2019]]/Tabela1[[#This Row],[Meta]]</f>
        <v>0.20512114999999997</v>
      </c>
      <c r="V344" s="17">
        <f>IFERROR(Tabela1[[#This Row],[Total 2019]]/Tabela1[[#This Row],[Total 2018]]-1,0)</f>
        <v>1.1206838298557775</v>
      </c>
      <c r="W34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344" s="48"/>
      <c r="Y344" s="19"/>
      <c r="Z344" s="68"/>
    </row>
    <row r="345" spans="3:26" x14ac:dyDescent="0.35">
      <c r="C345" s="11" t="s">
        <v>2704</v>
      </c>
      <c r="D345" s="12" t="s">
        <v>2698</v>
      </c>
      <c r="E345" s="12">
        <v>332</v>
      </c>
      <c r="F345" s="13" t="s">
        <v>1779</v>
      </c>
      <c r="G345" s="14">
        <v>2</v>
      </c>
      <c r="H345" s="14" t="s">
        <v>1372</v>
      </c>
      <c r="I345" s="13">
        <v>21</v>
      </c>
      <c r="J345" s="15" t="s">
        <v>1420</v>
      </c>
      <c r="K345" s="15" t="s">
        <v>2708</v>
      </c>
      <c r="L345" s="16">
        <v>3909.0124999999998</v>
      </c>
      <c r="M345" s="16">
        <v>166.136</v>
      </c>
      <c r="N345" s="16">
        <v>1605.7849999999999</v>
      </c>
      <c r="O345" s="16"/>
      <c r="P345" s="16"/>
      <c r="Q345" s="16">
        <f>SUM(Tabela1[[#This Row],[201805]:[201807]])</f>
        <v>5680.9334999999992</v>
      </c>
      <c r="R345" s="16">
        <f>SUM(Tabela1[[#This Row],[201905]:[201906]])</f>
        <v>0</v>
      </c>
      <c r="S345" s="16">
        <v>100000</v>
      </c>
      <c r="T345" s="16">
        <f>Tabela1[[#This Row],[Total 2019]]-Tabela1[[#This Row],[Total 2018]]</f>
        <v>-5680.9334999999992</v>
      </c>
      <c r="U345" s="40">
        <f>Tabela1[[#This Row],[Total 2019]]/Tabela1[[#This Row],[Meta]]</f>
        <v>0</v>
      </c>
      <c r="V345" s="17">
        <f>IFERROR(Tabela1[[#This Row],[Total 2019]]/Tabela1[[#This Row],[Total 2018]]-1,0)</f>
        <v>-1</v>
      </c>
      <c r="W34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45" s="48"/>
      <c r="Y345" s="19"/>
      <c r="Z345" s="68"/>
    </row>
    <row r="346" spans="3:26" x14ac:dyDescent="0.35">
      <c r="C346" s="11" t="s">
        <v>2704</v>
      </c>
      <c r="D346" s="12" t="s">
        <v>2699</v>
      </c>
      <c r="E346" s="12">
        <v>333</v>
      </c>
      <c r="F346" s="13" t="s">
        <v>1780</v>
      </c>
      <c r="G346" s="14">
        <v>1</v>
      </c>
      <c r="H346" s="14" t="s">
        <v>1372</v>
      </c>
      <c r="I346" s="13">
        <v>20</v>
      </c>
      <c r="J346" s="15" t="s">
        <v>1419</v>
      </c>
      <c r="K346" s="15" t="s">
        <v>2708</v>
      </c>
      <c r="L346" s="16">
        <v>4153.1244999999999</v>
      </c>
      <c r="M346" s="16">
        <v>15794.984999999999</v>
      </c>
      <c r="N346" s="16">
        <v>3788.4479999999999</v>
      </c>
      <c r="O346" s="16">
        <v>19121.219999999998</v>
      </c>
      <c r="P346" s="16"/>
      <c r="Q346" s="16">
        <f>SUM(Tabela1[[#This Row],[201805]:[201807]])</f>
        <v>23736.557499999999</v>
      </c>
      <c r="R346" s="16">
        <f>SUM(Tabela1[[#This Row],[201905]:[201906]])</f>
        <v>19121.219999999998</v>
      </c>
      <c r="S346" s="16">
        <v>100000</v>
      </c>
      <c r="T346" s="16">
        <f>Tabela1[[#This Row],[Total 2019]]-Tabela1[[#This Row],[Total 2018]]</f>
        <v>-4615.3375000000015</v>
      </c>
      <c r="U346" s="40">
        <f>Tabela1[[#This Row],[Total 2019]]/Tabela1[[#This Row],[Meta]]</f>
        <v>0.19121219999999997</v>
      </c>
      <c r="V346" s="17">
        <f>IFERROR(Tabela1[[#This Row],[Total 2019]]/Tabela1[[#This Row],[Total 2018]]-1,0)</f>
        <v>-0.19444005307003775</v>
      </c>
      <c r="W34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346" s="48"/>
      <c r="Y346" s="19"/>
      <c r="Z346" s="68"/>
    </row>
    <row r="347" spans="3:26" x14ac:dyDescent="0.35">
      <c r="C347" s="11" t="s">
        <v>2703</v>
      </c>
      <c r="D347" s="12" t="s">
        <v>2700</v>
      </c>
      <c r="E347" s="12">
        <v>334</v>
      </c>
      <c r="F347" s="13" t="s">
        <v>1781</v>
      </c>
      <c r="G347" s="14">
        <v>3</v>
      </c>
      <c r="H347" s="14" t="s">
        <v>1370</v>
      </c>
      <c r="I347" s="13">
        <v>8</v>
      </c>
      <c r="J347" s="15" t="s">
        <v>1407</v>
      </c>
      <c r="K347" s="15" t="s">
        <v>2706</v>
      </c>
      <c r="L347" s="16">
        <v>1145.7570000000001</v>
      </c>
      <c r="M347" s="16">
        <v>2079.4454999999998</v>
      </c>
      <c r="N347" s="16"/>
      <c r="O347" s="16"/>
      <c r="P347" s="16"/>
      <c r="Q347" s="16">
        <f>SUM(Tabela1[[#This Row],[201805]:[201807]])</f>
        <v>3225.2024999999999</v>
      </c>
      <c r="R347" s="16">
        <f>SUM(Tabela1[[#This Row],[201905]:[201906]])</f>
        <v>0</v>
      </c>
      <c r="S347" s="16">
        <v>100000</v>
      </c>
      <c r="T347" s="16">
        <f>Tabela1[[#This Row],[Total 2019]]-Tabela1[[#This Row],[Total 2018]]</f>
        <v>-3225.2024999999999</v>
      </c>
      <c r="U347" s="40">
        <f>Tabela1[[#This Row],[Total 2019]]/Tabela1[[#This Row],[Meta]]</f>
        <v>0</v>
      </c>
      <c r="V347" s="17">
        <f>IFERROR(Tabela1[[#This Row],[Total 2019]]/Tabela1[[#This Row],[Total 2018]]-1,0)</f>
        <v>-1</v>
      </c>
      <c r="W34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47" s="48"/>
      <c r="Y347" s="19"/>
      <c r="Z347" s="68"/>
    </row>
    <row r="348" spans="3:26" x14ac:dyDescent="0.35">
      <c r="C348" s="11" t="s">
        <v>2703</v>
      </c>
      <c r="D348" s="12" t="s">
        <v>2699</v>
      </c>
      <c r="E348" s="12">
        <v>335</v>
      </c>
      <c r="F348" s="13" t="s">
        <v>1782</v>
      </c>
      <c r="G348" s="14">
        <v>1</v>
      </c>
      <c r="H348" s="14" t="s">
        <v>1372</v>
      </c>
      <c r="I348" s="13">
        <v>16</v>
      </c>
      <c r="J348" s="15" t="s">
        <v>1415</v>
      </c>
      <c r="K348" s="15" t="s">
        <v>2708</v>
      </c>
      <c r="L348" s="16">
        <v>5223.0524999999998</v>
      </c>
      <c r="M348" s="16">
        <v>2128.4655000000002</v>
      </c>
      <c r="N348" s="16">
        <v>873.2684999999999</v>
      </c>
      <c r="O348" s="16"/>
      <c r="P348" s="16"/>
      <c r="Q348" s="16">
        <f>SUM(Tabela1[[#This Row],[201805]:[201807]])</f>
        <v>8224.7865000000002</v>
      </c>
      <c r="R348" s="16">
        <f>SUM(Tabela1[[#This Row],[201905]:[201906]])</f>
        <v>0</v>
      </c>
      <c r="S348" s="16">
        <v>100000</v>
      </c>
      <c r="T348" s="16">
        <f>Tabela1[[#This Row],[Total 2019]]-Tabela1[[#This Row],[Total 2018]]</f>
        <v>-8224.7865000000002</v>
      </c>
      <c r="U348" s="40">
        <f>Tabela1[[#This Row],[Total 2019]]/Tabela1[[#This Row],[Meta]]</f>
        <v>0</v>
      </c>
      <c r="V348" s="17">
        <f>IFERROR(Tabela1[[#This Row],[Total 2019]]/Tabela1[[#This Row],[Total 2018]]-1,0)</f>
        <v>-1</v>
      </c>
      <c r="W34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48" s="48"/>
      <c r="Y348" s="19"/>
      <c r="Z348" s="68"/>
    </row>
    <row r="349" spans="3:26" x14ac:dyDescent="0.35">
      <c r="C349" s="11" t="s">
        <v>2703</v>
      </c>
      <c r="D349" s="12" t="s">
        <v>2699</v>
      </c>
      <c r="E349" s="12">
        <v>336</v>
      </c>
      <c r="F349" s="13" t="s">
        <v>1783</v>
      </c>
      <c r="G349" s="14">
        <v>2</v>
      </c>
      <c r="H349" s="14" t="s">
        <v>1372</v>
      </c>
      <c r="I349" s="13">
        <v>21</v>
      </c>
      <c r="J349" s="15" t="s">
        <v>1420</v>
      </c>
      <c r="K349" s="15" t="s">
        <v>2708</v>
      </c>
      <c r="L349" s="16"/>
      <c r="M349" s="16">
        <v>3284.1025</v>
      </c>
      <c r="N349" s="16">
        <v>3161.3815</v>
      </c>
      <c r="O349" s="16"/>
      <c r="P349" s="16"/>
      <c r="Q349" s="16">
        <f>SUM(Tabela1[[#This Row],[201805]:[201807]])</f>
        <v>6445.4840000000004</v>
      </c>
      <c r="R349" s="16">
        <f>SUM(Tabela1[[#This Row],[201905]:[201906]])</f>
        <v>0</v>
      </c>
      <c r="S349" s="16">
        <v>100000</v>
      </c>
      <c r="T349" s="16">
        <f>Tabela1[[#This Row],[Total 2019]]-Tabela1[[#This Row],[Total 2018]]</f>
        <v>-6445.4840000000004</v>
      </c>
      <c r="U349" s="40">
        <f>Tabela1[[#This Row],[Total 2019]]/Tabela1[[#This Row],[Meta]]</f>
        <v>0</v>
      </c>
      <c r="V349" s="17">
        <f>IFERROR(Tabela1[[#This Row],[Total 2019]]/Tabela1[[#This Row],[Total 2018]]-1,0)</f>
        <v>-1</v>
      </c>
      <c r="W34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49" s="48"/>
      <c r="Y349" s="19"/>
      <c r="Z349" s="68"/>
    </row>
    <row r="350" spans="3:26" x14ac:dyDescent="0.35">
      <c r="C350" s="11" t="s">
        <v>2704</v>
      </c>
      <c r="D350" s="12" t="s">
        <v>2699</v>
      </c>
      <c r="E350" s="12">
        <v>337</v>
      </c>
      <c r="F350" s="13" t="s">
        <v>1784</v>
      </c>
      <c r="G350" s="14">
        <v>2</v>
      </c>
      <c r="H350" s="14" t="s">
        <v>1371</v>
      </c>
      <c r="I350" s="13">
        <v>24</v>
      </c>
      <c r="J350" s="15" t="s">
        <v>1423</v>
      </c>
      <c r="K350" s="15" t="s">
        <v>2707</v>
      </c>
      <c r="L350" s="16">
        <v>1346.5679999999998</v>
      </c>
      <c r="M350" s="16">
        <v>1947.7565</v>
      </c>
      <c r="N350" s="16"/>
      <c r="O350" s="16">
        <v>3652.7499999999995</v>
      </c>
      <c r="P350" s="16"/>
      <c r="Q350" s="16">
        <f>SUM(Tabela1[[#This Row],[201805]:[201807]])</f>
        <v>3294.3244999999997</v>
      </c>
      <c r="R350" s="16">
        <f>SUM(Tabela1[[#This Row],[201905]:[201906]])</f>
        <v>3652.7499999999995</v>
      </c>
      <c r="S350" s="16">
        <v>100000</v>
      </c>
      <c r="T350" s="16">
        <f>Tabela1[[#This Row],[Total 2019]]-Tabela1[[#This Row],[Total 2018]]</f>
        <v>358.42549999999983</v>
      </c>
      <c r="U350" s="40">
        <f>Tabela1[[#This Row],[Total 2019]]/Tabela1[[#This Row],[Meta]]</f>
        <v>3.6527499999999997E-2</v>
      </c>
      <c r="V350" s="17">
        <f>IFERROR(Tabela1[[#This Row],[Total 2019]]/Tabela1[[#This Row],[Total 2018]]-1,0)</f>
        <v>0.10880090895720795</v>
      </c>
      <c r="W35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350" s="48"/>
      <c r="Y350" s="19"/>
      <c r="Z350" s="68"/>
    </row>
    <row r="351" spans="3:26" x14ac:dyDescent="0.35">
      <c r="C351" s="11" t="s">
        <v>2704</v>
      </c>
      <c r="D351" s="12" t="s">
        <v>2698</v>
      </c>
      <c r="E351" s="12">
        <v>338</v>
      </c>
      <c r="F351" s="13" t="s">
        <v>1785</v>
      </c>
      <c r="G351" s="14">
        <v>2</v>
      </c>
      <c r="H351" s="14" t="s">
        <v>1370</v>
      </c>
      <c r="I351" s="13">
        <v>19</v>
      </c>
      <c r="J351" s="15" t="s">
        <v>1418</v>
      </c>
      <c r="K351" s="15" t="s">
        <v>2706</v>
      </c>
      <c r="L351" s="16">
        <v>1558.5225</v>
      </c>
      <c r="M351" s="16">
        <v>272.08949999999999</v>
      </c>
      <c r="N351" s="16"/>
      <c r="O351" s="16"/>
      <c r="P351" s="16"/>
      <c r="Q351" s="16">
        <f>SUM(Tabela1[[#This Row],[201805]:[201807]])</f>
        <v>1830.6120000000001</v>
      </c>
      <c r="R351" s="16">
        <f>SUM(Tabela1[[#This Row],[201905]:[201906]])</f>
        <v>0</v>
      </c>
      <c r="S351" s="16">
        <v>100000</v>
      </c>
      <c r="T351" s="16">
        <f>Tabela1[[#This Row],[Total 2019]]-Tabela1[[#This Row],[Total 2018]]</f>
        <v>-1830.6120000000001</v>
      </c>
      <c r="U351" s="40">
        <f>Tabela1[[#This Row],[Total 2019]]/Tabela1[[#This Row],[Meta]]</f>
        <v>0</v>
      </c>
      <c r="V351" s="17">
        <f>IFERROR(Tabela1[[#This Row],[Total 2019]]/Tabela1[[#This Row],[Total 2018]]-1,0)</f>
        <v>-1</v>
      </c>
      <c r="W35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51" s="48"/>
      <c r="Y351" s="19"/>
      <c r="Z351" s="68"/>
    </row>
    <row r="352" spans="3:26" x14ac:dyDescent="0.35">
      <c r="C352" s="11" t="s">
        <v>2704</v>
      </c>
      <c r="D352" s="12" t="s">
        <v>2698</v>
      </c>
      <c r="E352" s="12">
        <v>339</v>
      </c>
      <c r="F352" s="13" t="s">
        <v>1786</v>
      </c>
      <c r="G352" s="14">
        <v>1</v>
      </c>
      <c r="H352" s="14" t="s">
        <v>1370</v>
      </c>
      <c r="I352" s="13">
        <v>8</v>
      </c>
      <c r="J352" s="15" t="s">
        <v>1407</v>
      </c>
      <c r="K352" s="15" t="s">
        <v>2706</v>
      </c>
      <c r="L352" s="16">
        <v>6741.1620000000003</v>
      </c>
      <c r="M352" s="16">
        <v>14696.775499999998</v>
      </c>
      <c r="N352" s="16"/>
      <c r="O352" s="16"/>
      <c r="P352" s="16">
        <v>342.66499999999996</v>
      </c>
      <c r="Q352" s="16">
        <f>SUM(Tabela1[[#This Row],[201805]:[201807]])</f>
        <v>21437.9375</v>
      </c>
      <c r="R352" s="16">
        <f>SUM(Tabela1[[#This Row],[201905]:[201906]])</f>
        <v>342.66499999999996</v>
      </c>
      <c r="S352" s="16">
        <v>100000</v>
      </c>
      <c r="T352" s="16">
        <f>Tabela1[[#This Row],[Total 2019]]-Tabela1[[#This Row],[Total 2018]]</f>
        <v>-21095.272499999999</v>
      </c>
      <c r="U352" s="40">
        <f>Tabela1[[#This Row],[Total 2019]]/Tabela1[[#This Row],[Meta]]</f>
        <v>3.4266499999999998E-3</v>
      </c>
      <c r="V352" s="17">
        <f>IFERROR(Tabela1[[#This Row],[Total 2019]]/Tabela1[[#This Row],[Total 2018]]-1,0)</f>
        <v>-0.98401595302719769</v>
      </c>
      <c r="W35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352" s="48"/>
      <c r="Y352" s="19"/>
      <c r="Z352" s="68"/>
    </row>
    <row r="353" spans="3:28" x14ac:dyDescent="0.35">
      <c r="C353" s="11" t="s">
        <v>2702</v>
      </c>
      <c r="D353" s="12" t="s">
        <v>2699</v>
      </c>
      <c r="E353" s="12">
        <v>340</v>
      </c>
      <c r="F353" s="13" t="s">
        <v>1787</v>
      </c>
      <c r="G353" s="14">
        <v>1</v>
      </c>
      <c r="H353" s="14" t="s">
        <v>1370</v>
      </c>
      <c r="I353" s="13">
        <v>8</v>
      </c>
      <c r="J353" s="15" t="s">
        <v>1407</v>
      </c>
      <c r="K353" s="15" t="s">
        <v>2706</v>
      </c>
      <c r="L353" s="16">
        <v>4184.6359999999995</v>
      </c>
      <c r="M353" s="16">
        <v>11421.308499999997</v>
      </c>
      <c r="N353" s="16"/>
      <c r="O353" s="16"/>
      <c r="P353" s="16"/>
      <c r="Q353" s="16">
        <f>SUM(Tabela1[[#This Row],[201805]:[201807]])</f>
        <v>15605.944499999998</v>
      </c>
      <c r="R353" s="16">
        <f>SUM(Tabela1[[#This Row],[201905]:[201906]])</f>
        <v>0</v>
      </c>
      <c r="S353" s="16">
        <v>100000</v>
      </c>
      <c r="T353" s="16">
        <f>Tabela1[[#This Row],[Total 2019]]-Tabela1[[#This Row],[Total 2018]]</f>
        <v>-15605.944499999998</v>
      </c>
      <c r="U353" s="40">
        <f>Tabela1[[#This Row],[Total 2019]]/Tabela1[[#This Row],[Meta]]</f>
        <v>0</v>
      </c>
      <c r="V353" s="17">
        <f>IFERROR(Tabela1[[#This Row],[Total 2019]]/Tabela1[[#This Row],[Total 2018]]-1,0)</f>
        <v>-1</v>
      </c>
      <c r="W35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53" s="48"/>
      <c r="Y353" s="19"/>
      <c r="Z353" s="68"/>
    </row>
    <row r="354" spans="3:28" x14ac:dyDescent="0.35">
      <c r="C354" s="11" t="s">
        <v>2704</v>
      </c>
      <c r="D354" s="12" t="s">
        <v>2699</v>
      </c>
      <c r="E354" s="12">
        <v>341</v>
      </c>
      <c r="F354" s="13" t="s">
        <v>1788</v>
      </c>
      <c r="G354" s="14">
        <v>1</v>
      </c>
      <c r="H354" s="14" t="s">
        <v>1371</v>
      </c>
      <c r="I354" s="13">
        <v>24</v>
      </c>
      <c r="J354" s="15" t="s">
        <v>1423</v>
      </c>
      <c r="K354" s="15" t="s">
        <v>2707</v>
      </c>
      <c r="L354" s="16">
        <v>3617.8564999999999</v>
      </c>
      <c r="M354" s="16">
        <v>3400.8764999999999</v>
      </c>
      <c r="N354" s="16"/>
      <c r="O354" s="16"/>
      <c r="P354" s="16"/>
      <c r="Q354" s="16">
        <f>SUM(Tabela1[[#This Row],[201805]:[201807]])</f>
        <v>7018.7330000000002</v>
      </c>
      <c r="R354" s="16">
        <f>SUM(Tabela1[[#This Row],[201905]:[201906]])</f>
        <v>0</v>
      </c>
      <c r="S354" s="16">
        <v>100000</v>
      </c>
      <c r="T354" s="16">
        <f>Tabela1[[#This Row],[Total 2019]]-Tabela1[[#This Row],[Total 2018]]</f>
        <v>-7018.7330000000002</v>
      </c>
      <c r="U354" s="40">
        <f>Tabela1[[#This Row],[Total 2019]]/Tabela1[[#This Row],[Meta]]</f>
        <v>0</v>
      </c>
      <c r="V354" s="17">
        <f>IFERROR(Tabela1[[#This Row],[Total 2019]]/Tabela1[[#This Row],[Total 2018]]-1,0)</f>
        <v>-1</v>
      </c>
      <c r="W35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54" s="48"/>
      <c r="Y354" s="19"/>
      <c r="Z354" s="68"/>
    </row>
    <row r="355" spans="3:28" x14ac:dyDescent="0.35">
      <c r="C355" s="11" t="s">
        <v>2704</v>
      </c>
      <c r="D355" s="12" t="s">
        <v>2698</v>
      </c>
      <c r="E355" s="12">
        <v>342</v>
      </c>
      <c r="F355" s="13" t="s">
        <v>1789</v>
      </c>
      <c r="G355" s="14">
        <v>2</v>
      </c>
      <c r="H355" s="14" t="s">
        <v>1371</v>
      </c>
      <c r="I355" s="13">
        <v>9</v>
      </c>
      <c r="J355" s="15" t="s">
        <v>1408</v>
      </c>
      <c r="K355" s="15" t="s">
        <v>2707</v>
      </c>
      <c r="L355" s="16"/>
      <c r="M355" s="16">
        <v>4843.8315000000002</v>
      </c>
      <c r="N355" s="16"/>
      <c r="O355" s="16">
        <v>1638.2370000000001</v>
      </c>
      <c r="P355" s="16">
        <v>3105.2744999999995</v>
      </c>
      <c r="Q355" s="16">
        <f>SUM(Tabela1[[#This Row],[201805]:[201807]])</f>
        <v>4843.8315000000002</v>
      </c>
      <c r="R355" s="16">
        <f>SUM(Tabela1[[#This Row],[201905]:[201906]])</f>
        <v>4743.5114999999996</v>
      </c>
      <c r="S355" s="16">
        <v>100000</v>
      </c>
      <c r="T355" s="16">
        <f>Tabela1[[#This Row],[Total 2019]]-Tabela1[[#This Row],[Total 2018]]</f>
        <v>-100.32000000000062</v>
      </c>
      <c r="U355" s="40">
        <f>Tabela1[[#This Row],[Total 2019]]/Tabela1[[#This Row],[Meta]]</f>
        <v>4.7435114999999993E-2</v>
      </c>
      <c r="V355" s="17">
        <f>IFERROR(Tabela1[[#This Row],[Total 2019]]/Tabela1[[#This Row],[Total 2018]]-1,0)</f>
        <v>-2.0710877329238375E-2</v>
      </c>
      <c r="W35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355" s="48"/>
      <c r="Y355" s="19"/>
      <c r="Z355" s="68"/>
    </row>
    <row r="356" spans="3:28" x14ac:dyDescent="0.35">
      <c r="C356" s="11" t="s">
        <v>2702</v>
      </c>
      <c r="D356" s="12" t="s">
        <v>2698</v>
      </c>
      <c r="E356" s="12">
        <v>343</v>
      </c>
      <c r="F356" s="13" t="s">
        <v>1790</v>
      </c>
      <c r="G356" s="14">
        <v>1</v>
      </c>
      <c r="H356" s="14" t="s">
        <v>1371</v>
      </c>
      <c r="I356" s="13">
        <v>24</v>
      </c>
      <c r="J356" s="15" t="s">
        <v>1423</v>
      </c>
      <c r="K356" s="15" t="s">
        <v>2707</v>
      </c>
      <c r="L356" s="16"/>
      <c r="M356" s="16">
        <v>17770.643</v>
      </c>
      <c r="N356" s="16">
        <v>5036.6719999999996</v>
      </c>
      <c r="O356" s="16">
        <v>4126.9994999999999</v>
      </c>
      <c r="P356" s="16">
        <v>9446.4294999999984</v>
      </c>
      <c r="Q356" s="16">
        <f>SUM(Tabela1[[#This Row],[201805]:[201807]])</f>
        <v>22807.314999999999</v>
      </c>
      <c r="R356" s="16">
        <f>SUM(Tabela1[[#This Row],[201905]:[201906]])</f>
        <v>13573.428999999998</v>
      </c>
      <c r="S356" s="16">
        <v>100000</v>
      </c>
      <c r="T356" s="16">
        <f>Tabela1[[#This Row],[Total 2019]]-Tabela1[[#This Row],[Total 2018]]</f>
        <v>-9233.8860000000004</v>
      </c>
      <c r="U356" s="40">
        <f>Tabela1[[#This Row],[Total 2019]]/Tabela1[[#This Row],[Meta]]</f>
        <v>0.13573428999999998</v>
      </c>
      <c r="V356" s="17">
        <f>IFERROR(Tabela1[[#This Row],[Total 2019]]/Tabela1[[#This Row],[Total 2018]]-1,0)</f>
        <v>-0.40486510577856272</v>
      </c>
      <c r="W35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356" s="48"/>
      <c r="Y356" s="19"/>
      <c r="Z356" s="68"/>
    </row>
    <row r="357" spans="3:28" x14ac:dyDescent="0.35">
      <c r="C357" s="11" t="s">
        <v>2702</v>
      </c>
      <c r="D357" s="12" t="s">
        <v>2700</v>
      </c>
      <c r="E357" s="12">
        <v>344</v>
      </c>
      <c r="F357" s="13" t="s">
        <v>1791</v>
      </c>
      <c r="G357" s="14">
        <v>3</v>
      </c>
      <c r="H357" s="14" t="s">
        <v>1371</v>
      </c>
      <c r="I357" s="13">
        <v>24</v>
      </c>
      <c r="J357" s="15" t="s">
        <v>1423</v>
      </c>
      <c r="K357" s="15" t="s">
        <v>2707</v>
      </c>
      <c r="L357" s="16">
        <v>4454.0749999999998</v>
      </c>
      <c r="M357" s="16">
        <v>12737.258</v>
      </c>
      <c r="N357" s="16"/>
      <c r="O357" s="16"/>
      <c r="P357" s="16"/>
      <c r="Q357" s="16">
        <f>SUM(Tabela1[[#This Row],[201805]:[201807]])</f>
        <v>17191.332999999999</v>
      </c>
      <c r="R357" s="16">
        <f>SUM(Tabela1[[#This Row],[201905]:[201906]])</f>
        <v>0</v>
      </c>
      <c r="S357" s="16">
        <v>100000</v>
      </c>
      <c r="T357" s="16">
        <f>Tabela1[[#This Row],[Total 2019]]-Tabela1[[#This Row],[Total 2018]]</f>
        <v>-17191.332999999999</v>
      </c>
      <c r="U357" s="40">
        <f>Tabela1[[#This Row],[Total 2019]]/Tabela1[[#This Row],[Meta]]</f>
        <v>0</v>
      </c>
      <c r="V357" s="17">
        <f>IFERROR(Tabela1[[#This Row],[Total 2019]]/Tabela1[[#This Row],[Total 2018]]-1,0)</f>
        <v>-1</v>
      </c>
      <c r="W35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57" s="48"/>
      <c r="Y357" s="19"/>
      <c r="Z357" s="68"/>
    </row>
    <row r="358" spans="3:28" x14ac:dyDescent="0.35">
      <c r="C358" s="11" t="s">
        <v>2702</v>
      </c>
      <c r="D358" s="12" t="s">
        <v>2698</v>
      </c>
      <c r="E358" s="12">
        <v>345</v>
      </c>
      <c r="F358" s="13" t="s">
        <v>1792</v>
      </c>
      <c r="G358" s="14">
        <v>2</v>
      </c>
      <c r="H358" s="14" t="s">
        <v>1370</v>
      </c>
      <c r="I358" s="13">
        <v>30</v>
      </c>
      <c r="J358" s="15" t="s">
        <v>1429</v>
      </c>
      <c r="K358" s="15" t="s">
        <v>2706</v>
      </c>
      <c r="L358" s="16"/>
      <c r="M358" s="16">
        <v>4450.4555</v>
      </c>
      <c r="N358" s="16">
        <v>5806.2479999999996</v>
      </c>
      <c r="O358" s="16">
        <v>11818.1425</v>
      </c>
      <c r="P358" s="16"/>
      <c r="Q358" s="16">
        <f>SUM(Tabela1[[#This Row],[201805]:[201807]])</f>
        <v>10256.7035</v>
      </c>
      <c r="R358" s="16">
        <f>SUM(Tabela1[[#This Row],[201905]:[201906]])</f>
        <v>11818.1425</v>
      </c>
      <c r="S358" s="16">
        <v>100000</v>
      </c>
      <c r="T358" s="16">
        <f>Tabela1[[#This Row],[Total 2019]]-Tabela1[[#This Row],[Total 2018]]</f>
        <v>1561.4390000000003</v>
      </c>
      <c r="U358" s="40">
        <f>Tabela1[[#This Row],[Total 2019]]/Tabela1[[#This Row],[Meta]]</f>
        <v>0.11818142499999999</v>
      </c>
      <c r="V358" s="17">
        <f>IFERROR(Tabela1[[#This Row],[Total 2019]]/Tabela1[[#This Row],[Total 2018]]-1,0)</f>
        <v>0.15223594988389788</v>
      </c>
      <c r="W35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358" s="48"/>
      <c r="Y358" s="19"/>
      <c r="Z358" s="68"/>
    </row>
    <row r="359" spans="3:28" x14ac:dyDescent="0.35">
      <c r="C359" s="11" t="s">
        <v>2704</v>
      </c>
      <c r="D359" s="12" t="s">
        <v>2698</v>
      </c>
      <c r="E359" s="12">
        <v>346</v>
      </c>
      <c r="F359" s="13" t="s">
        <v>1793</v>
      </c>
      <c r="G359" s="14">
        <v>2</v>
      </c>
      <c r="H359" s="14" t="s">
        <v>1370</v>
      </c>
      <c r="I359" s="13">
        <v>11</v>
      </c>
      <c r="J359" s="15" t="s">
        <v>1410</v>
      </c>
      <c r="K359" s="15" t="s">
        <v>2706</v>
      </c>
      <c r="L359" s="16"/>
      <c r="M359" s="16">
        <v>3298.6754999999994</v>
      </c>
      <c r="N359" s="16">
        <v>3699.1289999999995</v>
      </c>
      <c r="O359" s="16">
        <v>7294.0239999999994</v>
      </c>
      <c r="P359" s="16">
        <v>3066.6</v>
      </c>
      <c r="Q359" s="16">
        <f>SUM(Tabela1[[#This Row],[201805]:[201807]])</f>
        <v>6997.8044999999984</v>
      </c>
      <c r="R359" s="16">
        <f>SUM(Tabela1[[#This Row],[201905]:[201906]])</f>
        <v>10360.624</v>
      </c>
      <c r="S359" s="16">
        <v>100000</v>
      </c>
      <c r="T359" s="16">
        <f>Tabela1[[#This Row],[Total 2019]]-Tabela1[[#This Row],[Total 2018]]</f>
        <v>3362.8195000000014</v>
      </c>
      <c r="U359" s="40">
        <f>Tabela1[[#This Row],[Total 2019]]/Tabela1[[#This Row],[Meta]]</f>
        <v>0.10360624</v>
      </c>
      <c r="V359" s="17">
        <f>IFERROR(Tabela1[[#This Row],[Total 2019]]/Tabela1[[#This Row],[Total 2018]]-1,0)</f>
        <v>0.48055350788951046</v>
      </c>
      <c r="W35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359" s="48"/>
      <c r="Y359" s="19"/>
      <c r="Z359" s="68"/>
    </row>
    <row r="360" spans="3:28" x14ac:dyDescent="0.35">
      <c r="C360" s="11" t="s">
        <v>2702</v>
      </c>
      <c r="D360" s="12" t="s">
        <v>2698</v>
      </c>
      <c r="E360" s="12">
        <v>347</v>
      </c>
      <c r="F360" s="13" t="s">
        <v>1794</v>
      </c>
      <c r="G360" s="14">
        <v>1</v>
      </c>
      <c r="H360" s="14" t="s">
        <v>1372</v>
      </c>
      <c r="I360" s="13">
        <v>18</v>
      </c>
      <c r="J360" s="15" t="s">
        <v>1417</v>
      </c>
      <c r="K360" s="15" t="s">
        <v>2708</v>
      </c>
      <c r="L360" s="16"/>
      <c r="M360" s="16">
        <v>6439.0334999999995</v>
      </c>
      <c r="N360" s="16"/>
      <c r="O360" s="16"/>
      <c r="P360" s="16"/>
      <c r="Q360" s="16">
        <f>SUM(Tabela1[[#This Row],[201805]:[201807]])</f>
        <v>6439.0334999999995</v>
      </c>
      <c r="R360" s="16">
        <f>SUM(Tabela1[[#This Row],[201905]:[201906]])</f>
        <v>0</v>
      </c>
      <c r="S360" s="16">
        <v>100000</v>
      </c>
      <c r="T360" s="16">
        <f>Tabela1[[#This Row],[Total 2019]]-Tabela1[[#This Row],[Total 2018]]</f>
        <v>-6439.0334999999995</v>
      </c>
      <c r="U360" s="40">
        <f>Tabela1[[#This Row],[Total 2019]]/Tabela1[[#This Row],[Meta]]</f>
        <v>0</v>
      </c>
      <c r="V360" s="17">
        <f>IFERROR(Tabela1[[#This Row],[Total 2019]]/Tabela1[[#This Row],[Total 2018]]-1,0)</f>
        <v>-1</v>
      </c>
      <c r="W36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60" s="48"/>
      <c r="Y360" s="19"/>
      <c r="Z360" s="68"/>
    </row>
    <row r="361" spans="3:28" x14ac:dyDescent="0.35">
      <c r="C361" s="11" t="s">
        <v>2703</v>
      </c>
      <c r="D361" s="12" t="s">
        <v>2698</v>
      </c>
      <c r="E361" s="12">
        <v>348</v>
      </c>
      <c r="F361" s="13" t="s">
        <v>1795</v>
      </c>
      <c r="G361" s="14">
        <v>3</v>
      </c>
      <c r="H361" s="14" t="s">
        <v>1372</v>
      </c>
      <c r="I361" s="13">
        <v>23</v>
      </c>
      <c r="J361" s="15" t="s">
        <v>1422</v>
      </c>
      <c r="K361" s="15" t="s">
        <v>2708</v>
      </c>
      <c r="L361" s="16">
        <v>5604.8670000000002</v>
      </c>
      <c r="M361" s="16">
        <v>4350.0595000000003</v>
      </c>
      <c r="N361" s="16">
        <v>2283.2110000000002</v>
      </c>
      <c r="O361" s="16">
        <v>7651.0244999999995</v>
      </c>
      <c r="P361" s="16">
        <v>2791.2044999999998</v>
      </c>
      <c r="Q361" s="16">
        <f>SUM(Tabela1[[#This Row],[201805]:[201807]])</f>
        <v>12238.137500000001</v>
      </c>
      <c r="R361" s="16">
        <f>SUM(Tabela1[[#This Row],[201905]:[201906]])</f>
        <v>10442.228999999999</v>
      </c>
      <c r="S361" s="16">
        <v>100000</v>
      </c>
      <c r="T361" s="16">
        <f>Tabela1[[#This Row],[Total 2019]]-Tabela1[[#This Row],[Total 2018]]</f>
        <v>-1795.9085000000014</v>
      </c>
      <c r="U361" s="40">
        <f>Tabela1[[#This Row],[Total 2019]]/Tabela1[[#This Row],[Meta]]</f>
        <v>0.10442228999999999</v>
      </c>
      <c r="V361" s="17">
        <f>IFERROR(Tabela1[[#This Row],[Total 2019]]/Tabela1[[#This Row],[Total 2018]]-1,0)</f>
        <v>-0.14674688039744621</v>
      </c>
      <c r="W36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361" s="48"/>
      <c r="Y361" s="19"/>
      <c r="Z361" s="68"/>
    </row>
    <row r="362" spans="3:28" x14ac:dyDescent="0.35">
      <c r="C362" s="11" t="s">
        <v>2702</v>
      </c>
      <c r="D362" s="12" t="s">
        <v>2699</v>
      </c>
      <c r="E362" s="12">
        <v>349</v>
      </c>
      <c r="F362" s="13" t="s">
        <v>1796</v>
      </c>
      <c r="G362" s="14">
        <v>3</v>
      </c>
      <c r="H362" s="14" t="s">
        <v>1372</v>
      </c>
      <c r="I362" s="13">
        <v>6</v>
      </c>
      <c r="J362" s="15" t="s">
        <v>1405</v>
      </c>
      <c r="K362" s="15" t="s">
        <v>2708</v>
      </c>
      <c r="L362" s="16">
        <v>7861.1455000000005</v>
      </c>
      <c r="M362" s="16">
        <v>13029.554</v>
      </c>
      <c r="N362" s="16">
        <v>5072.4205000000002</v>
      </c>
      <c r="O362" s="16">
        <v>7283.6025</v>
      </c>
      <c r="P362" s="16">
        <v>10625.313</v>
      </c>
      <c r="Q362" s="16">
        <f>SUM(Tabela1[[#This Row],[201805]:[201807]])</f>
        <v>25963.120000000003</v>
      </c>
      <c r="R362" s="16">
        <f>SUM(Tabela1[[#This Row],[201905]:[201906]])</f>
        <v>17908.915499999999</v>
      </c>
      <c r="S362" s="16">
        <v>100000</v>
      </c>
      <c r="T362" s="16">
        <f>Tabela1[[#This Row],[Total 2019]]-Tabela1[[#This Row],[Total 2018]]</f>
        <v>-8054.2045000000035</v>
      </c>
      <c r="U362" s="40">
        <f>Tabela1[[#This Row],[Total 2019]]/Tabela1[[#This Row],[Meta]]</f>
        <v>0.179089155</v>
      </c>
      <c r="V362" s="17">
        <f>IFERROR(Tabela1[[#This Row],[Total 2019]]/Tabela1[[#This Row],[Total 2018]]-1,0)</f>
        <v>-0.31021712721737615</v>
      </c>
      <c r="W36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362" s="48"/>
      <c r="Y362" s="19"/>
      <c r="Z362" s="68"/>
    </row>
    <row r="363" spans="3:28" x14ac:dyDescent="0.35">
      <c r="C363" s="11" t="s">
        <v>2704</v>
      </c>
      <c r="D363" s="12" t="s">
        <v>2698</v>
      </c>
      <c r="E363" s="12">
        <v>350</v>
      </c>
      <c r="F363" s="13" t="s">
        <v>1797</v>
      </c>
      <c r="G363" s="14">
        <v>2</v>
      </c>
      <c r="H363" s="14" t="s">
        <v>1372</v>
      </c>
      <c r="I363" s="13">
        <v>25</v>
      </c>
      <c r="J363" s="15" t="s">
        <v>1424</v>
      </c>
      <c r="K363" s="15" t="s">
        <v>2708</v>
      </c>
      <c r="L363" s="16">
        <v>1117.846</v>
      </c>
      <c r="M363" s="16">
        <v>8222.6869999999999</v>
      </c>
      <c r="N363" s="16">
        <v>6633.0235000000002</v>
      </c>
      <c r="O363" s="16"/>
      <c r="P363" s="16"/>
      <c r="Q363" s="16">
        <f>SUM(Tabela1[[#This Row],[201805]:[201807]])</f>
        <v>15973.556499999999</v>
      </c>
      <c r="R363" s="16">
        <f>SUM(Tabela1[[#This Row],[201905]:[201906]])</f>
        <v>0</v>
      </c>
      <c r="S363" s="16">
        <v>100000</v>
      </c>
      <c r="T363" s="16">
        <f>Tabela1[[#This Row],[Total 2019]]-Tabela1[[#This Row],[Total 2018]]</f>
        <v>-15973.556499999999</v>
      </c>
      <c r="U363" s="40">
        <f>Tabela1[[#This Row],[Total 2019]]/Tabela1[[#This Row],[Meta]]</f>
        <v>0</v>
      </c>
      <c r="V363" s="17">
        <f>IFERROR(Tabela1[[#This Row],[Total 2019]]/Tabela1[[#This Row],[Total 2018]]-1,0)</f>
        <v>-1</v>
      </c>
      <c r="W36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63" s="48"/>
      <c r="Y363" s="19"/>
      <c r="Z363" s="68"/>
      <c r="AB363" s="1">
        <v>14585272</v>
      </c>
    </row>
    <row r="364" spans="3:28" x14ac:dyDescent="0.35">
      <c r="C364" s="11" t="s">
        <v>2704</v>
      </c>
      <c r="D364" s="12" t="s">
        <v>2698</v>
      </c>
      <c r="E364" s="12">
        <v>351</v>
      </c>
      <c r="F364" s="13" t="s">
        <v>1798</v>
      </c>
      <c r="G364" s="14">
        <v>3</v>
      </c>
      <c r="H364" s="14" t="s">
        <v>1370</v>
      </c>
      <c r="I364" s="13">
        <v>3</v>
      </c>
      <c r="J364" s="15" t="s">
        <v>1402</v>
      </c>
      <c r="K364" s="15" t="s">
        <v>2706</v>
      </c>
      <c r="L364" s="16"/>
      <c r="M364" s="16">
        <v>3532.2139999999999</v>
      </c>
      <c r="N364" s="16"/>
      <c r="O364" s="16"/>
      <c r="P364" s="16"/>
      <c r="Q364" s="16">
        <f>SUM(Tabela1[[#This Row],[201805]:[201807]])</f>
        <v>3532.2139999999999</v>
      </c>
      <c r="R364" s="16">
        <f>SUM(Tabela1[[#This Row],[201905]:[201906]])</f>
        <v>0</v>
      </c>
      <c r="S364" s="16">
        <v>100000</v>
      </c>
      <c r="T364" s="16">
        <f>Tabela1[[#This Row],[Total 2019]]-Tabela1[[#This Row],[Total 2018]]</f>
        <v>-3532.2139999999999</v>
      </c>
      <c r="U364" s="40">
        <f>Tabela1[[#This Row],[Total 2019]]/Tabela1[[#This Row],[Meta]]</f>
        <v>0</v>
      </c>
      <c r="V364" s="17">
        <f>IFERROR(Tabela1[[#This Row],[Total 2019]]/Tabela1[[#This Row],[Total 2018]]-1,0)</f>
        <v>-1</v>
      </c>
      <c r="W36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64" s="48"/>
      <c r="Y364" s="19"/>
      <c r="Z364" s="68"/>
    </row>
    <row r="365" spans="3:28" x14ac:dyDescent="0.35">
      <c r="C365" s="11" t="s">
        <v>2703</v>
      </c>
      <c r="D365" s="12" t="s">
        <v>2700</v>
      </c>
      <c r="E365" s="12">
        <v>352</v>
      </c>
      <c r="F365" s="13" t="s">
        <v>1799</v>
      </c>
      <c r="G365" s="14">
        <v>2</v>
      </c>
      <c r="H365" s="14" t="s">
        <v>1372</v>
      </c>
      <c r="I365" s="13">
        <v>6</v>
      </c>
      <c r="J365" s="15" t="s">
        <v>1405</v>
      </c>
      <c r="K365" s="15" t="s">
        <v>2708</v>
      </c>
      <c r="L365" s="16">
        <v>4250.3664999999992</v>
      </c>
      <c r="M365" s="16">
        <v>6131.9364999999998</v>
      </c>
      <c r="N365" s="16">
        <v>840.86400000000003</v>
      </c>
      <c r="O365" s="16">
        <v>5898.1319999999996</v>
      </c>
      <c r="P365" s="16">
        <v>8136.9399999999987</v>
      </c>
      <c r="Q365" s="16">
        <f>SUM(Tabela1[[#This Row],[201805]:[201807]])</f>
        <v>11223.166999999999</v>
      </c>
      <c r="R365" s="16">
        <f>SUM(Tabela1[[#This Row],[201905]:[201906]])</f>
        <v>14035.071999999998</v>
      </c>
      <c r="S365" s="16">
        <v>100000</v>
      </c>
      <c r="T365" s="16">
        <f>Tabela1[[#This Row],[Total 2019]]-Tabela1[[#This Row],[Total 2018]]</f>
        <v>2811.9049999999988</v>
      </c>
      <c r="U365" s="40">
        <f>Tabela1[[#This Row],[Total 2019]]/Tabela1[[#This Row],[Meta]]</f>
        <v>0.14035071999999998</v>
      </c>
      <c r="V365" s="17">
        <f>IFERROR(Tabela1[[#This Row],[Total 2019]]/Tabela1[[#This Row],[Total 2018]]-1,0)</f>
        <v>0.2505446991923046</v>
      </c>
      <c r="W36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365" s="48"/>
      <c r="Y365" s="19"/>
      <c r="Z365" s="68"/>
    </row>
    <row r="366" spans="3:28" x14ac:dyDescent="0.35">
      <c r="C366" s="11" t="s">
        <v>2702</v>
      </c>
      <c r="D366" s="12" t="s">
        <v>2698</v>
      </c>
      <c r="E366" s="12">
        <v>353</v>
      </c>
      <c r="F366" s="13" t="s">
        <v>1800</v>
      </c>
      <c r="G366" s="14">
        <v>2</v>
      </c>
      <c r="H366" s="14" t="s">
        <v>1370</v>
      </c>
      <c r="I366" s="13">
        <v>8</v>
      </c>
      <c r="J366" s="15" t="s">
        <v>1407</v>
      </c>
      <c r="K366" s="15" t="s">
        <v>2706</v>
      </c>
      <c r="L366" s="16">
        <v>3605.2689999999998</v>
      </c>
      <c r="M366" s="16">
        <v>6156.4179999999997</v>
      </c>
      <c r="N366" s="16"/>
      <c r="O366" s="16"/>
      <c r="P366" s="16"/>
      <c r="Q366" s="16">
        <f>SUM(Tabela1[[#This Row],[201805]:[201807]])</f>
        <v>9761.6869999999999</v>
      </c>
      <c r="R366" s="16">
        <f>SUM(Tabela1[[#This Row],[201905]:[201906]])</f>
        <v>0</v>
      </c>
      <c r="S366" s="16">
        <v>100000</v>
      </c>
      <c r="T366" s="16">
        <f>Tabela1[[#This Row],[Total 2019]]-Tabela1[[#This Row],[Total 2018]]</f>
        <v>-9761.6869999999999</v>
      </c>
      <c r="U366" s="40">
        <f>Tabela1[[#This Row],[Total 2019]]/Tabela1[[#This Row],[Meta]]</f>
        <v>0</v>
      </c>
      <c r="V366" s="17">
        <f>IFERROR(Tabela1[[#This Row],[Total 2019]]/Tabela1[[#This Row],[Total 2018]]-1,0)</f>
        <v>-1</v>
      </c>
      <c r="W36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66" s="48"/>
      <c r="Y366" s="19"/>
      <c r="Z366" s="68"/>
    </row>
    <row r="367" spans="3:28" x14ac:dyDescent="0.35">
      <c r="C367" s="11" t="s">
        <v>2703</v>
      </c>
      <c r="D367" s="12" t="s">
        <v>2698</v>
      </c>
      <c r="E367" s="12">
        <v>354</v>
      </c>
      <c r="F367" s="13" t="s">
        <v>1801</v>
      </c>
      <c r="G367" s="14">
        <v>1</v>
      </c>
      <c r="H367" s="14" t="s">
        <v>1370</v>
      </c>
      <c r="I367" s="13">
        <v>1</v>
      </c>
      <c r="J367" s="15" t="s">
        <v>1400</v>
      </c>
      <c r="K367" s="15" t="s">
        <v>2706</v>
      </c>
      <c r="L367" s="16">
        <v>2640.2494999999994</v>
      </c>
      <c r="M367" s="16">
        <v>1020.4424999999998</v>
      </c>
      <c r="N367" s="16"/>
      <c r="O367" s="16"/>
      <c r="P367" s="16"/>
      <c r="Q367" s="16">
        <f>SUM(Tabela1[[#This Row],[201805]:[201807]])</f>
        <v>3660.6919999999991</v>
      </c>
      <c r="R367" s="16">
        <f>SUM(Tabela1[[#This Row],[201905]:[201906]])</f>
        <v>0</v>
      </c>
      <c r="S367" s="16">
        <v>100000</v>
      </c>
      <c r="T367" s="16">
        <f>Tabela1[[#This Row],[Total 2019]]-Tabela1[[#This Row],[Total 2018]]</f>
        <v>-3660.6919999999991</v>
      </c>
      <c r="U367" s="40">
        <f>Tabela1[[#This Row],[Total 2019]]/Tabela1[[#This Row],[Meta]]</f>
        <v>0</v>
      </c>
      <c r="V367" s="17">
        <f>IFERROR(Tabela1[[#This Row],[Total 2019]]/Tabela1[[#This Row],[Total 2018]]-1,0)</f>
        <v>-1</v>
      </c>
      <c r="W36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67" s="48"/>
      <c r="Y367" s="19"/>
      <c r="Z367" s="68"/>
    </row>
    <row r="368" spans="3:28" x14ac:dyDescent="0.35">
      <c r="C368" s="11" t="s">
        <v>2703</v>
      </c>
      <c r="D368" s="12" t="s">
        <v>2700</v>
      </c>
      <c r="E368" s="12">
        <v>355</v>
      </c>
      <c r="F368" s="13" t="s">
        <v>1802</v>
      </c>
      <c r="G368" s="14">
        <v>3</v>
      </c>
      <c r="H368" s="14" t="s">
        <v>1371</v>
      </c>
      <c r="I368" s="13">
        <v>24</v>
      </c>
      <c r="J368" s="15" t="s">
        <v>1423</v>
      </c>
      <c r="K368" s="15" t="s">
        <v>2707</v>
      </c>
      <c r="L368" s="16"/>
      <c r="M368" s="16"/>
      <c r="N368" s="16"/>
      <c r="O368" s="16">
        <v>7355.0519999999997</v>
      </c>
      <c r="P368" s="16">
        <v>5954.0679999999993</v>
      </c>
      <c r="Q368" s="16">
        <f>SUM(Tabela1[[#This Row],[201805]:[201807]])</f>
        <v>0</v>
      </c>
      <c r="R368" s="16">
        <f>SUM(Tabela1[[#This Row],[201905]:[201906]])</f>
        <v>13309.119999999999</v>
      </c>
      <c r="S368" s="16">
        <v>100000</v>
      </c>
      <c r="T368" s="16">
        <f>Tabela1[[#This Row],[Total 2019]]-Tabela1[[#This Row],[Total 2018]]</f>
        <v>13309.119999999999</v>
      </c>
      <c r="U368" s="40">
        <f>Tabela1[[#This Row],[Total 2019]]/Tabela1[[#This Row],[Meta]]</f>
        <v>0.13309119999999999</v>
      </c>
      <c r="V368" s="17">
        <f>IFERROR(Tabela1[[#This Row],[Total 2019]]/Tabela1[[#This Row],[Total 2018]]-1,0)</f>
        <v>0</v>
      </c>
      <c r="W36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368" s="48"/>
      <c r="Y368" s="19"/>
      <c r="Z368" s="68"/>
    </row>
    <row r="369" spans="3:26" x14ac:dyDescent="0.35">
      <c r="C369" s="11" t="s">
        <v>2704</v>
      </c>
      <c r="D369" s="12" t="s">
        <v>2698</v>
      </c>
      <c r="E369" s="12">
        <v>356</v>
      </c>
      <c r="F369" s="13" t="s">
        <v>1803</v>
      </c>
      <c r="G369" s="14">
        <v>2</v>
      </c>
      <c r="H369" s="14" t="s">
        <v>1372</v>
      </c>
      <c r="I369" s="13">
        <v>6</v>
      </c>
      <c r="J369" s="15" t="s">
        <v>1405</v>
      </c>
      <c r="K369" s="15" t="s">
        <v>2708</v>
      </c>
      <c r="L369" s="16">
        <v>3569.6345000000001</v>
      </c>
      <c r="M369" s="16">
        <v>1141.33</v>
      </c>
      <c r="N369" s="16"/>
      <c r="O369" s="16"/>
      <c r="P369" s="16"/>
      <c r="Q369" s="16">
        <f>SUM(Tabela1[[#This Row],[201805]:[201807]])</f>
        <v>4710.9645</v>
      </c>
      <c r="R369" s="16">
        <f>SUM(Tabela1[[#This Row],[201905]:[201906]])</f>
        <v>0</v>
      </c>
      <c r="S369" s="16">
        <v>100000</v>
      </c>
      <c r="T369" s="16">
        <f>Tabela1[[#This Row],[Total 2019]]-Tabela1[[#This Row],[Total 2018]]</f>
        <v>-4710.9645</v>
      </c>
      <c r="U369" s="40">
        <f>Tabela1[[#This Row],[Total 2019]]/Tabela1[[#This Row],[Meta]]</f>
        <v>0</v>
      </c>
      <c r="V369" s="17">
        <f>IFERROR(Tabela1[[#This Row],[Total 2019]]/Tabela1[[#This Row],[Total 2018]]-1,0)</f>
        <v>-1</v>
      </c>
      <c r="W36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69" s="48"/>
      <c r="Y369" s="19"/>
      <c r="Z369" s="68"/>
    </row>
    <row r="370" spans="3:26" x14ac:dyDescent="0.35">
      <c r="C370" s="11" t="s">
        <v>2703</v>
      </c>
      <c r="D370" s="12" t="s">
        <v>2700</v>
      </c>
      <c r="E370" s="12">
        <v>357</v>
      </c>
      <c r="F370" s="13" t="s">
        <v>1804</v>
      </c>
      <c r="G370" s="14">
        <v>2</v>
      </c>
      <c r="H370" s="14" t="s">
        <v>1372</v>
      </c>
      <c r="I370" s="13">
        <v>10</v>
      </c>
      <c r="J370" s="15" t="s">
        <v>1409</v>
      </c>
      <c r="K370" s="15" t="s">
        <v>2708</v>
      </c>
      <c r="L370" s="16">
        <v>2610.1534999999999</v>
      </c>
      <c r="M370" s="16">
        <v>4616.5724999999993</v>
      </c>
      <c r="N370" s="16">
        <v>2780.6024999999995</v>
      </c>
      <c r="O370" s="16"/>
      <c r="P370" s="16"/>
      <c r="Q370" s="16">
        <f>SUM(Tabela1[[#This Row],[201805]:[201807]])</f>
        <v>10007.328499999998</v>
      </c>
      <c r="R370" s="16">
        <f>SUM(Tabela1[[#This Row],[201905]:[201906]])</f>
        <v>0</v>
      </c>
      <c r="S370" s="16">
        <v>100000</v>
      </c>
      <c r="T370" s="16">
        <f>Tabela1[[#This Row],[Total 2019]]-Tabela1[[#This Row],[Total 2018]]</f>
        <v>-10007.328499999998</v>
      </c>
      <c r="U370" s="40">
        <f>Tabela1[[#This Row],[Total 2019]]/Tabela1[[#This Row],[Meta]]</f>
        <v>0</v>
      </c>
      <c r="V370" s="17">
        <f>IFERROR(Tabela1[[#This Row],[Total 2019]]/Tabela1[[#This Row],[Total 2018]]-1,0)</f>
        <v>-1</v>
      </c>
      <c r="W37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70" s="48"/>
      <c r="Y370" s="19"/>
      <c r="Z370" s="68"/>
    </row>
    <row r="371" spans="3:26" x14ac:dyDescent="0.35">
      <c r="C371" s="11" t="s">
        <v>2704</v>
      </c>
      <c r="D371" s="12" t="s">
        <v>2699</v>
      </c>
      <c r="E371" s="12">
        <v>358</v>
      </c>
      <c r="F371" s="13" t="s">
        <v>1805</v>
      </c>
      <c r="G371" s="14">
        <v>1</v>
      </c>
      <c r="H371" s="14" t="s">
        <v>1372</v>
      </c>
      <c r="I371" s="13">
        <v>6</v>
      </c>
      <c r="J371" s="15" t="s">
        <v>1405</v>
      </c>
      <c r="K371" s="15" t="s">
        <v>2708</v>
      </c>
      <c r="L371" s="16">
        <v>8896.9874999999993</v>
      </c>
      <c r="M371" s="16">
        <v>13480.433499999997</v>
      </c>
      <c r="N371" s="16">
        <v>1996.6244999999999</v>
      </c>
      <c r="O371" s="16">
        <v>8800.4294999999984</v>
      </c>
      <c r="P371" s="16">
        <v>8017.1449999999995</v>
      </c>
      <c r="Q371" s="16">
        <f>SUM(Tabela1[[#This Row],[201805]:[201807]])</f>
        <v>24374.045499999993</v>
      </c>
      <c r="R371" s="16">
        <f>SUM(Tabela1[[#This Row],[201905]:[201906]])</f>
        <v>16817.574499999999</v>
      </c>
      <c r="S371" s="16">
        <v>100000</v>
      </c>
      <c r="T371" s="16">
        <f>Tabela1[[#This Row],[Total 2019]]-Tabela1[[#This Row],[Total 2018]]</f>
        <v>-7556.4709999999941</v>
      </c>
      <c r="U371" s="40">
        <f>Tabela1[[#This Row],[Total 2019]]/Tabela1[[#This Row],[Meta]]</f>
        <v>0.16817574499999999</v>
      </c>
      <c r="V371" s="17">
        <f>IFERROR(Tabela1[[#This Row],[Total 2019]]/Tabela1[[#This Row],[Total 2018]]-1,0)</f>
        <v>-0.31002120677915357</v>
      </c>
      <c r="W37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371" s="48"/>
      <c r="Y371" s="19"/>
      <c r="Z371" s="68"/>
    </row>
    <row r="372" spans="3:26" x14ac:dyDescent="0.35">
      <c r="C372" s="11" t="s">
        <v>2702</v>
      </c>
      <c r="D372" s="12" t="s">
        <v>2699</v>
      </c>
      <c r="E372" s="12">
        <v>359</v>
      </c>
      <c r="F372" s="13" t="s">
        <v>1806</v>
      </c>
      <c r="G372" s="14">
        <v>2</v>
      </c>
      <c r="H372" s="14" t="s">
        <v>1372</v>
      </c>
      <c r="I372" s="13">
        <v>25</v>
      </c>
      <c r="J372" s="15" t="s">
        <v>1424</v>
      </c>
      <c r="K372" s="15" t="s">
        <v>2708</v>
      </c>
      <c r="L372" s="16"/>
      <c r="M372" s="16"/>
      <c r="N372" s="16"/>
      <c r="O372" s="16">
        <v>8871.8029999999999</v>
      </c>
      <c r="P372" s="16">
        <v>1647.5564999999999</v>
      </c>
      <c r="Q372" s="16">
        <f>SUM(Tabela1[[#This Row],[201805]:[201807]])</f>
        <v>0</v>
      </c>
      <c r="R372" s="16">
        <f>SUM(Tabela1[[#This Row],[201905]:[201906]])</f>
        <v>10519.3595</v>
      </c>
      <c r="S372" s="16">
        <v>100000</v>
      </c>
      <c r="T372" s="16">
        <f>Tabela1[[#This Row],[Total 2019]]-Tabela1[[#This Row],[Total 2018]]</f>
        <v>10519.3595</v>
      </c>
      <c r="U372" s="40">
        <f>Tabela1[[#This Row],[Total 2019]]/Tabela1[[#This Row],[Meta]]</f>
        <v>0.105193595</v>
      </c>
      <c r="V372" s="17">
        <f>IFERROR(Tabela1[[#This Row],[Total 2019]]/Tabela1[[#This Row],[Total 2018]]-1,0)</f>
        <v>0</v>
      </c>
      <c r="W37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372" s="48"/>
      <c r="Y372" s="19"/>
      <c r="Z372" s="68"/>
    </row>
    <row r="373" spans="3:26" x14ac:dyDescent="0.35">
      <c r="C373" s="11" t="s">
        <v>2702</v>
      </c>
      <c r="D373" s="12" t="s">
        <v>2700</v>
      </c>
      <c r="E373" s="12">
        <v>360</v>
      </c>
      <c r="F373" s="13" t="s">
        <v>1807</v>
      </c>
      <c r="G373" s="14">
        <v>2</v>
      </c>
      <c r="H373" s="14" t="s">
        <v>1372</v>
      </c>
      <c r="I373" s="13">
        <v>22</v>
      </c>
      <c r="J373" s="15" t="s">
        <v>1421</v>
      </c>
      <c r="K373" s="15" t="s">
        <v>2708</v>
      </c>
      <c r="L373" s="16">
        <v>4550.2909999999993</v>
      </c>
      <c r="M373" s="16">
        <v>9160.3274999999994</v>
      </c>
      <c r="N373" s="16">
        <v>1989.7370000000001</v>
      </c>
      <c r="O373" s="16">
        <v>8927.5869999999995</v>
      </c>
      <c r="P373" s="16">
        <v>9628.1265000000003</v>
      </c>
      <c r="Q373" s="16">
        <f>SUM(Tabela1[[#This Row],[201805]:[201807]])</f>
        <v>15700.355499999998</v>
      </c>
      <c r="R373" s="16">
        <f>SUM(Tabela1[[#This Row],[201905]:[201906]])</f>
        <v>18555.713499999998</v>
      </c>
      <c r="S373" s="16">
        <v>100000</v>
      </c>
      <c r="T373" s="16">
        <f>Tabela1[[#This Row],[Total 2019]]-Tabela1[[#This Row],[Total 2018]]</f>
        <v>2855.3580000000002</v>
      </c>
      <c r="U373" s="40">
        <f>Tabela1[[#This Row],[Total 2019]]/Tabela1[[#This Row],[Meta]]</f>
        <v>0.18555713499999998</v>
      </c>
      <c r="V373" s="17">
        <f>IFERROR(Tabela1[[#This Row],[Total 2019]]/Tabela1[[#This Row],[Total 2018]]-1,0)</f>
        <v>0.18186581826124892</v>
      </c>
      <c r="W37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373" s="48"/>
      <c r="Y373" s="19"/>
      <c r="Z373" s="68"/>
    </row>
    <row r="374" spans="3:26" x14ac:dyDescent="0.35">
      <c r="C374" s="11" t="s">
        <v>2704</v>
      </c>
      <c r="D374" s="12" t="s">
        <v>2700</v>
      </c>
      <c r="E374" s="12">
        <v>361</v>
      </c>
      <c r="F374" s="13" t="s">
        <v>1808</v>
      </c>
      <c r="G374" s="14">
        <v>3</v>
      </c>
      <c r="H374" s="14" t="s">
        <v>1372</v>
      </c>
      <c r="I374" s="13">
        <v>21</v>
      </c>
      <c r="J374" s="15" t="s">
        <v>1420</v>
      </c>
      <c r="K374" s="15" t="s">
        <v>2708</v>
      </c>
      <c r="L374" s="16"/>
      <c r="M374" s="16">
        <v>4325.5874999999996</v>
      </c>
      <c r="N374" s="16"/>
      <c r="O374" s="16"/>
      <c r="P374" s="16"/>
      <c r="Q374" s="16">
        <f>SUM(Tabela1[[#This Row],[201805]:[201807]])</f>
        <v>4325.5874999999996</v>
      </c>
      <c r="R374" s="16">
        <f>SUM(Tabela1[[#This Row],[201905]:[201906]])</f>
        <v>0</v>
      </c>
      <c r="S374" s="16">
        <v>100000</v>
      </c>
      <c r="T374" s="16">
        <f>Tabela1[[#This Row],[Total 2019]]-Tabela1[[#This Row],[Total 2018]]</f>
        <v>-4325.5874999999996</v>
      </c>
      <c r="U374" s="40">
        <f>Tabela1[[#This Row],[Total 2019]]/Tabela1[[#This Row],[Meta]]</f>
        <v>0</v>
      </c>
      <c r="V374" s="17">
        <f>IFERROR(Tabela1[[#This Row],[Total 2019]]/Tabela1[[#This Row],[Total 2018]]-1,0)</f>
        <v>-1</v>
      </c>
      <c r="W37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74" s="48"/>
      <c r="Y374" s="19"/>
      <c r="Z374" s="68"/>
    </row>
    <row r="375" spans="3:26" x14ac:dyDescent="0.35">
      <c r="C375" s="11" t="s">
        <v>2704</v>
      </c>
      <c r="D375" s="12" t="s">
        <v>2699</v>
      </c>
      <c r="E375" s="12">
        <v>362</v>
      </c>
      <c r="F375" s="13" t="s">
        <v>1809</v>
      </c>
      <c r="G375" s="14">
        <v>3</v>
      </c>
      <c r="H375" s="14" t="s">
        <v>1372</v>
      </c>
      <c r="I375" s="13">
        <v>18</v>
      </c>
      <c r="J375" s="15" t="s">
        <v>1417</v>
      </c>
      <c r="K375" s="15" t="s">
        <v>2708</v>
      </c>
      <c r="L375" s="16"/>
      <c r="M375" s="16">
        <v>3944.9509999999996</v>
      </c>
      <c r="N375" s="16"/>
      <c r="O375" s="16">
        <v>7838.7349999999988</v>
      </c>
      <c r="P375" s="16"/>
      <c r="Q375" s="16">
        <f>SUM(Tabela1[[#This Row],[201805]:[201807]])</f>
        <v>3944.9509999999996</v>
      </c>
      <c r="R375" s="16">
        <f>SUM(Tabela1[[#This Row],[201905]:[201906]])</f>
        <v>7838.7349999999988</v>
      </c>
      <c r="S375" s="16">
        <v>100000</v>
      </c>
      <c r="T375" s="16">
        <f>Tabela1[[#This Row],[Total 2019]]-Tabela1[[#This Row],[Total 2018]]</f>
        <v>3893.7839999999992</v>
      </c>
      <c r="U375" s="40">
        <f>Tabela1[[#This Row],[Total 2019]]/Tabela1[[#This Row],[Meta]]</f>
        <v>7.8387349999999995E-2</v>
      </c>
      <c r="V375" s="17">
        <f>IFERROR(Tabela1[[#This Row],[Total 2019]]/Tabela1[[#This Row],[Total 2018]]-1,0)</f>
        <v>0.98702975017940653</v>
      </c>
      <c r="W37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375" s="48"/>
      <c r="Y375" s="19"/>
      <c r="Z375" s="68"/>
    </row>
    <row r="376" spans="3:26" x14ac:dyDescent="0.35">
      <c r="C376" s="11" t="s">
        <v>2702</v>
      </c>
      <c r="D376" s="12" t="s">
        <v>2700</v>
      </c>
      <c r="E376" s="12">
        <v>363</v>
      </c>
      <c r="F376" s="13" t="s">
        <v>1810</v>
      </c>
      <c r="G376" s="14">
        <v>1</v>
      </c>
      <c r="H376" s="14" t="s">
        <v>1370</v>
      </c>
      <c r="I376" s="13">
        <v>11</v>
      </c>
      <c r="J376" s="15" t="s">
        <v>1410</v>
      </c>
      <c r="K376" s="15" t="s">
        <v>2706</v>
      </c>
      <c r="L376" s="16"/>
      <c r="M376" s="16"/>
      <c r="N376" s="16"/>
      <c r="O376" s="16">
        <v>324.65299999999996</v>
      </c>
      <c r="P376" s="16"/>
      <c r="Q376" s="16">
        <f>SUM(Tabela1[[#This Row],[201805]:[201807]])</f>
        <v>0</v>
      </c>
      <c r="R376" s="16">
        <f>SUM(Tabela1[[#This Row],[201905]:[201906]])</f>
        <v>324.65299999999996</v>
      </c>
      <c r="S376" s="16">
        <v>100000</v>
      </c>
      <c r="T376" s="16">
        <f>Tabela1[[#This Row],[Total 2019]]-Tabela1[[#This Row],[Total 2018]]</f>
        <v>324.65299999999996</v>
      </c>
      <c r="U376" s="40">
        <f>Tabela1[[#This Row],[Total 2019]]/Tabela1[[#This Row],[Meta]]</f>
        <v>3.2465299999999996E-3</v>
      </c>
      <c r="V376" s="17">
        <f>IFERROR(Tabela1[[#This Row],[Total 2019]]/Tabela1[[#This Row],[Total 2018]]-1,0)</f>
        <v>0</v>
      </c>
      <c r="W37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376" s="48"/>
      <c r="Y376" s="19"/>
      <c r="Z376" s="68"/>
    </row>
    <row r="377" spans="3:26" x14ac:dyDescent="0.35">
      <c r="C377" s="11" t="s">
        <v>2704</v>
      </c>
      <c r="D377" s="12" t="s">
        <v>2699</v>
      </c>
      <c r="E377" s="12">
        <v>364</v>
      </c>
      <c r="F377" s="13" t="s">
        <v>1811</v>
      </c>
      <c r="G377" s="14">
        <v>1</v>
      </c>
      <c r="H377" s="14" t="s">
        <v>1372</v>
      </c>
      <c r="I377" s="13">
        <v>16</v>
      </c>
      <c r="J377" s="15" t="s">
        <v>1415</v>
      </c>
      <c r="K377" s="15" t="s">
        <v>2708</v>
      </c>
      <c r="L377" s="16">
        <v>2963.6674999999996</v>
      </c>
      <c r="M377" s="16">
        <v>5397.7860000000001</v>
      </c>
      <c r="N377" s="16">
        <v>1528.0275000000001</v>
      </c>
      <c r="O377" s="16">
        <v>9099.2139999999999</v>
      </c>
      <c r="P377" s="16">
        <v>4590.1339999999991</v>
      </c>
      <c r="Q377" s="16">
        <f>SUM(Tabela1[[#This Row],[201805]:[201807]])</f>
        <v>9889.4809999999998</v>
      </c>
      <c r="R377" s="16">
        <f>SUM(Tabela1[[#This Row],[201905]:[201906]])</f>
        <v>13689.347999999998</v>
      </c>
      <c r="S377" s="16">
        <v>100000</v>
      </c>
      <c r="T377" s="16">
        <f>Tabela1[[#This Row],[Total 2019]]-Tabela1[[#This Row],[Total 2018]]</f>
        <v>3799.8669999999984</v>
      </c>
      <c r="U377" s="40">
        <f>Tabela1[[#This Row],[Total 2019]]/Tabela1[[#This Row],[Meta]]</f>
        <v>0.13689347999999998</v>
      </c>
      <c r="V377" s="17">
        <f>IFERROR(Tabela1[[#This Row],[Total 2019]]/Tabela1[[#This Row],[Total 2018]]-1,0)</f>
        <v>0.38423320698022456</v>
      </c>
      <c r="W37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377" s="48"/>
      <c r="Y377" s="19"/>
      <c r="Z377" s="68"/>
    </row>
    <row r="378" spans="3:26" x14ac:dyDescent="0.35">
      <c r="C378" s="11" t="s">
        <v>2702</v>
      </c>
      <c r="D378" s="12" t="s">
        <v>2700</v>
      </c>
      <c r="E378" s="12">
        <v>365</v>
      </c>
      <c r="F378" s="13" t="s">
        <v>1812</v>
      </c>
      <c r="G378" s="14">
        <v>3</v>
      </c>
      <c r="H378" s="14" t="s">
        <v>1370</v>
      </c>
      <c r="I378" s="13">
        <v>11</v>
      </c>
      <c r="J378" s="15" t="s">
        <v>1410</v>
      </c>
      <c r="K378" s="15" t="s">
        <v>2706</v>
      </c>
      <c r="L378" s="16"/>
      <c r="M378" s="16">
        <v>3271.8380000000002</v>
      </c>
      <c r="N378" s="16">
        <v>1054.671</v>
      </c>
      <c r="O378" s="16">
        <v>15375.645500000001</v>
      </c>
      <c r="P378" s="16"/>
      <c r="Q378" s="16">
        <f>SUM(Tabela1[[#This Row],[201805]:[201807]])</f>
        <v>4326.509</v>
      </c>
      <c r="R378" s="16">
        <f>SUM(Tabela1[[#This Row],[201905]:[201906]])</f>
        <v>15375.645500000001</v>
      </c>
      <c r="S378" s="16">
        <v>100000</v>
      </c>
      <c r="T378" s="16">
        <f>Tabela1[[#This Row],[Total 2019]]-Tabela1[[#This Row],[Total 2018]]</f>
        <v>11049.136500000001</v>
      </c>
      <c r="U378" s="40">
        <f>Tabela1[[#This Row],[Total 2019]]/Tabela1[[#This Row],[Meta]]</f>
        <v>0.15375645500000001</v>
      </c>
      <c r="V378" s="17">
        <f>IFERROR(Tabela1[[#This Row],[Total 2019]]/Tabela1[[#This Row],[Total 2018]]-1,0)</f>
        <v>2.5538226084818039</v>
      </c>
      <c r="W37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378" s="48"/>
      <c r="Y378" s="19"/>
      <c r="Z378" s="68"/>
    </row>
    <row r="379" spans="3:26" x14ac:dyDescent="0.35">
      <c r="C379" s="11" t="s">
        <v>2703</v>
      </c>
      <c r="D379" s="12" t="s">
        <v>2700</v>
      </c>
      <c r="E379" s="12">
        <v>366</v>
      </c>
      <c r="F379" s="13" t="s">
        <v>1813</v>
      </c>
      <c r="G379" s="14">
        <v>1</v>
      </c>
      <c r="H379" s="14" t="s">
        <v>1372</v>
      </c>
      <c r="I379" s="13">
        <v>18</v>
      </c>
      <c r="J379" s="15" t="s">
        <v>1417</v>
      </c>
      <c r="K379" s="15" t="s">
        <v>2708</v>
      </c>
      <c r="L379" s="16">
        <v>2721.8829999999998</v>
      </c>
      <c r="M379" s="16">
        <v>10787.411499999998</v>
      </c>
      <c r="N379" s="16">
        <v>1449.643</v>
      </c>
      <c r="O379" s="16"/>
      <c r="P379" s="16"/>
      <c r="Q379" s="16">
        <f>SUM(Tabela1[[#This Row],[201805]:[201807]])</f>
        <v>14958.937499999998</v>
      </c>
      <c r="R379" s="16">
        <f>SUM(Tabela1[[#This Row],[201905]:[201906]])</f>
        <v>0</v>
      </c>
      <c r="S379" s="16">
        <v>100000</v>
      </c>
      <c r="T379" s="16">
        <f>Tabela1[[#This Row],[Total 2019]]-Tabela1[[#This Row],[Total 2018]]</f>
        <v>-14958.937499999998</v>
      </c>
      <c r="U379" s="40">
        <f>Tabela1[[#This Row],[Total 2019]]/Tabela1[[#This Row],[Meta]]</f>
        <v>0</v>
      </c>
      <c r="V379" s="17">
        <f>IFERROR(Tabela1[[#This Row],[Total 2019]]/Tabela1[[#This Row],[Total 2018]]-1,0)</f>
        <v>-1</v>
      </c>
      <c r="W37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79" s="48"/>
      <c r="Y379" s="19"/>
      <c r="Z379" s="68"/>
    </row>
    <row r="380" spans="3:26" x14ac:dyDescent="0.35">
      <c r="C380" s="11" t="s">
        <v>2703</v>
      </c>
      <c r="D380" s="12" t="s">
        <v>2700</v>
      </c>
      <c r="E380" s="12">
        <v>367</v>
      </c>
      <c r="F380" s="13" t="s">
        <v>1814</v>
      </c>
      <c r="G380" s="14">
        <v>2</v>
      </c>
      <c r="H380" s="14" t="s">
        <v>1372</v>
      </c>
      <c r="I380" s="13">
        <v>22</v>
      </c>
      <c r="J380" s="15" t="s">
        <v>1421</v>
      </c>
      <c r="K380" s="15" t="s">
        <v>2708</v>
      </c>
      <c r="L380" s="16"/>
      <c r="M380" s="16">
        <v>2563.5370000000003</v>
      </c>
      <c r="N380" s="16"/>
      <c r="O380" s="16"/>
      <c r="P380" s="16"/>
      <c r="Q380" s="16">
        <f>SUM(Tabela1[[#This Row],[201805]:[201807]])</f>
        <v>2563.5370000000003</v>
      </c>
      <c r="R380" s="16">
        <f>SUM(Tabela1[[#This Row],[201905]:[201906]])</f>
        <v>0</v>
      </c>
      <c r="S380" s="16">
        <v>100000</v>
      </c>
      <c r="T380" s="16">
        <f>Tabela1[[#This Row],[Total 2019]]-Tabela1[[#This Row],[Total 2018]]</f>
        <v>-2563.5370000000003</v>
      </c>
      <c r="U380" s="40">
        <f>Tabela1[[#This Row],[Total 2019]]/Tabela1[[#This Row],[Meta]]</f>
        <v>0</v>
      </c>
      <c r="V380" s="17">
        <f>IFERROR(Tabela1[[#This Row],[Total 2019]]/Tabela1[[#This Row],[Total 2018]]-1,0)</f>
        <v>-1</v>
      </c>
      <c r="W38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80" s="48"/>
      <c r="Y380" s="19"/>
      <c r="Z380" s="68"/>
    </row>
    <row r="381" spans="3:26" x14ac:dyDescent="0.35">
      <c r="C381" s="11" t="s">
        <v>2702</v>
      </c>
      <c r="D381" s="12" t="s">
        <v>2699</v>
      </c>
      <c r="E381" s="12">
        <v>368</v>
      </c>
      <c r="F381" s="13" t="s">
        <v>1815</v>
      </c>
      <c r="G381" s="14">
        <v>1</v>
      </c>
      <c r="H381" s="14" t="s">
        <v>1370</v>
      </c>
      <c r="I381" s="13">
        <v>19</v>
      </c>
      <c r="J381" s="15" t="s">
        <v>1418</v>
      </c>
      <c r="K381" s="15" t="s">
        <v>2706</v>
      </c>
      <c r="L381" s="16">
        <v>17757.228999999999</v>
      </c>
      <c r="M381" s="16">
        <v>5062.6260000000002</v>
      </c>
      <c r="N381" s="16"/>
      <c r="O381" s="16">
        <v>11675.367</v>
      </c>
      <c r="P381" s="16">
        <v>14216.645499999999</v>
      </c>
      <c r="Q381" s="16">
        <f>SUM(Tabela1[[#This Row],[201805]:[201807]])</f>
        <v>22819.855</v>
      </c>
      <c r="R381" s="16">
        <f>SUM(Tabela1[[#This Row],[201905]:[201906]])</f>
        <v>25892.012499999997</v>
      </c>
      <c r="S381" s="16">
        <v>100000</v>
      </c>
      <c r="T381" s="16">
        <f>Tabela1[[#This Row],[Total 2019]]-Tabela1[[#This Row],[Total 2018]]</f>
        <v>3072.1574999999975</v>
      </c>
      <c r="U381" s="40">
        <f>Tabela1[[#This Row],[Total 2019]]/Tabela1[[#This Row],[Meta]]</f>
        <v>0.25892012499999995</v>
      </c>
      <c r="V381" s="17">
        <f>IFERROR(Tabela1[[#This Row],[Total 2019]]/Tabela1[[#This Row],[Total 2018]]-1,0)</f>
        <v>0.13462651274515092</v>
      </c>
      <c r="W38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381" s="48"/>
      <c r="Y381" s="19"/>
      <c r="Z381" s="68"/>
    </row>
    <row r="382" spans="3:26" x14ac:dyDescent="0.35">
      <c r="C382" s="11" t="s">
        <v>2704</v>
      </c>
      <c r="D382" s="12" t="s">
        <v>2700</v>
      </c>
      <c r="E382" s="12">
        <v>369</v>
      </c>
      <c r="F382" s="13" t="s">
        <v>1816</v>
      </c>
      <c r="G382" s="14">
        <v>1</v>
      </c>
      <c r="H382" s="14" t="s">
        <v>1370</v>
      </c>
      <c r="I382" s="13">
        <v>1</v>
      </c>
      <c r="J382" s="15" t="s">
        <v>1400</v>
      </c>
      <c r="K382" s="15" t="s">
        <v>2706</v>
      </c>
      <c r="L382" s="16"/>
      <c r="M382" s="16">
        <v>3598.5715</v>
      </c>
      <c r="N382" s="16"/>
      <c r="O382" s="16"/>
      <c r="P382" s="16"/>
      <c r="Q382" s="16">
        <f>SUM(Tabela1[[#This Row],[201805]:[201807]])</f>
        <v>3598.5715</v>
      </c>
      <c r="R382" s="16">
        <f>SUM(Tabela1[[#This Row],[201905]:[201906]])</f>
        <v>0</v>
      </c>
      <c r="S382" s="16">
        <v>100000</v>
      </c>
      <c r="T382" s="16">
        <f>Tabela1[[#This Row],[Total 2019]]-Tabela1[[#This Row],[Total 2018]]</f>
        <v>-3598.5715</v>
      </c>
      <c r="U382" s="40">
        <f>Tabela1[[#This Row],[Total 2019]]/Tabela1[[#This Row],[Meta]]</f>
        <v>0</v>
      </c>
      <c r="V382" s="17">
        <f>IFERROR(Tabela1[[#This Row],[Total 2019]]/Tabela1[[#This Row],[Total 2018]]-1,0)</f>
        <v>-1</v>
      </c>
      <c r="W38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82" s="48"/>
      <c r="Y382" s="19"/>
      <c r="Z382" s="68"/>
    </row>
    <row r="383" spans="3:26" x14ac:dyDescent="0.35">
      <c r="C383" s="11" t="s">
        <v>2704</v>
      </c>
      <c r="D383" s="12" t="s">
        <v>2700</v>
      </c>
      <c r="E383" s="12">
        <v>370</v>
      </c>
      <c r="F383" s="13" t="s">
        <v>1817</v>
      </c>
      <c r="G383" s="14">
        <v>3</v>
      </c>
      <c r="H383" s="14" t="s">
        <v>1370</v>
      </c>
      <c r="I383" s="13">
        <v>34</v>
      </c>
      <c r="J383" s="15" t="s">
        <v>1433</v>
      </c>
      <c r="K383" s="15" t="s">
        <v>2706</v>
      </c>
      <c r="L383" s="16"/>
      <c r="M383" s="16">
        <v>1717.7139999999999</v>
      </c>
      <c r="N383" s="16">
        <v>471.12399999999997</v>
      </c>
      <c r="O383" s="16"/>
      <c r="P383" s="16"/>
      <c r="Q383" s="16">
        <f>SUM(Tabela1[[#This Row],[201805]:[201807]])</f>
        <v>2188.8379999999997</v>
      </c>
      <c r="R383" s="16">
        <f>SUM(Tabela1[[#This Row],[201905]:[201906]])</f>
        <v>0</v>
      </c>
      <c r="S383" s="16">
        <v>100000</v>
      </c>
      <c r="T383" s="16">
        <f>Tabela1[[#This Row],[Total 2019]]-Tabela1[[#This Row],[Total 2018]]</f>
        <v>-2188.8379999999997</v>
      </c>
      <c r="U383" s="40">
        <f>Tabela1[[#This Row],[Total 2019]]/Tabela1[[#This Row],[Meta]]</f>
        <v>0</v>
      </c>
      <c r="V383" s="17">
        <f>IFERROR(Tabela1[[#This Row],[Total 2019]]/Tabela1[[#This Row],[Total 2018]]-1,0)</f>
        <v>-1</v>
      </c>
      <c r="W38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83" s="48"/>
      <c r="Y383" s="19"/>
      <c r="Z383" s="68"/>
    </row>
    <row r="384" spans="3:26" x14ac:dyDescent="0.35">
      <c r="C384" s="11" t="s">
        <v>2702</v>
      </c>
      <c r="D384" s="12" t="s">
        <v>2700</v>
      </c>
      <c r="E384" s="12">
        <v>371</v>
      </c>
      <c r="F384" s="13" t="s">
        <v>1818</v>
      </c>
      <c r="G384" s="14">
        <v>2</v>
      </c>
      <c r="H384" s="14" t="s">
        <v>1371</v>
      </c>
      <c r="I384" s="13">
        <v>26</v>
      </c>
      <c r="J384" s="15" t="s">
        <v>1425</v>
      </c>
      <c r="K384" s="15" t="s">
        <v>2707</v>
      </c>
      <c r="L384" s="16">
        <v>2940.7724999999996</v>
      </c>
      <c r="M384" s="16">
        <v>4634.9454999999998</v>
      </c>
      <c r="N384" s="16"/>
      <c r="O384" s="16">
        <v>7635.6344999999992</v>
      </c>
      <c r="P384" s="16">
        <v>3755.1029999999996</v>
      </c>
      <c r="Q384" s="16">
        <f>SUM(Tabela1[[#This Row],[201805]:[201807]])</f>
        <v>7575.7179999999989</v>
      </c>
      <c r="R384" s="16">
        <f>SUM(Tabela1[[#This Row],[201905]:[201906]])</f>
        <v>11390.737499999999</v>
      </c>
      <c r="S384" s="16">
        <v>100000</v>
      </c>
      <c r="T384" s="16">
        <f>Tabela1[[#This Row],[Total 2019]]-Tabela1[[#This Row],[Total 2018]]</f>
        <v>3815.0195000000003</v>
      </c>
      <c r="U384" s="40">
        <f>Tabela1[[#This Row],[Total 2019]]/Tabela1[[#This Row],[Meta]]</f>
        <v>0.11390737499999999</v>
      </c>
      <c r="V384" s="17">
        <f>IFERROR(Tabela1[[#This Row],[Total 2019]]/Tabela1[[#This Row],[Total 2018]]-1,0)</f>
        <v>0.50358520472910961</v>
      </c>
      <c r="W38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384" s="48"/>
      <c r="Y384" s="19"/>
      <c r="Z384" s="68"/>
    </row>
    <row r="385" spans="3:26" x14ac:dyDescent="0.35">
      <c r="C385" s="11" t="s">
        <v>2704</v>
      </c>
      <c r="D385" s="12" t="s">
        <v>2700</v>
      </c>
      <c r="E385" s="12">
        <v>372</v>
      </c>
      <c r="F385" s="13" t="s">
        <v>1819</v>
      </c>
      <c r="G385" s="14">
        <v>2</v>
      </c>
      <c r="H385" s="14" t="s">
        <v>1372</v>
      </c>
      <c r="I385" s="13">
        <v>25</v>
      </c>
      <c r="J385" s="15" t="s">
        <v>1424</v>
      </c>
      <c r="K385" s="15" t="s">
        <v>2708</v>
      </c>
      <c r="L385" s="16">
        <v>1501.1234999999999</v>
      </c>
      <c r="M385" s="16">
        <v>3651.8285000000001</v>
      </c>
      <c r="N385" s="16">
        <v>1481.81</v>
      </c>
      <c r="O385" s="16"/>
      <c r="P385" s="16"/>
      <c r="Q385" s="16">
        <f>SUM(Tabela1[[#This Row],[201805]:[201807]])</f>
        <v>6634.7620000000006</v>
      </c>
      <c r="R385" s="16">
        <f>SUM(Tabela1[[#This Row],[201905]:[201906]])</f>
        <v>0</v>
      </c>
      <c r="S385" s="16">
        <v>100000</v>
      </c>
      <c r="T385" s="16">
        <f>Tabela1[[#This Row],[Total 2019]]-Tabela1[[#This Row],[Total 2018]]</f>
        <v>-6634.7620000000006</v>
      </c>
      <c r="U385" s="40">
        <f>Tabela1[[#This Row],[Total 2019]]/Tabela1[[#This Row],[Meta]]</f>
        <v>0</v>
      </c>
      <c r="V385" s="17">
        <f>IFERROR(Tabela1[[#This Row],[Total 2019]]/Tabela1[[#This Row],[Total 2018]]-1,0)</f>
        <v>-1</v>
      </c>
      <c r="W38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85" s="48"/>
      <c r="Y385" s="19"/>
      <c r="Z385" s="68"/>
    </row>
    <row r="386" spans="3:26" x14ac:dyDescent="0.35">
      <c r="C386" s="11" t="s">
        <v>2702</v>
      </c>
      <c r="D386" s="12" t="s">
        <v>2700</v>
      </c>
      <c r="E386" s="12">
        <v>372</v>
      </c>
      <c r="F386" s="13" t="s">
        <v>1819</v>
      </c>
      <c r="G386" s="14">
        <v>2</v>
      </c>
      <c r="H386" s="14" t="s">
        <v>1372</v>
      </c>
      <c r="I386" s="13">
        <v>25</v>
      </c>
      <c r="J386" s="15" t="s">
        <v>1424</v>
      </c>
      <c r="K386" s="15" t="s">
        <v>2708</v>
      </c>
      <c r="L386" s="16"/>
      <c r="M386" s="16"/>
      <c r="N386" s="16"/>
      <c r="O386" s="16">
        <v>8035.0239999999994</v>
      </c>
      <c r="P386" s="16">
        <v>1440.0479999999998</v>
      </c>
      <c r="Q386" s="16">
        <f>SUM(Tabela1[[#This Row],[201805]:[201807]])</f>
        <v>0</v>
      </c>
      <c r="R386" s="16">
        <f>SUM(Tabela1[[#This Row],[201905]:[201906]])</f>
        <v>9475.0720000000001</v>
      </c>
      <c r="S386" s="16">
        <v>100000</v>
      </c>
      <c r="T386" s="16">
        <f>Tabela1[[#This Row],[Total 2019]]-Tabela1[[#This Row],[Total 2018]]</f>
        <v>9475.0720000000001</v>
      </c>
      <c r="U386" s="40">
        <f>Tabela1[[#This Row],[Total 2019]]/Tabela1[[#This Row],[Meta]]</f>
        <v>9.4750719999999997E-2</v>
      </c>
      <c r="V386" s="17">
        <f>IFERROR(Tabela1[[#This Row],[Total 2019]]/Tabela1[[#This Row],[Total 2018]]-1,0)</f>
        <v>0</v>
      </c>
      <c r="W38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386" s="48"/>
      <c r="Y386" s="19"/>
      <c r="Z386" s="68"/>
    </row>
    <row r="387" spans="3:26" x14ac:dyDescent="0.35">
      <c r="C387" s="11" t="s">
        <v>2703</v>
      </c>
      <c r="D387" s="12" t="s">
        <v>2699</v>
      </c>
      <c r="E387" s="12">
        <v>373</v>
      </c>
      <c r="F387" s="13" t="s">
        <v>1820</v>
      </c>
      <c r="G387" s="14">
        <v>1</v>
      </c>
      <c r="H387" s="14" t="s">
        <v>1372</v>
      </c>
      <c r="I387" s="13">
        <v>6</v>
      </c>
      <c r="J387" s="15" t="s">
        <v>1405</v>
      </c>
      <c r="K387" s="15" t="s">
        <v>2708</v>
      </c>
      <c r="L387" s="16">
        <v>7861.1455000000005</v>
      </c>
      <c r="M387" s="16">
        <v>13029.554</v>
      </c>
      <c r="N387" s="16">
        <v>5072.4205000000002</v>
      </c>
      <c r="O387" s="16">
        <v>7283.6025</v>
      </c>
      <c r="P387" s="16">
        <v>10625.313</v>
      </c>
      <c r="Q387" s="16">
        <f>SUM(Tabela1[[#This Row],[201805]:[201807]])</f>
        <v>25963.120000000003</v>
      </c>
      <c r="R387" s="16">
        <f>SUM(Tabela1[[#This Row],[201905]:[201906]])</f>
        <v>17908.915499999999</v>
      </c>
      <c r="S387" s="16">
        <v>100000</v>
      </c>
      <c r="T387" s="16">
        <f>Tabela1[[#This Row],[Total 2019]]-Tabela1[[#This Row],[Total 2018]]</f>
        <v>-8054.2045000000035</v>
      </c>
      <c r="U387" s="40">
        <f>Tabela1[[#This Row],[Total 2019]]/Tabela1[[#This Row],[Meta]]</f>
        <v>0.179089155</v>
      </c>
      <c r="V387" s="17">
        <f>IFERROR(Tabela1[[#This Row],[Total 2019]]/Tabela1[[#This Row],[Total 2018]]-1,0)</f>
        <v>-0.31021712721737615</v>
      </c>
      <c r="W38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387" s="48"/>
      <c r="Y387" s="19"/>
      <c r="Z387" s="68"/>
    </row>
    <row r="388" spans="3:26" x14ac:dyDescent="0.35">
      <c r="C388" s="11" t="s">
        <v>2704</v>
      </c>
      <c r="D388" s="12" t="s">
        <v>2699</v>
      </c>
      <c r="E388" s="12">
        <v>374</v>
      </c>
      <c r="F388" s="13" t="s">
        <v>1821</v>
      </c>
      <c r="G388" s="14">
        <v>1</v>
      </c>
      <c r="H388" s="14" t="s">
        <v>1370</v>
      </c>
      <c r="I388" s="13">
        <v>1</v>
      </c>
      <c r="J388" s="15" t="s">
        <v>1400</v>
      </c>
      <c r="K388" s="15" t="s">
        <v>2706</v>
      </c>
      <c r="L388" s="16"/>
      <c r="M388" s="16">
        <v>4582.1729999999989</v>
      </c>
      <c r="N388" s="16"/>
      <c r="O388" s="16">
        <v>1785.7909999999999</v>
      </c>
      <c r="P388" s="16">
        <v>2430.7460000000001</v>
      </c>
      <c r="Q388" s="16">
        <f>SUM(Tabela1[[#This Row],[201805]:[201807]])</f>
        <v>4582.1729999999989</v>
      </c>
      <c r="R388" s="16">
        <f>SUM(Tabela1[[#This Row],[201905]:[201906]])</f>
        <v>4216.5370000000003</v>
      </c>
      <c r="S388" s="16">
        <v>100000</v>
      </c>
      <c r="T388" s="16">
        <f>Tabela1[[#This Row],[Total 2019]]-Tabela1[[#This Row],[Total 2018]]</f>
        <v>-365.6359999999986</v>
      </c>
      <c r="U388" s="40">
        <f>Tabela1[[#This Row],[Total 2019]]/Tabela1[[#This Row],[Meta]]</f>
        <v>4.2165370000000001E-2</v>
      </c>
      <c r="V388" s="17">
        <f>IFERROR(Tabela1[[#This Row],[Total 2019]]/Tabela1[[#This Row],[Total 2018]]-1,0)</f>
        <v>-7.9795328548267097E-2</v>
      </c>
      <c r="W38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388" s="48"/>
      <c r="Y388" s="19"/>
      <c r="Z388" s="68"/>
    </row>
    <row r="389" spans="3:26" x14ac:dyDescent="0.35">
      <c r="C389" s="11" t="s">
        <v>2703</v>
      </c>
      <c r="D389" s="12" t="s">
        <v>2700</v>
      </c>
      <c r="E389" s="12">
        <v>375</v>
      </c>
      <c r="F389" s="13" t="s">
        <v>1822</v>
      </c>
      <c r="G389" s="14">
        <v>2</v>
      </c>
      <c r="H389" s="14" t="s">
        <v>1372</v>
      </c>
      <c r="I389" s="13">
        <v>10</v>
      </c>
      <c r="J389" s="15" t="s">
        <v>1409</v>
      </c>
      <c r="K389" s="15" t="s">
        <v>2708</v>
      </c>
      <c r="L389" s="16">
        <v>8480.0989999999983</v>
      </c>
      <c r="M389" s="16">
        <v>8020.0899999999992</v>
      </c>
      <c r="N389" s="16">
        <v>6909.3594999999996</v>
      </c>
      <c r="O389" s="16"/>
      <c r="P389" s="16"/>
      <c r="Q389" s="16">
        <f>SUM(Tabela1[[#This Row],[201805]:[201807]])</f>
        <v>23409.548499999997</v>
      </c>
      <c r="R389" s="16">
        <f>SUM(Tabela1[[#This Row],[201905]:[201906]])</f>
        <v>0</v>
      </c>
      <c r="S389" s="16">
        <v>100000</v>
      </c>
      <c r="T389" s="16">
        <f>Tabela1[[#This Row],[Total 2019]]-Tabela1[[#This Row],[Total 2018]]</f>
        <v>-23409.548499999997</v>
      </c>
      <c r="U389" s="40">
        <f>Tabela1[[#This Row],[Total 2019]]/Tabela1[[#This Row],[Meta]]</f>
        <v>0</v>
      </c>
      <c r="V389" s="17">
        <f>IFERROR(Tabela1[[#This Row],[Total 2019]]/Tabela1[[#This Row],[Total 2018]]-1,0)</f>
        <v>-1</v>
      </c>
      <c r="W38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89" s="48"/>
      <c r="Y389" s="19"/>
      <c r="Z389" s="68"/>
    </row>
    <row r="390" spans="3:26" x14ac:dyDescent="0.35">
      <c r="C390" s="11" t="s">
        <v>2702</v>
      </c>
      <c r="D390" s="12" t="s">
        <v>2698</v>
      </c>
      <c r="E390" s="12">
        <v>376</v>
      </c>
      <c r="F390" s="13" t="s">
        <v>1823</v>
      </c>
      <c r="G390" s="14">
        <v>3</v>
      </c>
      <c r="H390" s="14" t="s">
        <v>1370</v>
      </c>
      <c r="I390" s="13">
        <v>3</v>
      </c>
      <c r="J390" s="15" t="s">
        <v>1402</v>
      </c>
      <c r="K390" s="15" t="s">
        <v>2706</v>
      </c>
      <c r="L390" s="16">
        <v>3814.953</v>
      </c>
      <c r="M390" s="16">
        <v>4856.7039999999997</v>
      </c>
      <c r="N390" s="16"/>
      <c r="O390" s="16"/>
      <c r="P390" s="16"/>
      <c r="Q390" s="16">
        <f>SUM(Tabela1[[#This Row],[201805]:[201807]])</f>
        <v>8671.6569999999992</v>
      </c>
      <c r="R390" s="16">
        <f>SUM(Tabela1[[#This Row],[201905]:[201906]])</f>
        <v>0</v>
      </c>
      <c r="S390" s="16">
        <v>100000</v>
      </c>
      <c r="T390" s="16">
        <f>Tabela1[[#This Row],[Total 2019]]-Tabela1[[#This Row],[Total 2018]]</f>
        <v>-8671.6569999999992</v>
      </c>
      <c r="U390" s="40">
        <f>Tabela1[[#This Row],[Total 2019]]/Tabela1[[#This Row],[Meta]]</f>
        <v>0</v>
      </c>
      <c r="V390" s="17">
        <f>IFERROR(Tabela1[[#This Row],[Total 2019]]/Tabela1[[#This Row],[Total 2018]]-1,0)</f>
        <v>-1</v>
      </c>
      <c r="W39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90" s="48"/>
      <c r="Y390" s="19"/>
      <c r="Z390" s="68"/>
    </row>
    <row r="391" spans="3:26" x14ac:dyDescent="0.35">
      <c r="C391" s="11" t="s">
        <v>2703</v>
      </c>
      <c r="D391" s="12" t="s">
        <v>2698</v>
      </c>
      <c r="E391" s="12">
        <v>376</v>
      </c>
      <c r="F391" s="13" t="s">
        <v>1823</v>
      </c>
      <c r="G391" s="14">
        <v>1</v>
      </c>
      <c r="H391" s="14" t="s">
        <v>1370</v>
      </c>
      <c r="I391" s="13">
        <v>3</v>
      </c>
      <c r="J391" s="15" t="s">
        <v>1402</v>
      </c>
      <c r="K391" s="15" t="s">
        <v>2706</v>
      </c>
      <c r="L391" s="16"/>
      <c r="M391" s="16"/>
      <c r="N391" s="16"/>
      <c r="O391" s="16">
        <v>7757.6904999999988</v>
      </c>
      <c r="P391" s="16">
        <v>3977.0704999999998</v>
      </c>
      <c r="Q391" s="16">
        <f>SUM(Tabela1[[#This Row],[201805]:[201807]])</f>
        <v>0</v>
      </c>
      <c r="R391" s="16">
        <f>SUM(Tabela1[[#This Row],[201905]:[201906]])</f>
        <v>11734.760999999999</v>
      </c>
      <c r="S391" s="16">
        <v>100000</v>
      </c>
      <c r="T391" s="16">
        <f>Tabela1[[#This Row],[Total 2019]]-Tabela1[[#This Row],[Total 2018]]</f>
        <v>11734.760999999999</v>
      </c>
      <c r="U391" s="40">
        <f>Tabela1[[#This Row],[Total 2019]]/Tabela1[[#This Row],[Meta]]</f>
        <v>0.11734760999999999</v>
      </c>
      <c r="V391" s="17">
        <f>IFERROR(Tabela1[[#This Row],[Total 2019]]/Tabela1[[#This Row],[Total 2018]]-1,0)</f>
        <v>0</v>
      </c>
      <c r="W39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391" s="48"/>
      <c r="Y391" s="19"/>
      <c r="Z391" s="68"/>
    </row>
    <row r="392" spans="3:26" x14ac:dyDescent="0.35">
      <c r="C392" s="11" t="s">
        <v>2702</v>
      </c>
      <c r="D392" s="12" t="s">
        <v>2700</v>
      </c>
      <c r="E392" s="12">
        <v>377</v>
      </c>
      <c r="F392" s="13" t="s">
        <v>1824</v>
      </c>
      <c r="G392" s="14">
        <v>2</v>
      </c>
      <c r="H392" s="14" t="s">
        <v>1370</v>
      </c>
      <c r="I392" s="13">
        <v>30</v>
      </c>
      <c r="J392" s="15" t="s">
        <v>1429</v>
      </c>
      <c r="K392" s="15" t="s">
        <v>2706</v>
      </c>
      <c r="L392" s="16"/>
      <c r="M392" s="16">
        <v>6145.673499999999</v>
      </c>
      <c r="N392" s="16">
        <v>4020.4094999999998</v>
      </c>
      <c r="O392" s="16">
        <v>8774.01</v>
      </c>
      <c r="P392" s="16"/>
      <c r="Q392" s="16">
        <f>SUM(Tabela1[[#This Row],[201805]:[201807]])</f>
        <v>10166.082999999999</v>
      </c>
      <c r="R392" s="16">
        <f>SUM(Tabela1[[#This Row],[201905]:[201906]])</f>
        <v>8774.01</v>
      </c>
      <c r="S392" s="16">
        <v>100000</v>
      </c>
      <c r="T392" s="16">
        <f>Tabela1[[#This Row],[Total 2019]]-Tabela1[[#This Row],[Total 2018]]</f>
        <v>-1392.0729999999985</v>
      </c>
      <c r="U392" s="40">
        <f>Tabela1[[#This Row],[Total 2019]]/Tabela1[[#This Row],[Meta]]</f>
        <v>8.7740100000000001E-2</v>
      </c>
      <c r="V392" s="17">
        <f>IFERROR(Tabela1[[#This Row],[Total 2019]]/Tabela1[[#This Row],[Total 2018]]-1,0)</f>
        <v>-0.13693307442010838</v>
      </c>
      <c r="W39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392" s="48"/>
      <c r="Y392" s="19"/>
      <c r="Z392" s="68"/>
    </row>
    <row r="393" spans="3:26" x14ac:dyDescent="0.35">
      <c r="C393" s="11" t="s">
        <v>2704</v>
      </c>
      <c r="D393" s="12" t="s">
        <v>2700</v>
      </c>
      <c r="E393" s="12">
        <v>378</v>
      </c>
      <c r="F393" s="13" t="s">
        <v>1825</v>
      </c>
      <c r="G393" s="14">
        <v>1</v>
      </c>
      <c r="H393" s="14" t="s">
        <v>1372</v>
      </c>
      <c r="I393" s="13">
        <v>21</v>
      </c>
      <c r="J393" s="15" t="s">
        <v>1420</v>
      </c>
      <c r="K393" s="15" t="s">
        <v>2708</v>
      </c>
      <c r="L393" s="16">
        <v>873.11649999999997</v>
      </c>
      <c r="M393" s="16">
        <v>2070.0025000000001</v>
      </c>
      <c r="N393" s="16"/>
      <c r="O393" s="16">
        <v>7366.7654999999995</v>
      </c>
      <c r="P393" s="16"/>
      <c r="Q393" s="16">
        <f>SUM(Tabela1[[#This Row],[201805]:[201807]])</f>
        <v>2943.1190000000001</v>
      </c>
      <c r="R393" s="16">
        <f>SUM(Tabela1[[#This Row],[201905]:[201906]])</f>
        <v>7366.7654999999995</v>
      </c>
      <c r="S393" s="16">
        <v>100000</v>
      </c>
      <c r="T393" s="16">
        <f>Tabela1[[#This Row],[Total 2019]]-Tabela1[[#This Row],[Total 2018]]</f>
        <v>4423.6464999999989</v>
      </c>
      <c r="U393" s="40">
        <f>Tabela1[[#This Row],[Total 2019]]/Tabela1[[#This Row],[Meta]]</f>
        <v>7.3667654999999999E-2</v>
      </c>
      <c r="V393" s="17">
        <f>IFERROR(Tabela1[[#This Row],[Total 2019]]/Tabela1[[#This Row],[Total 2018]]-1,0)</f>
        <v>1.5030471075073755</v>
      </c>
      <c r="W39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393" s="48"/>
      <c r="Y393" s="19"/>
      <c r="Z393" s="68"/>
    </row>
    <row r="394" spans="3:26" x14ac:dyDescent="0.35">
      <c r="C394" s="11" t="s">
        <v>2702</v>
      </c>
      <c r="D394" s="12" t="s">
        <v>2698</v>
      </c>
      <c r="E394" s="12">
        <v>379</v>
      </c>
      <c r="F394" s="13" t="s">
        <v>1826</v>
      </c>
      <c r="G394" s="14">
        <v>1</v>
      </c>
      <c r="H394" s="14" t="s">
        <v>1373</v>
      </c>
      <c r="I394" s="13">
        <v>28</v>
      </c>
      <c r="J394" s="15" t="s">
        <v>1427</v>
      </c>
      <c r="K394" s="15" t="s">
        <v>2710</v>
      </c>
      <c r="L394" s="16">
        <v>4226.5879999999997</v>
      </c>
      <c r="M394" s="16">
        <v>701.803</v>
      </c>
      <c r="N394" s="16"/>
      <c r="O394" s="16"/>
      <c r="P394" s="16"/>
      <c r="Q394" s="16">
        <f>SUM(Tabela1[[#This Row],[201805]:[201807]])</f>
        <v>4928.3909999999996</v>
      </c>
      <c r="R394" s="16">
        <f>SUM(Tabela1[[#This Row],[201905]:[201906]])</f>
        <v>0</v>
      </c>
      <c r="S394" s="16">
        <v>100000</v>
      </c>
      <c r="T394" s="16">
        <f>Tabela1[[#This Row],[Total 2019]]-Tabela1[[#This Row],[Total 2018]]</f>
        <v>-4928.3909999999996</v>
      </c>
      <c r="U394" s="40">
        <f>Tabela1[[#This Row],[Total 2019]]/Tabela1[[#This Row],[Meta]]</f>
        <v>0</v>
      </c>
      <c r="V394" s="17">
        <f>IFERROR(Tabela1[[#This Row],[Total 2019]]/Tabela1[[#This Row],[Total 2018]]-1,0)</f>
        <v>-1</v>
      </c>
      <c r="W39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94" s="48"/>
      <c r="Y394" s="19"/>
      <c r="Z394" s="68"/>
    </row>
    <row r="395" spans="3:26" x14ac:dyDescent="0.35">
      <c r="C395" s="11" t="s">
        <v>2703</v>
      </c>
      <c r="D395" s="12" t="s">
        <v>2698</v>
      </c>
      <c r="E395" s="12">
        <v>380</v>
      </c>
      <c r="F395" s="13" t="s">
        <v>1827</v>
      </c>
      <c r="G395" s="14">
        <v>3</v>
      </c>
      <c r="H395" s="14" t="s">
        <v>1372</v>
      </c>
      <c r="I395" s="13">
        <v>25</v>
      </c>
      <c r="J395" s="15" t="s">
        <v>1424</v>
      </c>
      <c r="K395" s="15" t="s">
        <v>2708</v>
      </c>
      <c r="L395" s="16">
        <v>1394.5144999999998</v>
      </c>
      <c r="M395" s="16">
        <v>926.52549999999997</v>
      </c>
      <c r="N395" s="16">
        <v>1007.4655</v>
      </c>
      <c r="O395" s="16"/>
      <c r="P395" s="16"/>
      <c r="Q395" s="16">
        <f>SUM(Tabela1[[#This Row],[201805]:[201807]])</f>
        <v>3328.5055000000002</v>
      </c>
      <c r="R395" s="16">
        <f>SUM(Tabela1[[#This Row],[201905]:[201906]])</f>
        <v>0</v>
      </c>
      <c r="S395" s="16">
        <v>100000</v>
      </c>
      <c r="T395" s="16">
        <f>Tabela1[[#This Row],[Total 2019]]-Tabela1[[#This Row],[Total 2018]]</f>
        <v>-3328.5055000000002</v>
      </c>
      <c r="U395" s="40">
        <f>Tabela1[[#This Row],[Total 2019]]/Tabela1[[#This Row],[Meta]]</f>
        <v>0</v>
      </c>
      <c r="V395" s="17">
        <f>IFERROR(Tabela1[[#This Row],[Total 2019]]/Tabela1[[#This Row],[Total 2018]]-1,0)</f>
        <v>-1</v>
      </c>
      <c r="W39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95" s="48"/>
      <c r="Y395" s="19"/>
      <c r="Z395" s="68"/>
    </row>
    <row r="396" spans="3:26" x14ac:dyDescent="0.35">
      <c r="C396" s="11" t="s">
        <v>2704</v>
      </c>
      <c r="D396" s="12" t="s">
        <v>2700</v>
      </c>
      <c r="E396" s="12">
        <v>381</v>
      </c>
      <c r="F396" s="13" t="s">
        <v>1828</v>
      </c>
      <c r="G396" s="14">
        <v>1</v>
      </c>
      <c r="H396" s="14" t="s">
        <v>1372</v>
      </c>
      <c r="I396" s="13">
        <v>16</v>
      </c>
      <c r="J396" s="15" t="s">
        <v>1415</v>
      </c>
      <c r="K396" s="15" t="s">
        <v>2708</v>
      </c>
      <c r="L396" s="16">
        <v>2587.9234999999999</v>
      </c>
      <c r="M396" s="16">
        <v>4945.6619999999994</v>
      </c>
      <c r="N396" s="16">
        <v>1192.1645000000001</v>
      </c>
      <c r="O396" s="16"/>
      <c r="P396" s="16"/>
      <c r="Q396" s="16">
        <f>SUM(Tabela1[[#This Row],[201805]:[201807]])</f>
        <v>8725.75</v>
      </c>
      <c r="R396" s="16">
        <f>SUM(Tabela1[[#This Row],[201905]:[201906]])</f>
        <v>0</v>
      </c>
      <c r="S396" s="16">
        <v>100000</v>
      </c>
      <c r="T396" s="16">
        <f>Tabela1[[#This Row],[Total 2019]]-Tabela1[[#This Row],[Total 2018]]</f>
        <v>-8725.75</v>
      </c>
      <c r="U396" s="40">
        <f>Tabela1[[#This Row],[Total 2019]]/Tabela1[[#This Row],[Meta]]</f>
        <v>0</v>
      </c>
      <c r="V396" s="17">
        <f>IFERROR(Tabela1[[#This Row],[Total 2019]]/Tabela1[[#This Row],[Total 2018]]-1,0)</f>
        <v>-1</v>
      </c>
      <c r="W39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96" s="48"/>
      <c r="Y396" s="19"/>
      <c r="Z396" s="68"/>
    </row>
    <row r="397" spans="3:26" x14ac:dyDescent="0.35">
      <c r="C397" s="11" t="s">
        <v>2704</v>
      </c>
      <c r="D397" s="12" t="s">
        <v>2698</v>
      </c>
      <c r="E397" s="12">
        <v>382</v>
      </c>
      <c r="F397" s="13" t="s">
        <v>1829</v>
      </c>
      <c r="G397" s="14">
        <v>1</v>
      </c>
      <c r="H397" s="14" t="s">
        <v>1371</v>
      </c>
      <c r="I397" s="13">
        <v>24</v>
      </c>
      <c r="J397" s="15" t="s">
        <v>1423</v>
      </c>
      <c r="K397" s="15" t="s">
        <v>2707</v>
      </c>
      <c r="L397" s="16">
        <v>2693.9529999999995</v>
      </c>
      <c r="M397" s="16"/>
      <c r="N397" s="16"/>
      <c r="O397" s="16"/>
      <c r="P397" s="16"/>
      <c r="Q397" s="16">
        <f>SUM(Tabela1[[#This Row],[201805]:[201807]])</f>
        <v>2693.9529999999995</v>
      </c>
      <c r="R397" s="16">
        <f>SUM(Tabela1[[#This Row],[201905]:[201906]])</f>
        <v>0</v>
      </c>
      <c r="S397" s="16">
        <v>100000</v>
      </c>
      <c r="T397" s="16">
        <f>Tabela1[[#This Row],[Total 2019]]-Tabela1[[#This Row],[Total 2018]]</f>
        <v>-2693.9529999999995</v>
      </c>
      <c r="U397" s="40">
        <f>Tabela1[[#This Row],[Total 2019]]/Tabela1[[#This Row],[Meta]]</f>
        <v>0</v>
      </c>
      <c r="V397" s="17">
        <f>IFERROR(Tabela1[[#This Row],[Total 2019]]/Tabela1[[#This Row],[Total 2018]]-1,0)</f>
        <v>-1</v>
      </c>
      <c r="W39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97" s="48"/>
      <c r="Y397" s="19"/>
      <c r="Z397" s="68"/>
    </row>
    <row r="398" spans="3:26" x14ac:dyDescent="0.35">
      <c r="C398" s="11" t="s">
        <v>2703</v>
      </c>
      <c r="D398" s="12" t="s">
        <v>2700</v>
      </c>
      <c r="E398" s="12">
        <v>383</v>
      </c>
      <c r="F398" s="13" t="s">
        <v>1830</v>
      </c>
      <c r="G398" s="14">
        <v>2</v>
      </c>
      <c r="H398" s="14" t="s">
        <v>1372</v>
      </c>
      <c r="I398" s="13">
        <v>23</v>
      </c>
      <c r="J398" s="15" t="s">
        <v>1422</v>
      </c>
      <c r="K398" s="15" t="s">
        <v>2708</v>
      </c>
      <c r="L398" s="16"/>
      <c r="M398" s="16"/>
      <c r="N398" s="16">
        <v>4358.8755000000001</v>
      </c>
      <c r="O398" s="16"/>
      <c r="P398" s="16"/>
      <c r="Q398" s="16">
        <f>SUM(Tabela1[[#This Row],[201805]:[201807]])</f>
        <v>4358.8755000000001</v>
      </c>
      <c r="R398" s="16">
        <f>SUM(Tabela1[[#This Row],[201905]:[201906]])</f>
        <v>0</v>
      </c>
      <c r="S398" s="16">
        <v>100000</v>
      </c>
      <c r="T398" s="16">
        <f>Tabela1[[#This Row],[Total 2019]]-Tabela1[[#This Row],[Total 2018]]</f>
        <v>-4358.8755000000001</v>
      </c>
      <c r="U398" s="40">
        <f>Tabela1[[#This Row],[Total 2019]]/Tabela1[[#This Row],[Meta]]</f>
        <v>0</v>
      </c>
      <c r="V398" s="17">
        <f>IFERROR(Tabela1[[#This Row],[Total 2019]]/Tabela1[[#This Row],[Total 2018]]-1,0)</f>
        <v>-1</v>
      </c>
      <c r="W39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398" s="48"/>
      <c r="Y398" s="19"/>
      <c r="Z398" s="68"/>
    </row>
    <row r="399" spans="3:26" x14ac:dyDescent="0.35">
      <c r="C399" s="11" t="s">
        <v>2703</v>
      </c>
      <c r="D399" s="12" t="s">
        <v>2699</v>
      </c>
      <c r="E399" s="12">
        <v>384</v>
      </c>
      <c r="F399" s="13" t="s">
        <v>1831</v>
      </c>
      <c r="G399" s="14">
        <v>3</v>
      </c>
      <c r="H399" s="14" t="s">
        <v>1371</v>
      </c>
      <c r="I399" s="13">
        <v>5</v>
      </c>
      <c r="J399" s="15" t="s">
        <v>1404</v>
      </c>
      <c r="K399" s="15" t="s">
        <v>2707</v>
      </c>
      <c r="L399" s="16"/>
      <c r="M399" s="16">
        <v>5000.7525000000005</v>
      </c>
      <c r="N399" s="16"/>
      <c r="O399" s="16">
        <v>105.431</v>
      </c>
      <c r="P399" s="16">
        <v>788.26250000000005</v>
      </c>
      <c r="Q399" s="16">
        <f>SUM(Tabela1[[#This Row],[201805]:[201807]])</f>
        <v>5000.7525000000005</v>
      </c>
      <c r="R399" s="16">
        <f>SUM(Tabela1[[#This Row],[201905]:[201906]])</f>
        <v>893.69350000000009</v>
      </c>
      <c r="S399" s="16">
        <v>100000</v>
      </c>
      <c r="T399" s="16">
        <f>Tabela1[[#This Row],[Total 2019]]-Tabela1[[#This Row],[Total 2018]]</f>
        <v>-4107.0590000000002</v>
      </c>
      <c r="U399" s="40">
        <f>Tabela1[[#This Row],[Total 2019]]/Tabela1[[#This Row],[Meta]]</f>
        <v>8.936935E-3</v>
      </c>
      <c r="V399" s="17">
        <f>IFERROR(Tabela1[[#This Row],[Total 2019]]/Tabela1[[#This Row],[Total 2018]]-1,0)</f>
        <v>-0.82128819612648296</v>
      </c>
      <c r="W39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399" s="48"/>
      <c r="Y399" s="19"/>
      <c r="Z399" s="68"/>
    </row>
    <row r="400" spans="3:26" x14ac:dyDescent="0.35">
      <c r="C400" s="11" t="s">
        <v>2704</v>
      </c>
      <c r="D400" s="12" t="s">
        <v>2698</v>
      </c>
      <c r="E400" s="12">
        <v>385</v>
      </c>
      <c r="F400" s="13" t="s">
        <v>1832</v>
      </c>
      <c r="G400" s="14">
        <v>3</v>
      </c>
      <c r="H400" s="14" t="s">
        <v>1370</v>
      </c>
      <c r="I400" s="13">
        <v>1</v>
      </c>
      <c r="J400" s="15" t="s">
        <v>1400</v>
      </c>
      <c r="K400" s="15" t="s">
        <v>2706</v>
      </c>
      <c r="L400" s="16">
        <v>4817.9249999999993</v>
      </c>
      <c r="M400" s="16">
        <v>3090.5495000000001</v>
      </c>
      <c r="N400" s="16"/>
      <c r="O400" s="16">
        <v>5158.4715000000006</v>
      </c>
      <c r="P400" s="16">
        <v>2992.8419999999996</v>
      </c>
      <c r="Q400" s="16">
        <f>SUM(Tabela1[[#This Row],[201805]:[201807]])</f>
        <v>7908.4744999999994</v>
      </c>
      <c r="R400" s="16">
        <f>SUM(Tabela1[[#This Row],[201905]:[201906]])</f>
        <v>8151.3135000000002</v>
      </c>
      <c r="S400" s="16">
        <v>100000</v>
      </c>
      <c r="T400" s="16">
        <f>Tabela1[[#This Row],[Total 2019]]-Tabela1[[#This Row],[Total 2018]]</f>
        <v>242.83900000000085</v>
      </c>
      <c r="U400" s="40">
        <f>Tabela1[[#This Row],[Total 2019]]/Tabela1[[#This Row],[Meta]]</f>
        <v>8.1513135E-2</v>
      </c>
      <c r="V400" s="17">
        <f>IFERROR(Tabela1[[#This Row],[Total 2019]]/Tabela1[[#This Row],[Total 2018]]-1,0)</f>
        <v>3.070617474963111E-2</v>
      </c>
      <c r="W40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400" s="48"/>
      <c r="Y400" s="19"/>
      <c r="Z400" s="68"/>
    </row>
    <row r="401" spans="3:26" x14ac:dyDescent="0.35">
      <c r="C401" s="11" t="s">
        <v>2702</v>
      </c>
      <c r="D401" s="12" t="s">
        <v>2699</v>
      </c>
      <c r="E401" s="12">
        <v>386</v>
      </c>
      <c r="F401" s="13" t="s">
        <v>1833</v>
      </c>
      <c r="G401" s="14">
        <v>3</v>
      </c>
      <c r="H401" s="14" t="s">
        <v>1371</v>
      </c>
      <c r="I401" s="13">
        <v>4</v>
      </c>
      <c r="J401" s="15" t="s">
        <v>1403</v>
      </c>
      <c r="K401" s="15" t="s">
        <v>2707</v>
      </c>
      <c r="L401" s="16">
        <v>12069.351000000001</v>
      </c>
      <c r="M401" s="16">
        <v>5727.7874999999995</v>
      </c>
      <c r="N401" s="16">
        <v>814.6724999999999</v>
      </c>
      <c r="O401" s="16">
        <v>15063.608499999998</v>
      </c>
      <c r="P401" s="16"/>
      <c r="Q401" s="16">
        <f>SUM(Tabela1[[#This Row],[201805]:[201807]])</f>
        <v>18611.811000000002</v>
      </c>
      <c r="R401" s="16">
        <f>SUM(Tabela1[[#This Row],[201905]:[201906]])</f>
        <v>15063.608499999998</v>
      </c>
      <c r="S401" s="16">
        <v>100000</v>
      </c>
      <c r="T401" s="16">
        <f>Tabela1[[#This Row],[Total 2019]]-Tabela1[[#This Row],[Total 2018]]</f>
        <v>-3548.2025000000031</v>
      </c>
      <c r="U401" s="40">
        <f>Tabela1[[#This Row],[Total 2019]]/Tabela1[[#This Row],[Meta]]</f>
        <v>0.15063608499999998</v>
      </c>
      <c r="V401" s="17">
        <f>IFERROR(Tabela1[[#This Row],[Total 2019]]/Tabela1[[#This Row],[Total 2018]]-1,0)</f>
        <v>-0.19064251727035064</v>
      </c>
      <c r="W40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401" s="48"/>
      <c r="Y401" s="19"/>
      <c r="Z401" s="68"/>
    </row>
    <row r="402" spans="3:26" x14ac:dyDescent="0.35">
      <c r="C402" s="11" t="s">
        <v>2704</v>
      </c>
      <c r="D402" s="12" t="s">
        <v>2699</v>
      </c>
      <c r="E402" s="12">
        <v>387</v>
      </c>
      <c r="F402" s="13" t="s">
        <v>1834</v>
      </c>
      <c r="G402" s="14">
        <v>2</v>
      </c>
      <c r="H402" s="14" t="s">
        <v>1370</v>
      </c>
      <c r="I402" s="13">
        <v>1</v>
      </c>
      <c r="J402" s="15" t="s">
        <v>1400</v>
      </c>
      <c r="K402" s="15" t="s">
        <v>2706</v>
      </c>
      <c r="L402" s="16">
        <v>5101.652</v>
      </c>
      <c r="M402" s="16">
        <v>4948.0654999999997</v>
      </c>
      <c r="N402" s="16"/>
      <c r="O402" s="16">
        <v>9188.0864999999994</v>
      </c>
      <c r="P402" s="16">
        <v>8909.746000000001</v>
      </c>
      <c r="Q402" s="16">
        <f>SUM(Tabela1[[#This Row],[201805]:[201807]])</f>
        <v>10049.717499999999</v>
      </c>
      <c r="R402" s="16">
        <f>SUM(Tabela1[[#This Row],[201905]:[201906]])</f>
        <v>18097.8325</v>
      </c>
      <c r="S402" s="16">
        <v>100000</v>
      </c>
      <c r="T402" s="16">
        <f>Tabela1[[#This Row],[Total 2019]]-Tabela1[[#This Row],[Total 2018]]</f>
        <v>8048.1150000000016</v>
      </c>
      <c r="U402" s="40">
        <f>Tabela1[[#This Row],[Total 2019]]/Tabela1[[#This Row],[Meta]]</f>
        <v>0.180978325</v>
      </c>
      <c r="V402" s="17">
        <f>IFERROR(Tabela1[[#This Row],[Total 2019]]/Tabela1[[#This Row],[Total 2018]]-1,0)</f>
        <v>0.80082997357885954</v>
      </c>
      <c r="W40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402" s="48"/>
      <c r="Y402" s="19"/>
      <c r="Z402" s="68"/>
    </row>
    <row r="403" spans="3:26" x14ac:dyDescent="0.35">
      <c r="C403" s="11" t="s">
        <v>2702</v>
      </c>
      <c r="D403" s="12" t="s">
        <v>2700</v>
      </c>
      <c r="E403" s="12">
        <v>388</v>
      </c>
      <c r="F403" s="13" t="s">
        <v>1835</v>
      </c>
      <c r="G403" s="14">
        <v>3</v>
      </c>
      <c r="H403" s="14" t="s">
        <v>1371</v>
      </c>
      <c r="I403" s="13">
        <v>7</v>
      </c>
      <c r="J403" s="15" t="s">
        <v>1406</v>
      </c>
      <c r="K403" s="15" t="s">
        <v>2707</v>
      </c>
      <c r="L403" s="16"/>
      <c r="M403" s="16">
        <v>5776.5414999999994</v>
      </c>
      <c r="N403" s="16">
        <v>13692.150499999998</v>
      </c>
      <c r="O403" s="16"/>
      <c r="P403" s="16"/>
      <c r="Q403" s="16">
        <f>SUM(Tabela1[[#This Row],[201805]:[201807]])</f>
        <v>19468.691999999995</v>
      </c>
      <c r="R403" s="16">
        <f>SUM(Tabela1[[#This Row],[201905]:[201906]])</f>
        <v>0</v>
      </c>
      <c r="S403" s="16">
        <v>100000</v>
      </c>
      <c r="T403" s="16">
        <f>Tabela1[[#This Row],[Total 2019]]-Tabela1[[#This Row],[Total 2018]]</f>
        <v>-19468.691999999995</v>
      </c>
      <c r="U403" s="40">
        <f>Tabela1[[#This Row],[Total 2019]]/Tabela1[[#This Row],[Meta]]</f>
        <v>0</v>
      </c>
      <c r="V403" s="17">
        <f>IFERROR(Tabela1[[#This Row],[Total 2019]]/Tabela1[[#This Row],[Total 2018]]-1,0)</f>
        <v>-1</v>
      </c>
      <c r="W40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03" s="48"/>
      <c r="Y403" s="19"/>
      <c r="Z403" s="68"/>
    </row>
    <row r="404" spans="3:26" x14ac:dyDescent="0.35">
      <c r="C404" s="11" t="s">
        <v>2704</v>
      </c>
      <c r="D404" s="12" t="s">
        <v>2698</v>
      </c>
      <c r="E404" s="12">
        <v>389</v>
      </c>
      <c r="F404" s="13" t="s">
        <v>1836</v>
      </c>
      <c r="G404" s="14">
        <v>3</v>
      </c>
      <c r="H404" s="14" t="s">
        <v>1372</v>
      </c>
      <c r="I404" s="13">
        <v>21</v>
      </c>
      <c r="J404" s="15" t="s">
        <v>1420</v>
      </c>
      <c r="K404" s="15" t="s">
        <v>2708</v>
      </c>
      <c r="L404" s="16"/>
      <c r="M404" s="16">
        <v>5851.1925000000001</v>
      </c>
      <c r="N404" s="16"/>
      <c r="O404" s="16"/>
      <c r="P404" s="16"/>
      <c r="Q404" s="16">
        <f>SUM(Tabela1[[#This Row],[201805]:[201807]])</f>
        <v>5851.1925000000001</v>
      </c>
      <c r="R404" s="16">
        <f>SUM(Tabela1[[#This Row],[201905]:[201906]])</f>
        <v>0</v>
      </c>
      <c r="S404" s="16">
        <v>100000</v>
      </c>
      <c r="T404" s="16">
        <f>Tabela1[[#This Row],[Total 2019]]-Tabela1[[#This Row],[Total 2018]]</f>
        <v>-5851.1925000000001</v>
      </c>
      <c r="U404" s="40">
        <f>Tabela1[[#This Row],[Total 2019]]/Tabela1[[#This Row],[Meta]]</f>
        <v>0</v>
      </c>
      <c r="V404" s="17">
        <f>IFERROR(Tabela1[[#This Row],[Total 2019]]/Tabela1[[#This Row],[Total 2018]]-1,0)</f>
        <v>-1</v>
      </c>
      <c r="W40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04" s="48"/>
      <c r="Y404" s="19"/>
      <c r="Z404" s="68"/>
    </row>
    <row r="405" spans="3:26" x14ac:dyDescent="0.35">
      <c r="C405" s="11" t="s">
        <v>2704</v>
      </c>
      <c r="D405" s="12" t="s">
        <v>2700</v>
      </c>
      <c r="E405" s="12">
        <v>390</v>
      </c>
      <c r="F405" s="13" t="s">
        <v>1837</v>
      </c>
      <c r="G405" s="14">
        <v>1</v>
      </c>
      <c r="H405" s="14" t="s">
        <v>1370</v>
      </c>
      <c r="I405" s="13">
        <v>29</v>
      </c>
      <c r="J405" s="15" t="s">
        <v>1428</v>
      </c>
      <c r="K405" s="15" t="s">
        <v>2706</v>
      </c>
      <c r="L405" s="16"/>
      <c r="M405" s="16">
        <v>6548.1980000000003</v>
      </c>
      <c r="N405" s="16"/>
      <c r="O405" s="16"/>
      <c r="P405" s="16"/>
      <c r="Q405" s="16">
        <f>SUM(Tabela1[[#This Row],[201805]:[201807]])</f>
        <v>6548.1980000000003</v>
      </c>
      <c r="R405" s="16">
        <f>SUM(Tabela1[[#This Row],[201905]:[201906]])</f>
        <v>0</v>
      </c>
      <c r="S405" s="16">
        <v>100000</v>
      </c>
      <c r="T405" s="16">
        <f>Tabela1[[#This Row],[Total 2019]]-Tabela1[[#This Row],[Total 2018]]</f>
        <v>-6548.1980000000003</v>
      </c>
      <c r="U405" s="40">
        <f>Tabela1[[#This Row],[Total 2019]]/Tabela1[[#This Row],[Meta]]</f>
        <v>0</v>
      </c>
      <c r="V405" s="17">
        <f>IFERROR(Tabela1[[#This Row],[Total 2019]]/Tabela1[[#This Row],[Total 2018]]-1,0)</f>
        <v>-1</v>
      </c>
      <c r="W40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05" s="48"/>
      <c r="Y405" s="19"/>
      <c r="Z405" s="68"/>
    </row>
    <row r="406" spans="3:26" x14ac:dyDescent="0.35">
      <c r="C406" s="11" t="s">
        <v>2703</v>
      </c>
      <c r="D406" s="12" t="s">
        <v>2698</v>
      </c>
      <c r="E406" s="12">
        <v>391</v>
      </c>
      <c r="F406" s="13" t="s">
        <v>1838</v>
      </c>
      <c r="G406" s="14">
        <v>3</v>
      </c>
      <c r="H406" s="14" t="s">
        <v>1371</v>
      </c>
      <c r="I406" s="13">
        <v>24</v>
      </c>
      <c r="J406" s="15" t="s">
        <v>1423</v>
      </c>
      <c r="K406" s="15" t="s">
        <v>2707</v>
      </c>
      <c r="L406" s="16">
        <v>2672.1600000000003</v>
      </c>
      <c r="M406" s="16">
        <v>1308.1025</v>
      </c>
      <c r="N406" s="16">
        <v>845.98450000000003</v>
      </c>
      <c r="O406" s="16"/>
      <c r="P406" s="16"/>
      <c r="Q406" s="16">
        <f>SUM(Tabela1[[#This Row],[201805]:[201807]])</f>
        <v>4826.2470000000003</v>
      </c>
      <c r="R406" s="16">
        <f>SUM(Tabela1[[#This Row],[201905]:[201906]])</f>
        <v>0</v>
      </c>
      <c r="S406" s="16">
        <v>100000</v>
      </c>
      <c r="T406" s="16">
        <f>Tabela1[[#This Row],[Total 2019]]-Tabela1[[#This Row],[Total 2018]]</f>
        <v>-4826.2470000000003</v>
      </c>
      <c r="U406" s="40">
        <f>Tabela1[[#This Row],[Total 2019]]/Tabela1[[#This Row],[Meta]]</f>
        <v>0</v>
      </c>
      <c r="V406" s="17">
        <f>IFERROR(Tabela1[[#This Row],[Total 2019]]/Tabela1[[#This Row],[Total 2018]]-1,0)</f>
        <v>-1</v>
      </c>
      <c r="W40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06" s="48"/>
      <c r="Y406" s="19"/>
      <c r="Z406" s="68"/>
    </row>
    <row r="407" spans="3:26" x14ac:dyDescent="0.35">
      <c r="C407" s="11" t="s">
        <v>2702</v>
      </c>
      <c r="D407" s="12" t="s">
        <v>2700</v>
      </c>
      <c r="E407" s="12">
        <v>391</v>
      </c>
      <c r="F407" s="13" t="s">
        <v>1838</v>
      </c>
      <c r="G407" s="14">
        <v>1</v>
      </c>
      <c r="H407" s="14" t="s">
        <v>1371</v>
      </c>
      <c r="I407" s="13">
        <v>24</v>
      </c>
      <c r="J407" s="15" t="s">
        <v>1423</v>
      </c>
      <c r="K407" s="15" t="s">
        <v>2707</v>
      </c>
      <c r="L407" s="16"/>
      <c r="M407" s="16"/>
      <c r="N407" s="16"/>
      <c r="O407" s="16">
        <v>1463.9119999999998</v>
      </c>
      <c r="P407" s="16">
        <v>4341.7945</v>
      </c>
      <c r="Q407" s="16">
        <f>SUM(Tabela1[[#This Row],[201805]:[201807]])</f>
        <v>0</v>
      </c>
      <c r="R407" s="16">
        <f>SUM(Tabela1[[#This Row],[201905]:[201906]])</f>
        <v>5805.7065000000002</v>
      </c>
      <c r="S407" s="16">
        <v>100000</v>
      </c>
      <c r="T407" s="16">
        <f>Tabela1[[#This Row],[Total 2019]]-Tabela1[[#This Row],[Total 2018]]</f>
        <v>5805.7065000000002</v>
      </c>
      <c r="U407" s="40">
        <f>Tabela1[[#This Row],[Total 2019]]/Tabela1[[#This Row],[Meta]]</f>
        <v>5.8057065000000005E-2</v>
      </c>
      <c r="V407" s="17">
        <f>IFERROR(Tabela1[[#This Row],[Total 2019]]/Tabela1[[#This Row],[Total 2018]]-1,0)</f>
        <v>0</v>
      </c>
      <c r="W40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407" s="48"/>
      <c r="Y407" s="19"/>
      <c r="Z407" s="68"/>
    </row>
    <row r="408" spans="3:26" x14ac:dyDescent="0.35">
      <c r="C408" s="11" t="s">
        <v>2702</v>
      </c>
      <c r="D408" s="12" t="s">
        <v>2698</v>
      </c>
      <c r="E408" s="12">
        <v>392</v>
      </c>
      <c r="F408" s="13" t="s">
        <v>1839</v>
      </c>
      <c r="G408" s="14">
        <v>2</v>
      </c>
      <c r="H408" s="14" t="s">
        <v>1371</v>
      </c>
      <c r="I408" s="13">
        <v>26</v>
      </c>
      <c r="J408" s="15" t="s">
        <v>1425</v>
      </c>
      <c r="K408" s="15" t="s">
        <v>2707</v>
      </c>
      <c r="L408" s="16">
        <v>8034.9765000000007</v>
      </c>
      <c r="M408" s="16">
        <v>11945.6705</v>
      </c>
      <c r="N408" s="16"/>
      <c r="O408" s="16"/>
      <c r="P408" s="16"/>
      <c r="Q408" s="16">
        <f>SUM(Tabela1[[#This Row],[201805]:[201807]])</f>
        <v>19980.647000000001</v>
      </c>
      <c r="R408" s="16">
        <f>SUM(Tabela1[[#This Row],[201905]:[201906]])</f>
        <v>0</v>
      </c>
      <c r="S408" s="16">
        <v>100000</v>
      </c>
      <c r="T408" s="16">
        <f>Tabela1[[#This Row],[Total 2019]]-Tabela1[[#This Row],[Total 2018]]</f>
        <v>-19980.647000000001</v>
      </c>
      <c r="U408" s="40">
        <f>Tabela1[[#This Row],[Total 2019]]/Tabela1[[#This Row],[Meta]]</f>
        <v>0</v>
      </c>
      <c r="V408" s="17">
        <f>IFERROR(Tabela1[[#This Row],[Total 2019]]/Tabela1[[#This Row],[Total 2018]]-1,0)</f>
        <v>-1</v>
      </c>
      <c r="W40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08" s="48"/>
      <c r="Y408" s="19"/>
      <c r="Z408" s="68"/>
    </row>
    <row r="409" spans="3:26" x14ac:dyDescent="0.35">
      <c r="C409" s="11" t="s">
        <v>2703</v>
      </c>
      <c r="D409" s="12" t="s">
        <v>2700</v>
      </c>
      <c r="E409" s="12">
        <v>393</v>
      </c>
      <c r="F409" s="13" t="s">
        <v>1840</v>
      </c>
      <c r="G409" s="14">
        <v>1</v>
      </c>
      <c r="H409" s="14" t="s">
        <v>1370</v>
      </c>
      <c r="I409" s="13">
        <v>30</v>
      </c>
      <c r="J409" s="15" t="s">
        <v>1429</v>
      </c>
      <c r="K409" s="15" t="s">
        <v>2706</v>
      </c>
      <c r="L409" s="16"/>
      <c r="M409" s="16">
        <v>65979.665999999997</v>
      </c>
      <c r="N409" s="16"/>
      <c r="O409" s="16"/>
      <c r="P409" s="16"/>
      <c r="Q409" s="16">
        <f>SUM(Tabela1[[#This Row],[201805]:[201807]])</f>
        <v>65979.665999999997</v>
      </c>
      <c r="R409" s="16">
        <f>SUM(Tabela1[[#This Row],[201905]:[201906]])</f>
        <v>0</v>
      </c>
      <c r="S409" s="16">
        <v>100000</v>
      </c>
      <c r="T409" s="16">
        <f>Tabela1[[#This Row],[Total 2019]]-Tabela1[[#This Row],[Total 2018]]</f>
        <v>-65979.665999999997</v>
      </c>
      <c r="U409" s="40">
        <f>Tabela1[[#This Row],[Total 2019]]/Tabela1[[#This Row],[Meta]]</f>
        <v>0</v>
      </c>
      <c r="V409" s="17">
        <f>IFERROR(Tabela1[[#This Row],[Total 2019]]/Tabela1[[#This Row],[Total 2018]]-1,0)</f>
        <v>-1</v>
      </c>
      <c r="W40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09" s="48"/>
      <c r="Y409" s="19"/>
      <c r="Z409" s="68"/>
    </row>
    <row r="410" spans="3:26" x14ac:dyDescent="0.35">
      <c r="C410" s="11" t="s">
        <v>2703</v>
      </c>
      <c r="D410" s="12" t="s">
        <v>2698</v>
      </c>
      <c r="E410" s="12">
        <v>394</v>
      </c>
      <c r="F410" s="13" t="s">
        <v>1841</v>
      </c>
      <c r="G410" s="14">
        <v>1</v>
      </c>
      <c r="H410" s="14" t="s">
        <v>1372</v>
      </c>
      <c r="I410" s="13">
        <v>25</v>
      </c>
      <c r="J410" s="15" t="s">
        <v>1424</v>
      </c>
      <c r="K410" s="15" t="s">
        <v>2708</v>
      </c>
      <c r="L410" s="16">
        <v>1486.0944999999999</v>
      </c>
      <c r="M410" s="16">
        <v>1838.1265000000001</v>
      </c>
      <c r="N410" s="16">
        <v>771.8655</v>
      </c>
      <c r="O410" s="16">
        <v>14826.070499999998</v>
      </c>
      <c r="P410" s="16"/>
      <c r="Q410" s="16">
        <f>SUM(Tabela1[[#This Row],[201805]:[201807]])</f>
        <v>4096.0865000000003</v>
      </c>
      <c r="R410" s="16">
        <f>SUM(Tabela1[[#This Row],[201905]:[201906]])</f>
        <v>14826.070499999998</v>
      </c>
      <c r="S410" s="16">
        <v>100000</v>
      </c>
      <c r="T410" s="16">
        <f>Tabela1[[#This Row],[Total 2019]]-Tabela1[[#This Row],[Total 2018]]</f>
        <v>10729.983999999997</v>
      </c>
      <c r="U410" s="40">
        <f>Tabela1[[#This Row],[Total 2019]]/Tabela1[[#This Row],[Meta]]</f>
        <v>0.14826070499999999</v>
      </c>
      <c r="V410" s="17">
        <f>IFERROR(Tabela1[[#This Row],[Total 2019]]/Tabela1[[#This Row],[Total 2018]]-1,0)</f>
        <v>2.6195696794977343</v>
      </c>
      <c r="W41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410" s="48"/>
      <c r="Y410" s="19"/>
      <c r="Z410" s="68"/>
    </row>
    <row r="411" spans="3:26" x14ac:dyDescent="0.35">
      <c r="C411" s="11" t="s">
        <v>2702</v>
      </c>
      <c r="D411" s="12" t="s">
        <v>2699</v>
      </c>
      <c r="E411" s="12">
        <v>395</v>
      </c>
      <c r="F411" s="13" t="s">
        <v>1842</v>
      </c>
      <c r="G411" s="14">
        <v>1</v>
      </c>
      <c r="H411" s="14" t="s">
        <v>1372</v>
      </c>
      <c r="I411" s="13">
        <v>21</v>
      </c>
      <c r="J411" s="15" t="s">
        <v>1420</v>
      </c>
      <c r="K411" s="15" t="s">
        <v>2708</v>
      </c>
      <c r="L411" s="16">
        <v>989.24450000000002</v>
      </c>
      <c r="M411" s="16">
        <v>1956.0119999999999</v>
      </c>
      <c r="N411" s="16"/>
      <c r="O411" s="16">
        <v>8218.9535000000014</v>
      </c>
      <c r="P411" s="16"/>
      <c r="Q411" s="16">
        <f>SUM(Tabela1[[#This Row],[201805]:[201807]])</f>
        <v>2945.2565</v>
      </c>
      <c r="R411" s="16">
        <f>SUM(Tabela1[[#This Row],[201905]:[201906]])</f>
        <v>8218.9535000000014</v>
      </c>
      <c r="S411" s="16">
        <v>100000</v>
      </c>
      <c r="T411" s="16">
        <f>Tabela1[[#This Row],[Total 2019]]-Tabela1[[#This Row],[Total 2018]]</f>
        <v>5273.6970000000019</v>
      </c>
      <c r="U411" s="40">
        <f>Tabela1[[#This Row],[Total 2019]]/Tabela1[[#This Row],[Meta]]</f>
        <v>8.2189535000000008E-2</v>
      </c>
      <c r="V411" s="17">
        <f>IFERROR(Tabela1[[#This Row],[Total 2019]]/Tabela1[[#This Row],[Total 2018]]-1,0)</f>
        <v>1.7905730791189161</v>
      </c>
      <c r="W41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411" s="48"/>
      <c r="Y411" s="19"/>
      <c r="Z411" s="68"/>
    </row>
    <row r="412" spans="3:26" x14ac:dyDescent="0.35">
      <c r="C412" s="11" t="s">
        <v>2703</v>
      </c>
      <c r="D412" s="12" t="s">
        <v>2699</v>
      </c>
      <c r="E412" s="12">
        <v>396</v>
      </c>
      <c r="F412" s="13" t="s">
        <v>1843</v>
      </c>
      <c r="G412" s="14">
        <v>2</v>
      </c>
      <c r="H412" s="14" t="s">
        <v>1370</v>
      </c>
      <c r="I412" s="13">
        <v>8</v>
      </c>
      <c r="J412" s="15" t="s">
        <v>1407</v>
      </c>
      <c r="K412" s="15" t="s">
        <v>2706</v>
      </c>
      <c r="L412" s="16"/>
      <c r="M412" s="16">
        <v>11068.545</v>
      </c>
      <c r="N412" s="16"/>
      <c r="O412" s="16">
        <v>19006.763999999999</v>
      </c>
      <c r="P412" s="16"/>
      <c r="Q412" s="16">
        <f>SUM(Tabela1[[#This Row],[201805]:[201807]])</f>
        <v>11068.545</v>
      </c>
      <c r="R412" s="16">
        <f>SUM(Tabela1[[#This Row],[201905]:[201906]])</f>
        <v>19006.763999999999</v>
      </c>
      <c r="S412" s="16">
        <v>100000</v>
      </c>
      <c r="T412" s="16">
        <f>Tabela1[[#This Row],[Total 2019]]-Tabela1[[#This Row],[Total 2018]]</f>
        <v>7938.2189999999991</v>
      </c>
      <c r="U412" s="40">
        <f>Tabela1[[#This Row],[Total 2019]]/Tabela1[[#This Row],[Meta]]</f>
        <v>0.19006763999999998</v>
      </c>
      <c r="V412" s="17">
        <f>IFERROR(Tabela1[[#This Row],[Total 2019]]/Tabela1[[#This Row],[Total 2018]]-1,0)</f>
        <v>0.71718721837423072</v>
      </c>
      <c r="W41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412" s="48"/>
      <c r="Y412" s="19"/>
      <c r="Z412" s="68"/>
    </row>
    <row r="413" spans="3:26" x14ac:dyDescent="0.35">
      <c r="C413" s="11" t="s">
        <v>2702</v>
      </c>
      <c r="D413" s="12" t="s">
        <v>2699</v>
      </c>
      <c r="E413" s="12">
        <v>397</v>
      </c>
      <c r="F413" s="13" t="s">
        <v>1844</v>
      </c>
      <c r="G413" s="14">
        <v>1</v>
      </c>
      <c r="H413" s="14" t="s">
        <v>1370</v>
      </c>
      <c r="I413" s="13">
        <v>29</v>
      </c>
      <c r="J413" s="15" t="s">
        <v>1428</v>
      </c>
      <c r="K413" s="15" t="s">
        <v>2706</v>
      </c>
      <c r="L413" s="16"/>
      <c r="M413" s="16">
        <v>21937.181500000002</v>
      </c>
      <c r="N413" s="16"/>
      <c r="O413" s="16"/>
      <c r="P413" s="16"/>
      <c r="Q413" s="16">
        <f>SUM(Tabela1[[#This Row],[201805]:[201807]])</f>
        <v>21937.181500000002</v>
      </c>
      <c r="R413" s="16">
        <f>SUM(Tabela1[[#This Row],[201905]:[201906]])</f>
        <v>0</v>
      </c>
      <c r="S413" s="16">
        <v>100000</v>
      </c>
      <c r="T413" s="16">
        <f>Tabela1[[#This Row],[Total 2019]]-Tabela1[[#This Row],[Total 2018]]</f>
        <v>-21937.181500000002</v>
      </c>
      <c r="U413" s="40">
        <f>Tabela1[[#This Row],[Total 2019]]/Tabela1[[#This Row],[Meta]]</f>
        <v>0</v>
      </c>
      <c r="V413" s="17">
        <f>IFERROR(Tabela1[[#This Row],[Total 2019]]/Tabela1[[#This Row],[Total 2018]]-1,0)</f>
        <v>-1</v>
      </c>
      <c r="W41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13" s="48"/>
      <c r="Y413" s="19"/>
      <c r="Z413" s="68"/>
    </row>
    <row r="414" spans="3:26" x14ac:dyDescent="0.35">
      <c r="C414" s="11" t="s">
        <v>2703</v>
      </c>
      <c r="D414" s="12" t="s">
        <v>2698</v>
      </c>
      <c r="E414" s="12">
        <v>398</v>
      </c>
      <c r="F414" s="13" t="s">
        <v>1845</v>
      </c>
      <c r="G414" s="14">
        <v>1</v>
      </c>
      <c r="H414" s="14" t="s">
        <v>1372</v>
      </c>
      <c r="I414" s="13">
        <v>25</v>
      </c>
      <c r="J414" s="15" t="s">
        <v>1424</v>
      </c>
      <c r="K414" s="15" t="s">
        <v>2708</v>
      </c>
      <c r="L414" s="16">
        <v>1082.3254999999999</v>
      </c>
      <c r="M414" s="16">
        <v>769.28149999999994</v>
      </c>
      <c r="N414" s="16"/>
      <c r="O414" s="16"/>
      <c r="P414" s="16"/>
      <c r="Q414" s="16">
        <f>SUM(Tabela1[[#This Row],[201805]:[201807]])</f>
        <v>1851.607</v>
      </c>
      <c r="R414" s="16">
        <f>SUM(Tabela1[[#This Row],[201905]:[201906]])</f>
        <v>0</v>
      </c>
      <c r="S414" s="16">
        <v>100000</v>
      </c>
      <c r="T414" s="16">
        <f>Tabela1[[#This Row],[Total 2019]]-Tabela1[[#This Row],[Total 2018]]</f>
        <v>-1851.607</v>
      </c>
      <c r="U414" s="40">
        <f>Tabela1[[#This Row],[Total 2019]]/Tabela1[[#This Row],[Meta]]</f>
        <v>0</v>
      </c>
      <c r="V414" s="17">
        <f>IFERROR(Tabela1[[#This Row],[Total 2019]]/Tabela1[[#This Row],[Total 2018]]-1,0)</f>
        <v>-1</v>
      </c>
      <c r="W41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14" s="48"/>
      <c r="Y414" s="19"/>
      <c r="Z414" s="68"/>
    </row>
    <row r="415" spans="3:26" x14ac:dyDescent="0.35">
      <c r="C415" s="11" t="s">
        <v>2703</v>
      </c>
      <c r="D415" s="12" t="s">
        <v>2700</v>
      </c>
      <c r="E415" s="12">
        <v>399</v>
      </c>
      <c r="F415" s="13" t="s">
        <v>1846</v>
      </c>
      <c r="G415" s="14">
        <v>1</v>
      </c>
      <c r="H415" s="14" t="s">
        <v>1372</v>
      </c>
      <c r="I415" s="13">
        <v>21</v>
      </c>
      <c r="J415" s="15" t="s">
        <v>1420</v>
      </c>
      <c r="K415" s="15" t="s">
        <v>2708</v>
      </c>
      <c r="L415" s="16"/>
      <c r="M415" s="16"/>
      <c r="N415" s="16"/>
      <c r="O415" s="16">
        <v>10934.861000000001</v>
      </c>
      <c r="P415" s="16"/>
      <c r="Q415" s="16">
        <f>SUM(Tabela1[[#This Row],[201805]:[201807]])</f>
        <v>0</v>
      </c>
      <c r="R415" s="16">
        <f>SUM(Tabela1[[#This Row],[201905]:[201906]])</f>
        <v>10934.861000000001</v>
      </c>
      <c r="S415" s="16">
        <v>100000</v>
      </c>
      <c r="T415" s="16">
        <f>Tabela1[[#This Row],[Total 2019]]-Tabela1[[#This Row],[Total 2018]]</f>
        <v>10934.861000000001</v>
      </c>
      <c r="U415" s="40">
        <f>Tabela1[[#This Row],[Total 2019]]/Tabela1[[#This Row],[Meta]]</f>
        <v>0.10934861000000001</v>
      </c>
      <c r="V415" s="17">
        <f>IFERROR(Tabela1[[#This Row],[Total 2019]]/Tabela1[[#This Row],[Total 2018]]-1,0)</f>
        <v>0</v>
      </c>
      <c r="W41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415" s="48"/>
      <c r="Y415" s="19"/>
      <c r="Z415" s="68"/>
    </row>
    <row r="416" spans="3:26" x14ac:dyDescent="0.35">
      <c r="C416" s="11" t="s">
        <v>2702</v>
      </c>
      <c r="D416" s="12" t="s">
        <v>2700</v>
      </c>
      <c r="E416" s="12">
        <v>400</v>
      </c>
      <c r="F416" s="13" t="s">
        <v>1847</v>
      </c>
      <c r="G416" s="14">
        <v>3</v>
      </c>
      <c r="H416" s="14" t="s">
        <v>1372</v>
      </c>
      <c r="I416" s="13">
        <v>21</v>
      </c>
      <c r="J416" s="15" t="s">
        <v>1420</v>
      </c>
      <c r="K416" s="15" t="s">
        <v>2708</v>
      </c>
      <c r="L416" s="16"/>
      <c r="M416" s="16"/>
      <c r="N416" s="16"/>
      <c r="O416" s="16">
        <v>1181.6669999999999</v>
      </c>
      <c r="P416" s="16"/>
      <c r="Q416" s="16">
        <f>SUM(Tabela1[[#This Row],[201805]:[201807]])</f>
        <v>0</v>
      </c>
      <c r="R416" s="16">
        <f>SUM(Tabela1[[#This Row],[201905]:[201906]])</f>
        <v>1181.6669999999999</v>
      </c>
      <c r="S416" s="16">
        <v>100000</v>
      </c>
      <c r="T416" s="16">
        <f>Tabela1[[#This Row],[Total 2019]]-Tabela1[[#This Row],[Total 2018]]</f>
        <v>1181.6669999999999</v>
      </c>
      <c r="U416" s="40">
        <f>Tabela1[[#This Row],[Total 2019]]/Tabela1[[#This Row],[Meta]]</f>
        <v>1.181667E-2</v>
      </c>
      <c r="V416" s="17">
        <f>IFERROR(Tabela1[[#This Row],[Total 2019]]/Tabela1[[#This Row],[Total 2018]]-1,0)</f>
        <v>0</v>
      </c>
      <c r="W41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416" s="48"/>
      <c r="Y416" s="19"/>
      <c r="Z416" s="68"/>
    </row>
    <row r="417" spans="3:26" x14ac:dyDescent="0.35">
      <c r="C417" s="11" t="s">
        <v>2703</v>
      </c>
      <c r="D417" s="12" t="s">
        <v>2700</v>
      </c>
      <c r="E417" s="12">
        <v>401</v>
      </c>
      <c r="F417" s="13" t="s">
        <v>1848</v>
      </c>
      <c r="G417" s="14">
        <v>3</v>
      </c>
      <c r="H417" s="14" t="s">
        <v>1373</v>
      </c>
      <c r="I417" s="13">
        <v>28</v>
      </c>
      <c r="J417" s="15" t="s">
        <v>1427</v>
      </c>
      <c r="K417" s="15" t="s">
        <v>2710</v>
      </c>
      <c r="L417" s="16">
        <v>7691.5609999999997</v>
      </c>
      <c r="M417" s="16">
        <v>3460.0520000000001</v>
      </c>
      <c r="N417" s="16"/>
      <c r="O417" s="16"/>
      <c r="P417" s="16"/>
      <c r="Q417" s="16">
        <f>SUM(Tabela1[[#This Row],[201805]:[201807]])</f>
        <v>11151.612999999999</v>
      </c>
      <c r="R417" s="16">
        <f>SUM(Tabela1[[#This Row],[201905]:[201906]])</f>
        <v>0</v>
      </c>
      <c r="S417" s="16">
        <v>100000</v>
      </c>
      <c r="T417" s="16">
        <f>Tabela1[[#This Row],[Total 2019]]-Tabela1[[#This Row],[Total 2018]]</f>
        <v>-11151.612999999999</v>
      </c>
      <c r="U417" s="40">
        <f>Tabela1[[#This Row],[Total 2019]]/Tabela1[[#This Row],[Meta]]</f>
        <v>0</v>
      </c>
      <c r="V417" s="17">
        <f>IFERROR(Tabela1[[#This Row],[Total 2019]]/Tabela1[[#This Row],[Total 2018]]-1,0)</f>
        <v>-1</v>
      </c>
      <c r="W41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17" s="48"/>
      <c r="Y417" s="19"/>
      <c r="Z417" s="68"/>
    </row>
    <row r="418" spans="3:26" x14ac:dyDescent="0.35">
      <c r="C418" s="11" t="s">
        <v>2702</v>
      </c>
      <c r="D418" s="12" t="s">
        <v>2698</v>
      </c>
      <c r="E418" s="12">
        <v>402</v>
      </c>
      <c r="F418" s="13" t="s">
        <v>1849</v>
      </c>
      <c r="G418" s="14">
        <v>3</v>
      </c>
      <c r="H418" s="14" t="s">
        <v>1372</v>
      </c>
      <c r="I418" s="13">
        <v>10</v>
      </c>
      <c r="J418" s="15" t="s">
        <v>1409</v>
      </c>
      <c r="K418" s="15" t="s">
        <v>2708</v>
      </c>
      <c r="L418" s="16">
        <v>2153.308</v>
      </c>
      <c r="M418" s="16">
        <v>994.49799999999993</v>
      </c>
      <c r="N418" s="16"/>
      <c r="O418" s="16"/>
      <c r="P418" s="16"/>
      <c r="Q418" s="16">
        <f>SUM(Tabela1[[#This Row],[201805]:[201807]])</f>
        <v>3147.806</v>
      </c>
      <c r="R418" s="16">
        <f>SUM(Tabela1[[#This Row],[201905]:[201906]])</f>
        <v>0</v>
      </c>
      <c r="S418" s="16">
        <v>100000</v>
      </c>
      <c r="T418" s="16">
        <f>Tabela1[[#This Row],[Total 2019]]-Tabela1[[#This Row],[Total 2018]]</f>
        <v>-3147.806</v>
      </c>
      <c r="U418" s="40">
        <f>Tabela1[[#This Row],[Total 2019]]/Tabela1[[#This Row],[Meta]]</f>
        <v>0</v>
      </c>
      <c r="V418" s="17">
        <f>IFERROR(Tabela1[[#This Row],[Total 2019]]/Tabela1[[#This Row],[Total 2018]]-1,0)</f>
        <v>-1</v>
      </c>
      <c r="W41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18" s="48"/>
      <c r="Y418" s="19"/>
      <c r="Z418" s="68"/>
    </row>
    <row r="419" spans="3:26" x14ac:dyDescent="0.35">
      <c r="C419" s="11" t="s">
        <v>2703</v>
      </c>
      <c r="D419" s="12" t="s">
        <v>2699</v>
      </c>
      <c r="E419" s="12">
        <v>403</v>
      </c>
      <c r="F419" s="13" t="s">
        <v>1850</v>
      </c>
      <c r="G419" s="14">
        <v>3</v>
      </c>
      <c r="H419" s="14" t="s">
        <v>1371</v>
      </c>
      <c r="I419" s="13">
        <v>5</v>
      </c>
      <c r="J419" s="15" t="s">
        <v>1404</v>
      </c>
      <c r="K419" s="15" t="s">
        <v>2707</v>
      </c>
      <c r="L419" s="16">
        <v>7765.2334999999985</v>
      </c>
      <c r="M419" s="16">
        <v>4369.7244999999994</v>
      </c>
      <c r="N419" s="16"/>
      <c r="O419" s="16"/>
      <c r="P419" s="16"/>
      <c r="Q419" s="16">
        <f>SUM(Tabela1[[#This Row],[201805]:[201807]])</f>
        <v>12134.957999999999</v>
      </c>
      <c r="R419" s="16">
        <f>SUM(Tabela1[[#This Row],[201905]:[201906]])</f>
        <v>0</v>
      </c>
      <c r="S419" s="16">
        <v>100000</v>
      </c>
      <c r="T419" s="16">
        <f>Tabela1[[#This Row],[Total 2019]]-Tabela1[[#This Row],[Total 2018]]</f>
        <v>-12134.957999999999</v>
      </c>
      <c r="U419" s="40">
        <f>Tabela1[[#This Row],[Total 2019]]/Tabela1[[#This Row],[Meta]]</f>
        <v>0</v>
      </c>
      <c r="V419" s="17">
        <f>IFERROR(Tabela1[[#This Row],[Total 2019]]/Tabela1[[#This Row],[Total 2018]]-1,0)</f>
        <v>-1</v>
      </c>
      <c r="W41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19" s="48"/>
      <c r="Y419" s="19"/>
      <c r="Z419" s="68"/>
    </row>
    <row r="420" spans="3:26" x14ac:dyDescent="0.35">
      <c r="C420" s="11" t="s">
        <v>2702</v>
      </c>
      <c r="D420" s="12" t="s">
        <v>2698</v>
      </c>
      <c r="E420" s="12">
        <v>404</v>
      </c>
      <c r="F420" s="13" t="s">
        <v>1851</v>
      </c>
      <c r="G420" s="14">
        <v>2</v>
      </c>
      <c r="H420" s="14" t="s">
        <v>1372</v>
      </c>
      <c r="I420" s="13">
        <v>18</v>
      </c>
      <c r="J420" s="15" t="s">
        <v>1417</v>
      </c>
      <c r="K420" s="15" t="s">
        <v>2708</v>
      </c>
      <c r="L420" s="16">
        <v>3520.3579999999997</v>
      </c>
      <c r="M420" s="16">
        <v>3349.7949999999992</v>
      </c>
      <c r="N420" s="16">
        <v>1982.422</v>
      </c>
      <c r="O420" s="16">
        <v>2492.857</v>
      </c>
      <c r="P420" s="16">
        <v>9525.9064999999991</v>
      </c>
      <c r="Q420" s="16">
        <f>SUM(Tabela1[[#This Row],[201805]:[201807]])</f>
        <v>8852.5749999999989</v>
      </c>
      <c r="R420" s="16">
        <f>SUM(Tabela1[[#This Row],[201905]:[201906]])</f>
        <v>12018.763499999999</v>
      </c>
      <c r="S420" s="16">
        <v>100000</v>
      </c>
      <c r="T420" s="16">
        <f>Tabela1[[#This Row],[Total 2019]]-Tabela1[[#This Row],[Total 2018]]</f>
        <v>3166.1885000000002</v>
      </c>
      <c r="U420" s="40">
        <f>Tabela1[[#This Row],[Total 2019]]/Tabela1[[#This Row],[Meta]]</f>
        <v>0.12018763499999999</v>
      </c>
      <c r="V420" s="17">
        <f>IFERROR(Tabela1[[#This Row],[Total 2019]]/Tabela1[[#This Row],[Total 2018]]-1,0)</f>
        <v>0.35765734828566842</v>
      </c>
      <c r="W42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420" s="48"/>
      <c r="Y420" s="19"/>
      <c r="Z420" s="68"/>
    </row>
    <row r="421" spans="3:26" x14ac:dyDescent="0.35">
      <c r="C421" s="11" t="s">
        <v>2703</v>
      </c>
      <c r="D421" s="12" t="s">
        <v>2698</v>
      </c>
      <c r="E421" s="12">
        <v>405</v>
      </c>
      <c r="F421" s="13" t="s">
        <v>1852</v>
      </c>
      <c r="G421" s="14">
        <v>3</v>
      </c>
      <c r="H421" s="14" t="s">
        <v>1370</v>
      </c>
      <c r="I421" s="13">
        <v>19</v>
      </c>
      <c r="J421" s="15" t="s">
        <v>1418</v>
      </c>
      <c r="K421" s="15" t="s">
        <v>2706</v>
      </c>
      <c r="L421" s="16">
        <v>3340.4470000000001</v>
      </c>
      <c r="M421" s="16">
        <v>576.67849999999999</v>
      </c>
      <c r="N421" s="16"/>
      <c r="O421" s="16">
        <v>695.47599999999989</v>
      </c>
      <c r="P421" s="16">
        <v>3946.6610000000001</v>
      </c>
      <c r="Q421" s="16">
        <f>SUM(Tabela1[[#This Row],[201805]:[201807]])</f>
        <v>3917.1255000000001</v>
      </c>
      <c r="R421" s="16">
        <f>SUM(Tabela1[[#This Row],[201905]:[201906]])</f>
        <v>4642.1369999999997</v>
      </c>
      <c r="S421" s="16">
        <v>100000</v>
      </c>
      <c r="T421" s="16">
        <f>Tabela1[[#This Row],[Total 2019]]-Tabela1[[#This Row],[Total 2018]]</f>
        <v>725.01149999999961</v>
      </c>
      <c r="U421" s="40">
        <f>Tabela1[[#This Row],[Total 2019]]/Tabela1[[#This Row],[Meta]]</f>
        <v>4.6421369999999997E-2</v>
      </c>
      <c r="V421" s="17">
        <f>IFERROR(Tabela1[[#This Row],[Total 2019]]/Tabela1[[#This Row],[Total 2018]]-1,0)</f>
        <v>0.18508763632924174</v>
      </c>
      <c r="W42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421" s="48"/>
      <c r="Y421" s="19"/>
      <c r="Z421" s="68"/>
    </row>
    <row r="422" spans="3:26" x14ac:dyDescent="0.35">
      <c r="C422" s="11" t="s">
        <v>2704</v>
      </c>
      <c r="D422" s="12" t="s">
        <v>2700</v>
      </c>
      <c r="E422" s="12">
        <v>406</v>
      </c>
      <c r="F422" s="13" t="s">
        <v>1853</v>
      </c>
      <c r="G422" s="14">
        <v>3</v>
      </c>
      <c r="H422" s="14" t="s">
        <v>1372</v>
      </c>
      <c r="I422" s="13">
        <v>25</v>
      </c>
      <c r="J422" s="15" t="s">
        <v>1424</v>
      </c>
      <c r="K422" s="15" t="s">
        <v>2708</v>
      </c>
      <c r="L422" s="16">
        <v>1264.6589999999999</v>
      </c>
      <c r="M422" s="16">
        <v>526.59449999999993</v>
      </c>
      <c r="N422" s="16"/>
      <c r="O422" s="16"/>
      <c r="P422" s="16"/>
      <c r="Q422" s="16">
        <f>SUM(Tabela1[[#This Row],[201805]:[201807]])</f>
        <v>1791.2534999999998</v>
      </c>
      <c r="R422" s="16">
        <f>SUM(Tabela1[[#This Row],[201905]:[201906]])</f>
        <v>0</v>
      </c>
      <c r="S422" s="16">
        <v>100000</v>
      </c>
      <c r="T422" s="16">
        <f>Tabela1[[#This Row],[Total 2019]]-Tabela1[[#This Row],[Total 2018]]</f>
        <v>-1791.2534999999998</v>
      </c>
      <c r="U422" s="40">
        <f>Tabela1[[#This Row],[Total 2019]]/Tabela1[[#This Row],[Meta]]</f>
        <v>0</v>
      </c>
      <c r="V422" s="17">
        <f>IFERROR(Tabela1[[#This Row],[Total 2019]]/Tabela1[[#This Row],[Total 2018]]-1,0)</f>
        <v>-1</v>
      </c>
      <c r="W42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22" s="48"/>
      <c r="Y422" s="19"/>
      <c r="Z422" s="68"/>
    </row>
    <row r="423" spans="3:26" x14ac:dyDescent="0.35">
      <c r="C423" s="11" t="s">
        <v>2704</v>
      </c>
      <c r="D423" s="12" t="s">
        <v>2698</v>
      </c>
      <c r="E423" s="12">
        <v>407</v>
      </c>
      <c r="F423" s="13" t="s">
        <v>1854</v>
      </c>
      <c r="G423" s="14">
        <v>2</v>
      </c>
      <c r="H423" s="14" t="s">
        <v>1372</v>
      </c>
      <c r="I423" s="13">
        <v>25</v>
      </c>
      <c r="J423" s="15" t="s">
        <v>1424</v>
      </c>
      <c r="K423" s="15" t="s">
        <v>2708</v>
      </c>
      <c r="L423" s="16">
        <v>2571.8875000000003</v>
      </c>
      <c r="M423" s="16">
        <v>1605.2719999999999</v>
      </c>
      <c r="N423" s="16">
        <v>1583.7925</v>
      </c>
      <c r="O423" s="16">
        <v>4210.0865000000003</v>
      </c>
      <c r="P423" s="16">
        <v>1538.6199999999997</v>
      </c>
      <c r="Q423" s="16">
        <f>SUM(Tabela1[[#This Row],[201805]:[201807]])</f>
        <v>5760.9519999999993</v>
      </c>
      <c r="R423" s="16">
        <f>SUM(Tabela1[[#This Row],[201905]:[201906]])</f>
        <v>5748.7065000000002</v>
      </c>
      <c r="S423" s="16">
        <v>100000</v>
      </c>
      <c r="T423" s="16">
        <f>Tabela1[[#This Row],[Total 2019]]-Tabela1[[#This Row],[Total 2018]]</f>
        <v>-12.245499999999083</v>
      </c>
      <c r="U423" s="40">
        <f>Tabela1[[#This Row],[Total 2019]]/Tabela1[[#This Row],[Meta]]</f>
        <v>5.7487065000000004E-2</v>
      </c>
      <c r="V423" s="17">
        <f>IFERROR(Tabela1[[#This Row],[Total 2019]]/Tabela1[[#This Row],[Total 2018]]-1,0)</f>
        <v>-2.125603546080379E-3</v>
      </c>
      <c r="W42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423" s="48"/>
      <c r="Y423" s="19"/>
      <c r="Z423" s="68"/>
    </row>
    <row r="424" spans="3:26" x14ac:dyDescent="0.35">
      <c r="C424" s="11" t="s">
        <v>2703</v>
      </c>
      <c r="D424" s="12" t="s">
        <v>2698</v>
      </c>
      <c r="E424" s="12">
        <v>408</v>
      </c>
      <c r="F424" s="13" t="s">
        <v>1855</v>
      </c>
      <c r="G424" s="14">
        <v>2</v>
      </c>
      <c r="H424" s="14" t="s">
        <v>1371</v>
      </c>
      <c r="I424" s="13">
        <v>12</v>
      </c>
      <c r="J424" s="15" t="s">
        <v>1411</v>
      </c>
      <c r="K424" s="15" t="s">
        <v>2707</v>
      </c>
      <c r="L424" s="16">
        <v>3161.904</v>
      </c>
      <c r="M424" s="16">
        <v>5395.1544999999996</v>
      </c>
      <c r="N424" s="16">
        <v>1192.402</v>
      </c>
      <c r="O424" s="16"/>
      <c r="P424" s="16"/>
      <c r="Q424" s="16">
        <f>SUM(Tabela1[[#This Row],[201805]:[201807]])</f>
        <v>9749.4604999999992</v>
      </c>
      <c r="R424" s="16">
        <f>SUM(Tabela1[[#This Row],[201905]:[201906]])</f>
        <v>0</v>
      </c>
      <c r="S424" s="16">
        <v>100000</v>
      </c>
      <c r="T424" s="16">
        <f>Tabela1[[#This Row],[Total 2019]]-Tabela1[[#This Row],[Total 2018]]</f>
        <v>-9749.4604999999992</v>
      </c>
      <c r="U424" s="40">
        <f>Tabela1[[#This Row],[Total 2019]]/Tabela1[[#This Row],[Meta]]</f>
        <v>0</v>
      </c>
      <c r="V424" s="17">
        <f>IFERROR(Tabela1[[#This Row],[Total 2019]]/Tabela1[[#This Row],[Total 2018]]-1,0)</f>
        <v>-1</v>
      </c>
      <c r="W42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24" s="48"/>
      <c r="Y424" s="19"/>
      <c r="Z424" s="68"/>
    </row>
    <row r="425" spans="3:26" x14ac:dyDescent="0.35">
      <c r="C425" s="11" t="s">
        <v>2703</v>
      </c>
      <c r="D425" s="12" t="s">
        <v>2698</v>
      </c>
      <c r="E425" s="12">
        <v>409</v>
      </c>
      <c r="F425" s="13" t="s">
        <v>1856</v>
      </c>
      <c r="G425" s="14">
        <v>3</v>
      </c>
      <c r="H425" s="14" t="s">
        <v>1372</v>
      </c>
      <c r="I425" s="13">
        <v>13</v>
      </c>
      <c r="J425" s="15" t="s">
        <v>1412</v>
      </c>
      <c r="K425" s="15" t="s">
        <v>2709</v>
      </c>
      <c r="L425" s="16"/>
      <c r="M425" s="16">
        <v>999.70399999999995</v>
      </c>
      <c r="N425" s="16"/>
      <c r="O425" s="16"/>
      <c r="P425" s="16"/>
      <c r="Q425" s="16">
        <f>SUM(Tabela1[[#This Row],[201805]:[201807]])</f>
        <v>999.70399999999995</v>
      </c>
      <c r="R425" s="16">
        <f>SUM(Tabela1[[#This Row],[201905]:[201906]])</f>
        <v>0</v>
      </c>
      <c r="S425" s="16">
        <v>100000</v>
      </c>
      <c r="T425" s="16">
        <f>Tabela1[[#This Row],[Total 2019]]-Tabela1[[#This Row],[Total 2018]]</f>
        <v>-999.70399999999995</v>
      </c>
      <c r="U425" s="40">
        <f>Tabela1[[#This Row],[Total 2019]]/Tabela1[[#This Row],[Meta]]</f>
        <v>0</v>
      </c>
      <c r="V425" s="17">
        <f>IFERROR(Tabela1[[#This Row],[Total 2019]]/Tabela1[[#This Row],[Total 2018]]-1,0)</f>
        <v>-1</v>
      </c>
      <c r="W42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25" s="48"/>
      <c r="Y425" s="19"/>
      <c r="Z425" s="68"/>
    </row>
    <row r="426" spans="3:26" x14ac:dyDescent="0.35">
      <c r="C426" s="11" t="s">
        <v>2702</v>
      </c>
      <c r="D426" s="12" t="s">
        <v>2699</v>
      </c>
      <c r="E426" s="12">
        <v>410</v>
      </c>
      <c r="F426" s="13" t="s">
        <v>1857</v>
      </c>
      <c r="G426" s="14">
        <v>1</v>
      </c>
      <c r="H426" s="14" t="s">
        <v>1371</v>
      </c>
      <c r="I426" s="13">
        <v>9</v>
      </c>
      <c r="J426" s="15" t="s">
        <v>1408</v>
      </c>
      <c r="K426" s="15" t="s">
        <v>2707</v>
      </c>
      <c r="L426" s="16"/>
      <c r="M426" s="16">
        <v>3068.1769999999997</v>
      </c>
      <c r="N426" s="16"/>
      <c r="O426" s="16"/>
      <c r="P426" s="16"/>
      <c r="Q426" s="16">
        <f>SUM(Tabela1[[#This Row],[201805]:[201807]])</f>
        <v>3068.1769999999997</v>
      </c>
      <c r="R426" s="16">
        <f>SUM(Tabela1[[#This Row],[201905]:[201906]])</f>
        <v>0</v>
      </c>
      <c r="S426" s="16">
        <v>100000</v>
      </c>
      <c r="T426" s="16">
        <f>Tabela1[[#This Row],[Total 2019]]-Tabela1[[#This Row],[Total 2018]]</f>
        <v>-3068.1769999999997</v>
      </c>
      <c r="U426" s="40">
        <f>Tabela1[[#This Row],[Total 2019]]/Tabela1[[#This Row],[Meta]]</f>
        <v>0</v>
      </c>
      <c r="V426" s="17">
        <f>IFERROR(Tabela1[[#This Row],[Total 2019]]/Tabela1[[#This Row],[Total 2018]]-1,0)</f>
        <v>-1</v>
      </c>
      <c r="W42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26" s="48"/>
      <c r="Y426" s="19"/>
      <c r="Z426" s="68"/>
    </row>
    <row r="427" spans="3:26" x14ac:dyDescent="0.35">
      <c r="C427" s="11" t="s">
        <v>2702</v>
      </c>
      <c r="D427" s="12" t="s">
        <v>2700</v>
      </c>
      <c r="E427" s="12">
        <v>411</v>
      </c>
      <c r="F427" s="13" t="s">
        <v>1858</v>
      </c>
      <c r="G427" s="14">
        <v>3</v>
      </c>
      <c r="H427" s="14" t="s">
        <v>1370</v>
      </c>
      <c r="I427" s="13">
        <v>29</v>
      </c>
      <c r="J427" s="15" t="s">
        <v>1428</v>
      </c>
      <c r="K427" s="15" t="s">
        <v>2706</v>
      </c>
      <c r="L427" s="16">
        <v>1753.0254999999997</v>
      </c>
      <c r="M427" s="16">
        <v>2170.3510000000001</v>
      </c>
      <c r="N427" s="16"/>
      <c r="O427" s="16"/>
      <c r="P427" s="16"/>
      <c r="Q427" s="16">
        <f>SUM(Tabela1[[#This Row],[201805]:[201807]])</f>
        <v>3923.3764999999999</v>
      </c>
      <c r="R427" s="16">
        <f>SUM(Tabela1[[#This Row],[201905]:[201906]])</f>
        <v>0</v>
      </c>
      <c r="S427" s="16">
        <v>100000</v>
      </c>
      <c r="T427" s="16">
        <f>Tabela1[[#This Row],[Total 2019]]-Tabela1[[#This Row],[Total 2018]]</f>
        <v>-3923.3764999999999</v>
      </c>
      <c r="U427" s="40">
        <f>Tabela1[[#This Row],[Total 2019]]/Tabela1[[#This Row],[Meta]]</f>
        <v>0</v>
      </c>
      <c r="V427" s="17">
        <f>IFERROR(Tabela1[[#This Row],[Total 2019]]/Tabela1[[#This Row],[Total 2018]]-1,0)</f>
        <v>-1</v>
      </c>
      <c r="W42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27" s="48"/>
      <c r="Y427" s="19"/>
      <c r="Z427" s="68"/>
    </row>
    <row r="428" spans="3:26" x14ac:dyDescent="0.35">
      <c r="C428" s="11" t="s">
        <v>2702</v>
      </c>
      <c r="D428" s="12" t="s">
        <v>2698</v>
      </c>
      <c r="E428" s="12">
        <v>412</v>
      </c>
      <c r="F428" s="13" t="s">
        <v>1859</v>
      </c>
      <c r="G428" s="14">
        <v>2</v>
      </c>
      <c r="H428" s="14" t="s">
        <v>1372</v>
      </c>
      <c r="I428" s="13">
        <v>25</v>
      </c>
      <c r="J428" s="15" t="s">
        <v>1424</v>
      </c>
      <c r="K428" s="15" t="s">
        <v>2708</v>
      </c>
      <c r="L428" s="16">
        <v>3263.3639999999996</v>
      </c>
      <c r="M428" s="16">
        <v>1198.3869999999999</v>
      </c>
      <c r="N428" s="16">
        <v>3916.6884999999997</v>
      </c>
      <c r="O428" s="16">
        <v>4648.2455</v>
      </c>
      <c r="P428" s="16">
        <v>3310.0469999999996</v>
      </c>
      <c r="Q428" s="16">
        <f>SUM(Tabela1[[#This Row],[201805]:[201807]])</f>
        <v>8378.4394999999986</v>
      </c>
      <c r="R428" s="16">
        <f>SUM(Tabela1[[#This Row],[201905]:[201906]])</f>
        <v>7958.2924999999996</v>
      </c>
      <c r="S428" s="16">
        <v>100000</v>
      </c>
      <c r="T428" s="16">
        <f>Tabela1[[#This Row],[Total 2019]]-Tabela1[[#This Row],[Total 2018]]</f>
        <v>-420.14699999999903</v>
      </c>
      <c r="U428" s="40">
        <f>Tabela1[[#This Row],[Total 2019]]/Tabela1[[#This Row],[Meta]]</f>
        <v>7.9582924999999999E-2</v>
      </c>
      <c r="V428" s="17">
        <f>IFERROR(Tabela1[[#This Row],[Total 2019]]/Tabela1[[#This Row],[Total 2018]]-1,0)</f>
        <v>-5.0146211594653045E-2</v>
      </c>
      <c r="W42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428" s="48"/>
      <c r="Y428" s="19"/>
      <c r="Z428" s="68"/>
    </row>
    <row r="429" spans="3:26" x14ac:dyDescent="0.35">
      <c r="C429" s="11" t="s">
        <v>2704</v>
      </c>
      <c r="D429" s="12" t="s">
        <v>2700</v>
      </c>
      <c r="E429" s="12">
        <v>413</v>
      </c>
      <c r="F429" s="13" t="s">
        <v>1860</v>
      </c>
      <c r="G429" s="14">
        <v>2</v>
      </c>
      <c r="H429" s="14" t="s">
        <v>1371</v>
      </c>
      <c r="I429" s="13">
        <v>5</v>
      </c>
      <c r="J429" s="15" t="s">
        <v>1404</v>
      </c>
      <c r="K429" s="15" t="s">
        <v>2707</v>
      </c>
      <c r="L429" s="16"/>
      <c r="M429" s="16">
        <v>4331.1450000000004</v>
      </c>
      <c r="N429" s="16"/>
      <c r="O429" s="16"/>
      <c r="P429" s="16">
        <v>493.33499999999992</v>
      </c>
      <c r="Q429" s="16">
        <f>SUM(Tabela1[[#This Row],[201805]:[201807]])</f>
        <v>4331.1450000000004</v>
      </c>
      <c r="R429" s="16">
        <f>SUM(Tabela1[[#This Row],[201905]:[201906]])</f>
        <v>493.33499999999992</v>
      </c>
      <c r="S429" s="16">
        <v>100000</v>
      </c>
      <c r="T429" s="16">
        <f>Tabela1[[#This Row],[Total 2019]]-Tabela1[[#This Row],[Total 2018]]</f>
        <v>-3837.8100000000004</v>
      </c>
      <c r="U429" s="40">
        <f>Tabela1[[#This Row],[Total 2019]]/Tabela1[[#This Row],[Meta]]</f>
        <v>4.9333499999999995E-3</v>
      </c>
      <c r="V429" s="17">
        <f>IFERROR(Tabela1[[#This Row],[Total 2019]]/Tabela1[[#This Row],[Total 2018]]-1,0)</f>
        <v>-0.88609593998815561</v>
      </c>
      <c r="W42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429" s="48"/>
      <c r="Y429" s="19"/>
      <c r="Z429" s="68"/>
    </row>
    <row r="430" spans="3:26" x14ac:dyDescent="0.35">
      <c r="C430" s="11" t="s">
        <v>2702</v>
      </c>
      <c r="D430" s="12" t="s">
        <v>2700</v>
      </c>
      <c r="E430" s="12">
        <v>414</v>
      </c>
      <c r="F430" s="13" t="s">
        <v>1861</v>
      </c>
      <c r="G430" s="14">
        <v>1</v>
      </c>
      <c r="H430" s="14" t="s">
        <v>1371</v>
      </c>
      <c r="I430" s="13">
        <v>5</v>
      </c>
      <c r="J430" s="15" t="s">
        <v>1404</v>
      </c>
      <c r="K430" s="15" t="s">
        <v>2707</v>
      </c>
      <c r="L430" s="16"/>
      <c r="M430" s="16">
        <v>3509.471</v>
      </c>
      <c r="N430" s="16"/>
      <c r="O430" s="16"/>
      <c r="P430" s="16"/>
      <c r="Q430" s="16">
        <f>SUM(Tabela1[[#This Row],[201805]:[201807]])</f>
        <v>3509.471</v>
      </c>
      <c r="R430" s="16">
        <f>SUM(Tabela1[[#This Row],[201905]:[201906]])</f>
        <v>0</v>
      </c>
      <c r="S430" s="16">
        <v>100000</v>
      </c>
      <c r="T430" s="16">
        <f>Tabela1[[#This Row],[Total 2019]]-Tabela1[[#This Row],[Total 2018]]</f>
        <v>-3509.471</v>
      </c>
      <c r="U430" s="40">
        <f>Tabela1[[#This Row],[Total 2019]]/Tabela1[[#This Row],[Meta]]</f>
        <v>0</v>
      </c>
      <c r="V430" s="17">
        <f>IFERROR(Tabela1[[#This Row],[Total 2019]]/Tabela1[[#This Row],[Total 2018]]-1,0)</f>
        <v>-1</v>
      </c>
      <c r="W43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30" s="48"/>
      <c r="Y430" s="19"/>
      <c r="Z430" s="68"/>
    </row>
    <row r="431" spans="3:26" x14ac:dyDescent="0.35">
      <c r="C431" s="11" t="s">
        <v>2703</v>
      </c>
      <c r="D431" s="12" t="s">
        <v>2700</v>
      </c>
      <c r="E431" s="12">
        <v>415</v>
      </c>
      <c r="F431" s="13" t="s">
        <v>1862</v>
      </c>
      <c r="G431" s="14">
        <v>3</v>
      </c>
      <c r="H431" s="14" t="s">
        <v>1370</v>
      </c>
      <c r="I431" s="13">
        <v>1</v>
      </c>
      <c r="J431" s="15" t="s">
        <v>1400</v>
      </c>
      <c r="K431" s="15" t="s">
        <v>2706</v>
      </c>
      <c r="L431" s="16">
        <v>9766.4750000000004</v>
      </c>
      <c r="M431" s="16">
        <v>18610.063000000002</v>
      </c>
      <c r="N431" s="16">
        <v>2436.9969999999998</v>
      </c>
      <c r="O431" s="16"/>
      <c r="P431" s="16"/>
      <c r="Q431" s="16">
        <f>SUM(Tabela1[[#This Row],[201805]:[201807]])</f>
        <v>30813.535</v>
      </c>
      <c r="R431" s="16">
        <f>SUM(Tabela1[[#This Row],[201905]:[201906]])</f>
        <v>0</v>
      </c>
      <c r="S431" s="16">
        <v>100000</v>
      </c>
      <c r="T431" s="16">
        <f>Tabela1[[#This Row],[Total 2019]]-Tabela1[[#This Row],[Total 2018]]</f>
        <v>-30813.535</v>
      </c>
      <c r="U431" s="40">
        <f>Tabela1[[#This Row],[Total 2019]]/Tabela1[[#This Row],[Meta]]</f>
        <v>0</v>
      </c>
      <c r="V431" s="17">
        <f>IFERROR(Tabela1[[#This Row],[Total 2019]]/Tabela1[[#This Row],[Total 2018]]-1,0)</f>
        <v>-1</v>
      </c>
      <c r="W43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31" s="48"/>
      <c r="Y431" s="19"/>
      <c r="Z431" s="68"/>
    </row>
    <row r="432" spans="3:26" x14ac:dyDescent="0.35">
      <c r="C432" s="11" t="s">
        <v>2703</v>
      </c>
      <c r="D432" s="12" t="s">
        <v>2699</v>
      </c>
      <c r="E432" s="12">
        <v>416</v>
      </c>
      <c r="F432" s="13" t="s">
        <v>1863</v>
      </c>
      <c r="G432" s="14">
        <v>3</v>
      </c>
      <c r="H432" s="14" t="s">
        <v>1372</v>
      </c>
      <c r="I432" s="13">
        <v>25</v>
      </c>
      <c r="J432" s="15" t="s">
        <v>1424</v>
      </c>
      <c r="K432" s="15" t="s">
        <v>2708</v>
      </c>
      <c r="L432" s="16">
        <v>932.48199999999997</v>
      </c>
      <c r="M432" s="16">
        <v>2736.95</v>
      </c>
      <c r="N432" s="16">
        <v>1092.5379999999998</v>
      </c>
      <c r="O432" s="16">
        <v>2613.0794999999998</v>
      </c>
      <c r="P432" s="16">
        <v>1421.3710000000001</v>
      </c>
      <c r="Q432" s="16">
        <f>SUM(Tabela1[[#This Row],[201805]:[201807]])</f>
        <v>4761.9699999999993</v>
      </c>
      <c r="R432" s="16">
        <f>SUM(Tabela1[[#This Row],[201905]:[201906]])</f>
        <v>4034.4504999999999</v>
      </c>
      <c r="S432" s="16">
        <v>100000</v>
      </c>
      <c r="T432" s="16">
        <f>Tabela1[[#This Row],[Total 2019]]-Tabela1[[#This Row],[Total 2018]]</f>
        <v>-727.51949999999943</v>
      </c>
      <c r="U432" s="40">
        <f>Tabela1[[#This Row],[Total 2019]]/Tabela1[[#This Row],[Meta]]</f>
        <v>4.0344504999999996E-2</v>
      </c>
      <c r="V432" s="17">
        <f>IFERROR(Tabela1[[#This Row],[Total 2019]]/Tabela1[[#This Row],[Total 2018]]-1,0)</f>
        <v>-0.15277700195507316</v>
      </c>
      <c r="W43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432" s="48"/>
      <c r="Y432" s="19"/>
      <c r="Z432" s="68"/>
    </row>
    <row r="433" spans="3:26" x14ac:dyDescent="0.35">
      <c r="C433" s="11" t="s">
        <v>2702</v>
      </c>
      <c r="D433" s="12" t="s">
        <v>2700</v>
      </c>
      <c r="E433" s="12">
        <v>417</v>
      </c>
      <c r="F433" s="13" t="s">
        <v>1864</v>
      </c>
      <c r="G433" s="14">
        <v>3</v>
      </c>
      <c r="H433" s="14" t="s">
        <v>1370</v>
      </c>
      <c r="I433" s="13">
        <v>3</v>
      </c>
      <c r="J433" s="15" t="s">
        <v>1402</v>
      </c>
      <c r="K433" s="15" t="s">
        <v>2706</v>
      </c>
      <c r="L433" s="16"/>
      <c r="M433" s="16">
        <v>6977.6264999999994</v>
      </c>
      <c r="N433" s="16">
        <v>3885.31</v>
      </c>
      <c r="O433" s="16"/>
      <c r="P433" s="16"/>
      <c r="Q433" s="16">
        <f>SUM(Tabela1[[#This Row],[201805]:[201807]])</f>
        <v>10862.9365</v>
      </c>
      <c r="R433" s="16">
        <f>SUM(Tabela1[[#This Row],[201905]:[201906]])</f>
        <v>0</v>
      </c>
      <c r="S433" s="16">
        <v>100000</v>
      </c>
      <c r="T433" s="16">
        <f>Tabela1[[#This Row],[Total 2019]]-Tabela1[[#This Row],[Total 2018]]</f>
        <v>-10862.9365</v>
      </c>
      <c r="U433" s="40">
        <f>Tabela1[[#This Row],[Total 2019]]/Tabela1[[#This Row],[Meta]]</f>
        <v>0</v>
      </c>
      <c r="V433" s="17">
        <f>IFERROR(Tabela1[[#This Row],[Total 2019]]/Tabela1[[#This Row],[Total 2018]]-1,0)</f>
        <v>-1</v>
      </c>
      <c r="W43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33" s="48"/>
      <c r="Y433" s="19"/>
      <c r="Z433" s="68"/>
    </row>
    <row r="434" spans="3:26" x14ac:dyDescent="0.35">
      <c r="C434" s="11" t="s">
        <v>2703</v>
      </c>
      <c r="D434" s="12" t="s">
        <v>2700</v>
      </c>
      <c r="E434" s="12">
        <v>418</v>
      </c>
      <c r="F434" s="13" t="s">
        <v>1865</v>
      </c>
      <c r="G434" s="14">
        <v>1</v>
      </c>
      <c r="H434" s="14" t="s">
        <v>1372</v>
      </c>
      <c r="I434" s="13">
        <v>25</v>
      </c>
      <c r="J434" s="15" t="s">
        <v>1424</v>
      </c>
      <c r="K434" s="15" t="s">
        <v>2708</v>
      </c>
      <c r="L434" s="16">
        <v>1988.5494999999999</v>
      </c>
      <c r="M434" s="16">
        <v>3828.6139999999996</v>
      </c>
      <c r="N434" s="16">
        <v>1686.6489999999999</v>
      </c>
      <c r="O434" s="16">
        <v>7998.5534999999991</v>
      </c>
      <c r="P434" s="16">
        <v>2517.2339999999999</v>
      </c>
      <c r="Q434" s="16">
        <f>SUM(Tabela1[[#This Row],[201805]:[201807]])</f>
        <v>7503.8125</v>
      </c>
      <c r="R434" s="16">
        <f>SUM(Tabela1[[#This Row],[201905]:[201906]])</f>
        <v>10515.787499999999</v>
      </c>
      <c r="S434" s="16">
        <v>100000</v>
      </c>
      <c r="T434" s="16">
        <f>Tabela1[[#This Row],[Total 2019]]-Tabela1[[#This Row],[Total 2018]]</f>
        <v>3011.9749999999985</v>
      </c>
      <c r="U434" s="40">
        <f>Tabela1[[#This Row],[Total 2019]]/Tabela1[[#This Row],[Meta]]</f>
        <v>0.10515787499999998</v>
      </c>
      <c r="V434" s="17">
        <f>IFERROR(Tabela1[[#This Row],[Total 2019]]/Tabela1[[#This Row],[Total 2018]]-1,0)</f>
        <v>0.40139262541541365</v>
      </c>
      <c r="W43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434" s="48"/>
      <c r="Y434" s="19"/>
      <c r="Z434" s="68"/>
    </row>
    <row r="435" spans="3:26" x14ac:dyDescent="0.35">
      <c r="C435" s="11" t="s">
        <v>2704</v>
      </c>
      <c r="D435" s="12" t="s">
        <v>2700</v>
      </c>
      <c r="E435" s="12">
        <v>419</v>
      </c>
      <c r="F435" s="13" t="s">
        <v>1866</v>
      </c>
      <c r="G435" s="14">
        <v>3</v>
      </c>
      <c r="H435" s="14" t="s">
        <v>1372</v>
      </c>
      <c r="I435" s="13">
        <v>10</v>
      </c>
      <c r="J435" s="15" t="s">
        <v>1409</v>
      </c>
      <c r="K435" s="15" t="s">
        <v>2708</v>
      </c>
      <c r="L435" s="16">
        <v>2202.8980000000001</v>
      </c>
      <c r="M435" s="16">
        <v>4023.5254999999997</v>
      </c>
      <c r="N435" s="16">
        <v>2051.0024999999996</v>
      </c>
      <c r="O435" s="16"/>
      <c r="P435" s="16"/>
      <c r="Q435" s="16">
        <f>SUM(Tabela1[[#This Row],[201805]:[201807]])</f>
        <v>8277.4259999999995</v>
      </c>
      <c r="R435" s="16">
        <f>SUM(Tabela1[[#This Row],[201905]:[201906]])</f>
        <v>0</v>
      </c>
      <c r="S435" s="16">
        <v>100000</v>
      </c>
      <c r="T435" s="16">
        <f>Tabela1[[#This Row],[Total 2019]]-Tabela1[[#This Row],[Total 2018]]</f>
        <v>-8277.4259999999995</v>
      </c>
      <c r="U435" s="40">
        <f>Tabela1[[#This Row],[Total 2019]]/Tabela1[[#This Row],[Meta]]</f>
        <v>0</v>
      </c>
      <c r="V435" s="17">
        <f>IFERROR(Tabela1[[#This Row],[Total 2019]]/Tabela1[[#This Row],[Total 2018]]-1,0)</f>
        <v>-1</v>
      </c>
      <c r="W43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35" s="48"/>
      <c r="Y435" s="19"/>
      <c r="Z435" s="68"/>
    </row>
    <row r="436" spans="3:26" x14ac:dyDescent="0.35">
      <c r="C436" s="11" t="s">
        <v>2704</v>
      </c>
      <c r="D436" s="12" t="s">
        <v>2698</v>
      </c>
      <c r="E436" s="12">
        <v>420</v>
      </c>
      <c r="F436" s="13" t="s">
        <v>1867</v>
      </c>
      <c r="G436" s="14">
        <v>1</v>
      </c>
      <c r="H436" s="14" t="s">
        <v>1372</v>
      </c>
      <c r="I436" s="13">
        <v>13</v>
      </c>
      <c r="J436" s="15" t="s">
        <v>1412</v>
      </c>
      <c r="K436" s="15" t="s">
        <v>2709</v>
      </c>
      <c r="L436" s="16"/>
      <c r="M436" s="16">
        <v>2066.8579999999997</v>
      </c>
      <c r="N436" s="16"/>
      <c r="O436" s="16"/>
      <c r="P436" s="16"/>
      <c r="Q436" s="16">
        <f>SUM(Tabela1[[#This Row],[201805]:[201807]])</f>
        <v>2066.8579999999997</v>
      </c>
      <c r="R436" s="16">
        <f>SUM(Tabela1[[#This Row],[201905]:[201906]])</f>
        <v>0</v>
      </c>
      <c r="S436" s="16">
        <v>100000</v>
      </c>
      <c r="T436" s="16">
        <f>Tabela1[[#This Row],[Total 2019]]-Tabela1[[#This Row],[Total 2018]]</f>
        <v>-2066.8579999999997</v>
      </c>
      <c r="U436" s="40">
        <f>Tabela1[[#This Row],[Total 2019]]/Tabela1[[#This Row],[Meta]]</f>
        <v>0</v>
      </c>
      <c r="V436" s="17">
        <f>IFERROR(Tabela1[[#This Row],[Total 2019]]/Tabela1[[#This Row],[Total 2018]]-1,0)</f>
        <v>-1</v>
      </c>
      <c r="W43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36" s="48"/>
      <c r="Y436" s="19"/>
      <c r="Z436" s="68"/>
    </row>
    <row r="437" spans="3:26" x14ac:dyDescent="0.35">
      <c r="C437" s="11" t="s">
        <v>2704</v>
      </c>
      <c r="D437" s="12" t="s">
        <v>2699</v>
      </c>
      <c r="E437" s="12">
        <v>421</v>
      </c>
      <c r="F437" s="13" t="s">
        <v>1868</v>
      </c>
      <c r="G437" s="14">
        <v>1</v>
      </c>
      <c r="H437" s="14" t="s">
        <v>1370</v>
      </c>
      <c r="I437" s="13">
        <v>11</v>
      </c>
      <c r="J437" s="15" t="s">
        <v>1410</v>
      </c>
      <c r="K437" s="15" t="s">
        <v>2706</v>
      </c>
      <c r="L437" s="16"/>
      <c r="M437" s="16">
        <v>2291.7705000000001</v>
      </c>
      <c r="N437" s="16"/>
      <c r="O437" s="16"/>
      <c r="P437" s="16"/>
      <c r="Q437" s="16">
        <f>SUM(Tabela1[[#This Row],[201805]:[201807]])</f>
        <v>2291.7705000000001</v>
      </c>
      <c r="R437" s="16">
        <f>SUM(Tabela1[[#This Row],[201905]:[201906]])</f>
        <v>0</v>
      </c>
      <c r="S437" s="16">
        <v>100000</v>
      </c>
      <c r="T437" s="16">
        <f>Tabela1[[#This Row],[Total 2019]]-Tabela1[[#This Row],[Total 2018]]</f>
        <v>-2291.7705000000001</v>
      </c>
      <c r="U437" s="40">
        <f>Tabela1[[#This Row],[Total 2019]]/Tabela1[[#This Row],[Meta]]</f>
        <v>0</v>
      </c>
      <c r="V437" s="17">
        <f>IFERROR(Tabela1[[#This Row],[Total 2019]]/Tabela1[[#This Row],[Total 2018]]-1,0)</f>
        <v>-1</v>
      </c>
      <c r="W43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37" s="48"/>
      <c r="Y437" s="19"/>
      <c r="Z437" s="68"/>
    </row>
    <row r="438" spans="3:26" x14ac:dyDescent="0.35">
      <c r="C438" s="11" t="s">
        <v>2704</v>
      </c>
      <c r="D438" s="12" t="s">
        <v>2698</v>
      </c>
      <c r="E438" s="12">
        <v>422</v>
      </c>
      <c r="F438" s="13" t="s">
        <v>1869</v>
      </c>
      <c r="G438" s="14">
        <v>3</v>
      </c>
      <c r="H438" s="14" t="s">
        <v>1371</v>
      </c>
      <c r="I438" s="13">
        <v>7</v>
      </c>
      <c r="J438" s="15" t="s">
        <v>1406</v>
      </c>
      <c r="K438" s="15" t="s">
        <v>2707</v>
      </c>
      <c r="L438" s="16">
        <v>1824.5700000000002</v>
      </c>
      <c r="M438" s="16">
        <v>24229.312999999998</v>
      </c>
      <c r="N438" s="16">
        <v>22018.083499999997</v>
      </c>
      <c r="O438" s="16"/>
      <c r="P438" s="16"/>
      <c r="Q438" s="16">
        <f>SUM(Tabela1[[#This Row],[201805]:[201807]])</f>
        <v>48071.966499999995</v>
      </c>
      <c r="R438" s="16">
        <f>SUM(Tabela1[[#This Row],[201905]:[201906]])</f>
        <v>0</v>
      </c>
      <c r="S438" s="16">
        <v>100000</v>
      </c>
      <c r="T438" s="16">
        <f>Tabela1[[#This Row],[Total 2019]]-Tabela1[[#This Row],[Total 2018]]</f>
        <v>-48071.966499999995</v>
      </c>
      <c r="U438" s="40">
        <f>Tabela1[[#This Row],[Total 2019]]/Tabela1[[#This Row],[Meta]]</f>
        <v>0</v>
      </c>
      <c r="V438" s="17">
        <f>IFERROR(Tabela1[[#This Row],[Total 2019]]/Tabela1[[#This Row],[Total 2018]]-1,0)</f>
        <v>-1</v>
      </c>
      <c r="W43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38" s="48"/>
      <c r="Y438" s="19"/>
      <c r="Z438" s="68"/>
    </row>
    <row r="439" spans="3:26" x14ac:dyDescent="0.35">
      <c r="C439" s="11" t="s">
        <v>2702</v>
      </c>
      <c r="D439" s="12" t="s">
        <v>2698</v>
      </c>
      <c r="E439" s="12">
        <v>423</v>
      </c>
      <c r="F439" s="13" t="s">
        <v>1870</v>
      </c>
      <c r="G439" s="14">
        <v>1</v>
      </c>
      <c r="H439" s="14" t="s">
        <v>1372</v>
      </c>
      <c r="I439" s="13">
        <v>25</v>
      </c>
      <c r="J439" s="15" t="s">
        <v>1424</v>
      </c>
      <c r="K439" s="15" t="s">
        <v>2708</v>
      </c>
      <c r="L439" s="16">
        <v>2491.4319999999998</v>
      </c>
      <c r="M439" s="16">
        <v>2749.3095000000003</v>
      </c>
      <c r="N439" s="16">
        <v>3366.3344999999999</v>
      </c>
      <c r="O439" s="16">
        <v>5601.7034999999987</v>
      </c>
      <c r="P439" s="16">
        <v>4463.9075000000003</v>
      </c>
      <c r="Q439" s="16">
        <f>SUM(Tabela1[[#This Row],[201805]:[201807]])</f>
        <v>8607.0760000000009</v>
      </c>
      <c r="R439" s="16">
        <f>SUM(Tabela1[[#This Row],[201905]:[201906]])</f>
        <v>10065.610999999999</v>
      </c>
      <c r="S439" s="16">
        <v>100000</v>
      </c>
      <c r="T439" s="16">
        <f>Tabela1[[#This Row],[Total 2019]]-Tabela1[[#This Row],[Total 2018]]</f>
        <v>1458.534999999998</v>
      </c>
      <c r="U439" s="40">
        <f>Tabela1[[#This Row],[Total 2019]]/Tabela1[[#This Row],[Meta]]</f>
        <v>0.10065610999999999</v>
      </c>
      <c r="V439" s="17">
        <f>IFERROR(Tabela1[[#This Row],[Total 2019]]/Tabela1[[#This Row],[Total 2018]]-1,0)</f>
        <v>0.1694576648329813</v>
      </c>
      <c r="W43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439" s="48"/>
      <c r="Y439" s="19"/>
      <c r="Z439" s="68"/>
    </row>
    <row r="440" spans="3:26" x14ac:dyDescent="0.35">
      <c r="C440" s="11" t="s">
        <v>2702</v>
      </c>
      <c r="D440" s="12" t="s">
        <v>2698</v>
      </c>
      <c r="E440" s="12">
        <v>424</v>
      </c>
      <c r="F440" s="13" t="s">
        <v>1871</v>
      </c>
      <c r="G440" s="14">
        <v>1</v>
      </c>
      <c r="H440" s="14" t="s">
        <v>1370</v>
      </c>
      <c r="I440" s="13">
        <v>15</v>
      </c>
      <c r="J440" s="15" t="s">
        <v>1414</v>
      </c>
      <c r="K440" s="15" t="s">
        <v>2706</v>
      </c>
      <c r="L440" s="16">
        <v>6540.3509999999997</v>
      </c>
      <c r="M440" s="16">
        <v>2387.5209999999997</v>
      </c>
      <c r="N440" s="16"/>
      <c r="O440" s="16"/>
      <c r="P440" s="16"/>
      <c r="Q440" s="16">
        <f>SUM(Tabela1[[#This Row],[201805]:[201807]])</f>
        <v>8927.8719999999994</v>
      </c>
      <c r="R440" s="16">
        <f>SUM(Tabela1[[#This Row],[201905]:[201906]])</f>
        <v>0</v>
      </c>
      <c r="S440" s="16">
        <v>100000</v>
      </c>
      <c r="T440" s="16">
        <f>Tabela1[[#This Row],[Total 2019]]-Tabela1[[#This Row],[Total 2018]]</f>
        <v>-8927.8719999999994</v>
      </c>
      <c r="U440" s="40">
        <f>Tabela1[[#This Row],[Total 2019]]/Tabela1[[#This Row],[Meta]]</f>
        <v>0</v>
      </c>
      <c r="V440" s="17">
        <f>IFERROR(Tabela1[[#This Row],[Total 2019]]/Tabela1[[#This Row],[Total 2018]]-1,0)</f>
        <v>-1</v>
      </c>
      <c r="W44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40" s="48"/>
      <c r="Y440" s="19"/>
      <c r="Z440" s="68"/>
    </row>
    <row r="441" spans="3:26" x14ac:dyDescent="0.35">
      <c r="C441" s="11" t="s">
        <v>2704</v>
      </c>
      <c r="D441" s="12" t="s">
        <v>2700</v>
      </c>
      <c r="E441" s="12">
        <v>425</v>
      </c>
      <c r="F441" s="13" t="s">
        <v>1872</v>
      </c>
      <c r="G441" s="14">
        <v>1</v>
      </c>
      <c r="H441" s="14" t="s">
        <v>1370</v>
      </c>
      <c r="I441" s="13">
        <v>29</v>
      </c>
      <c r="J441" s="15" t="s">
        <v>1428</v>
      </c>
      <c r="K441" s="15" t="s">
        <v>2706</v>
      </c>
      <c r="L441" s="16">
        <v>22442.5435</v>
      </c>
      <c r="M441" s="16">
        <v>5993.1319999999987</v>
      </c>
      <c r="N441" s="16">
        <v>797.04049999999995</v>
      </c>
      <c r="O441" s="16"/>
      <c r="P441" s="16"/>
      <c r="Q441" s="16">
        <f>SUM(Tabela1[[#This Row],[201805]:[201807]])</f>
        <v>29232.715999999997</v>
      </c>
      <c r="R441" s="16">
        <f>SUM(Tabela1[[#This Row],[201905]:[201906]])</f>
        <v>0</v>
      </c>
      <c r="S441" s="16">
        <v>100000</v>
      </c>
      <c r="T441" s="16">
        <f>Tabela1[[#This Row],[Total 2019]]-Tabela1[[#This Row],[Total 2018]]</f>
        <v>-29232.715999999997</v>
      </c>
      <c r="U441" s="40">
        <f>Tabela1[[#This Row],[Total 2019]]/Tabela1[[#This Row],[Meta]]</f>
        <v>0</v>
      </c>
      <c r="V441" s="17">
        <f>IFERROR(Tabela1[[#This Row],[Total 2019]]/Tabela1[[#This Row],[Total 2018]]-1,0)</f>
        <v>-1</v>
      </c>
      <c r="W44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41" s="48"/>
      <c r="Y441" s="19"/>
      <c r="Z441" s="68"/>
    </row>
    <row r="442" spans="3:26" x14ac:dyDescent="0.35">
      <c r="C442" s="11" t="s">
        <v>2702</v>
      </c>
      <c r="D442" s="12" t="s">
        <v>2700</v>
      </c>
      <c r="E442" s="12">
        <v>426</v>
      </c>
      <c r="F442" s="13" t="s">
        <v>1873</v>
      </c>
      <c r="G442" s="14">
        <v>1</v>
      </c>
      <c r="H442" s="14" t="s">
        <v>1370</v>
      </c>
      <c r="I442" s="13">
        <v>30</v>
      </c>
      <c r="J442" s="15" t="s">
        <v>1429</v>
      </c>
      <c r="K442" s="15" t="s">
        <v>2706</v>
      </c>
      <c r="L442" s="16"/>
      <c r="M442" s="16">
        <v>8412.1359999999986</v>
      </c>
      <c r="N442" s="16">
        <v>10039.913499999999</v>
      </c>
      <c r="O442" s="16"/>
      <c r="P442" s="16"/>
      <c r="Q442" s="16">
        <f>SUM(Tabela1[[#This Row],[201805]:[201807]])</f>
        <v>18452.049499999997</v>
      </c>
      <c r="R442" s="16">
        <f>SUM(Tabela1[[#This Row],[201905]:[201906]])</f>
        <v>0</v>
      </c>
      <c r="S442" s="16">
        <v>100000</v>
      </c>
      <c r="T442" s="16">
        <f>Tabela1[[#This Row],[Total 2019]]-Tabela1[[#This Row],[Total 2018]]</f>
        <v>-18452.049499999997</v>
      </c>
      <c r="U442" s="40">
        <f>Tabela1[[#This Row],[Total 2019]]/Tabela1[[#This Row],[Meta]]</f>
        <v>0</v>
      </c>
      <c r="V442" s="17">
        <f>IFERROR(Tabela1[[#This Row],[Total 2019]]/Tabela1[[#This Row],[Total 2018]]-1,0)</f>
        <v>-1</v>
      </c>
      <c r="W44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42" s="48"/>
      <c r="Y442" s="19"/>
      <c r="Z442" s="68"/>
    </row>
    <row r="443" spans="3:26" x14ac:dyDescent="0.35">
      <c r="C443" s="11" t="s">
        <v>2704</v>
      </c>
      <c r="D443" s="12" t="s">
        <v>2699</v>
      </c>
      <c r="E443" s="12">
        <v>427</v>
      </c>
      <c r="F443" s="13" t="s">
        <v>1874</v>
      </c>
      <c r="G443" s="14">
        <v>1</v>
      </c>
      <c r="H443" s="14" t="s">
        <v>1371</v>
      </c>
      <c r="I443" s="13">
        <v>24</v>
      </c>
      <c r="J443" s="15" t="s">
        <v>1423</v>
      </c>
      <c r="K443" s="15" t="s">
        <v>2707</v>
      </c>
      <c r="L443" s="16"/>
      <c r="M443" s="16">
        <v>14976.778499999999</v>
      </c>
      <c r="N443" s="16"/>
      <c r="O443" s="16"/>
      <c r="P443" s="16"/>
      <c r="Q443" s="16">
        <f>SUM(Tabela1[[#This Row],[201805]:[201807]])</f>
        <v>14976.778499999999</v>
      </c>
      <c r="R443" s="16">
        <f>SUM(Tabela1[[#This Row],[201905]:[201906]])</f>
        <v>0</v>
      </c>
      <c r="S443" s="16">
        <v>100000</v>
      </c>
      <c r="T443" s="16">
        <f>Tabela1[[#This Row],[Total 2019]]-Tabela1[[#This Row],[Total 2018]]</f>
        <v>-14976.778499999999</v>
      </c>
      <c r="U443" s="40">
        <f>Tabela1[[#This Row],[Total 2019]]/Tabela1[[#This Row],[Meta]]</f>
        <v>0</v>
      </c>
      <c r="V443" s="17">
        <f>IFERROR(Tabela1[[#This Row],[Total 2019]]/Tabela1[[#This Row],[Total 2018]]-1,0)</f>
        <v>-1</v>
      </c>
      <c r="W44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43" s="48"/>
      <c r="Y443" s="19"/>
      <c r="Z443" s="68"/>
    </row>
    <row r="444" spans="3:26" x14ac:dyDescent="0.35">
      <c r="C444" s="11" t="s">
        <v>2702</v>
      </c>
      <c r="D444" s="12" t="s">
        <v>2698</v>
      </c>
      <c r="E444" s="12">
        <v>427</v>
      </c>
      <c r="F444" s="13" t="s">
        <v>1874</v>
      </c>
      <c r="G444" s="14">
        <v>2</v>
      </c>
      <c r="H444" s="14" t="s">
        <v>1371</v>
      </c>
      <c r="I444" s="13">
        <v>24</v>
      </c>
      <c r="J444" s="15" t="s">
        <v>1423</v>
      </c>
      <c r="K444" s="15" t="s">
        <v>2707</v>
      </c>
      <c r="L444" s="16"/>
      <c r="M444" s="16"/>
      <c r="N444" s="16"/>
      <c r="O444" s="16">
        <v>5282.5509999999995</v>
      </c>
      <c r="P444" s="16">
        <v>11547.554</v>
      </c>
      <c r="Q444" s="16">
        <f>SUM(Tabela1[[#This Row],[201805]:[201807]])</f>
        <v>0</v>
      </c>
      <c r="R444" s="16">
        <f>SUM(Tabela1[[#This Row],[201905]:[201906]])</f>
        <v>16830.105</v>
      </c>
      <c r="S444" s="16">
        <v>100000</v>
      </c>
      <c r="T444" s="16">
        <f>Tabela1[[#This Row],[Total 2019]]-Tabela1[[#This Row],[Total 2018]]</f>
        <v>16830.105</v>
      </c>
      <c r="U444" s="40">
        <f>Tabela1[[#This Row],[Total 2019]]/Tabela1[[#This Row],[Meta]]</f>
        <v>0.16830105000000001</v>
      </c>
      <c r="V444" s="17">
        <f>IFERROR(Tabela1[[#This Row],[Total 2019]]/Tabela1[[#This Row],[Total 2018]]-1,0)</f>
        <v>0</v>
      </c>
      <c r="W44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444" s="48"/>
      <c r="Y444" s="19"/>
      <c r="Z444" s="68"/>
    </row>
    <row r="445" spans="3:26" x14ac:dyDescent="0.35">
      <c r="C445" s="11" t="s">
        <v>2702</v>
      </c>
      <c r="D445" s="12" t="s">
        <v>2698</v>
      </c>
      <c r="E445" s="12">
        <v>428</v>
      </c>
      <c r="F445" s="13" t="s">
        <v>1875</v>
      </c>
      <c r="G445" s="14">
        <v>3</v>
      </c>
      <c r="H445" s="14" t="s">
        <v>1370</v>
      </c>
      <c r="I445" s="13">
        <v>33</v>
      </c>
      <c r="J445" s="15" t="s">
        <v>1432</v>
      </c>
      <c r="K445" s="15" t="s">
        <v>2706</v>
      </c>
      <c r="L445" s="16">
        <v>1726.7674999999999</v>
      </c>
      <c r="M445" s="16">
        <v>5492.482</v>
      </c>
      <c r="N445" s="16">
        <v>1370.8215</v>
      </c>
      <c r="O445" s="16">
        <v>8646.3015000000014</v>
      </c>
      <c r="P445" s="16">
        <v>6948.9174999999996</v>
      </c>
      <c r="Q445" s="16">
        <f>SUM(Tabela1[[#This Row],[201805]:[201807]])</f>
        <v>8590.0709999999999</v>
      </c>
      <c r="R445" s="16">
        <f>SUM(Tabela1[[#This Row],[201905]:[201906]])</f>
        <v>15595.219000000001</v>
      </c>
      <c r="S445" s="16">
        <v>100000</v>
      </c>
      <c r="T445" s="16">
        <f>Tabela1[[#This Row],[Total 2019]]-Tabela1[[#This Row],[Total 2018]]</f>
        <v>7005.148000000001</v>
      </c>
      <c r="U445" s="40">
        <f>Tabela1[[#This Row],[Total 2019]]/Tabela1[[#This Row],[Meta]]</f>
        <v>0.15595219000000002</v>
      </c>
      <c r="V445" s="17">
        <f>IFERROR(Tabela1[[#This Row],[Total 2019]]/Tabela1[[#This Row],[Total 2018]]-1,0)</f>
        <v>0.81549360884211564</v>
      </c>
      <c r="W44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445" s="48"/>
      <c r="Y445" s="19"/>
      <c r="Z445" s="68"/>
    </row>
    <row r="446" spans="3:26" x14ac:dyDescent="0.35">
      <c r="C446" s="11" t="s">
        <v>2703</v>
      </c>
      <c r="D446" s="12" t="s">
        <v>2698</v>
      </c>
      <c r="E446" s="12">
        <v>429</v>
      </c>
      <c r="F446" s="13" t="s">
        <v>1876</v>
      </c>
      <c r="G446" s="14">
        <v>2</v>
      </c>
      <c r="H446" s="14" t="s">
        <v>1372</v>
      </c>
      <c r="I446" s="13">
        <v>22</v>
      </c>
      <c r="J446" s="15" t="s">
        <v>1421</v>
      </c>
      <c r="K446" s="15" t="s">
        <v>2708</v>
      </c>
      <c r="L446" s="16">
        <v>9695.8709999999992</v>
      </c>
      <c r="M446" s="16">
        <v>21849.553499999998</v>
      </c>
      <c r="N446" s="16">
        <v>18710.5825</v>
      </c>
      <c r="O446" s="16"/>
      <c r="P446" s="16"/>
      <c r="Q446" s="16">
        <f>SUM(Tabela1[[#This Row],[201805]:[201807]])</f>
        <v>50256.006999999998</v>
      </c>
      <c r="R446" s="16">
        <f>SUM(Tabela1[[#This Row],[201905]:[201906]])</f>
        <v>0</v>
      </c>
      <c r="S446" s="16">
        <v>100000</v>
      </c>
      <c r="T446" s="16">
        <f>Tabela1[[#This Row],[Total 2019]]-Tabela1[[#This Row],[Total 2018]]</f>
        <v>-50256.006999999998</v>
      </c>
      <c r="U446" s="40">
        <f>Tabela1[[#This Row],[Total 2019]]/Tabela1[[#This Row],[Meta]]</f>
        <v>0</v>
      </c>
      <c r="V446" s="17">
        <f>IFERROR(Tabela1[[#This Row],[Total 2019]]/Tabela1[[#This Row],[Total 2018]]-1,0)</f>
        <v>-1</v>
      </c>
      <c r="W44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46" s="48"/>
      <c r="Y446" s="19"/>
      <c r="Z446" s="68"/>
    </row>
    <row r="447" spans="3:26" x14ac:dyDescent="0.35">
      <c r="C447" s="11" t="s">
        <v>2704</v>
      </c>
      <c r="D447" s="12" t="s">
        <v>2698</v>
      </c>
      <c r="E447" s="12">
        <v>430</v>
      </c>
      <c r="F447" s="13" t="s">
        <v>1877</v>
      </c>
      <c r="G447" s="14">
        <v>3</v>
      </c>
      <c r="H447" s="14" t="s">
        <v>1372</v>
      </c>
      <c r="I447" s="13">
        <v>27</v>
      </c>
      <c r="J447" s="15" t="s">
        <v>1426</v>
      </c>
      <c r="K447" s="15" t="s">
        <v>2708</v>
      </c>
      <c r="L447" s="16">
        <v>3349.4719999999998</v>
      </c>
      <c r="M447" s="16">
        <v>5454.3395</v>
      </c>
      <c r="N447" s="16"/>
      <c r="O447" s="16"/>
      <c r="P447" s="16"/>
      <c r="Q447" s="16">
        <f>SUM(Tabela1[[#This Row],[201805]:[201807]])</f>
        <v>8803.8114999999998</v>
      </c>
      <c r="R447" s="16">
        <f>SUM(Tabela1[[#This Row],[201905]:[201906]])</f>
        <v>0</v>
      </c>
      <c r="S447" s="16">
        <v>100000</v>
      </c>
      <c r="T447" s="16">
        <f>Tabela1[[#This Row],[Total 2019]]-Tabela1[[#This Row],[Total 2018]]</f>
        <v>-8803.8114999999998</v>
      </c>
      <c r="U447" s="40">
        <f>Tabela1[[#This Row],[Total 2019]]/Tabela1[[#This Row],[Meta]]</f>
        <v>0</v>
      </c>
      <c r="V447" s="17">
        <f>IFERROR(Tabela1[[#This Row],[Total 2019]]/Tabela1[[#This Row],[Total 2018]]-1,0)</f>
        <v>-1</v>
      </c>
      <c r="W44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47" s="48"/>
      <c r="Y447" s="19"/>
      <c r="Z447" s="68"/>
    </row>
    <row r="448" spans="3:26" x14ac:dyDescent="0.35">
      <c r="C448" s="11" t="s">
        <v>2704</v>
      </c>
      <c r="D448" s="12" t="s">
        <v>2699</v>
      </c>
      <c r="E448" s="12">
        <v>431</v>
      </c>
      <c r="F448" s="13" t="s">
        <v>1878</v>
      </c>
      <c r="G448" s="14">
        <v>2</v>
      </c>
      <c r="H448" s="14" t="s">
        <v>1372</v>
      </c>
      <c r="I448" s="13">
        <v>17</v>
      </c>
      <c r="J448" s="15" t="s">
        <v>1416</v>
      </c>
      <c r="K448" s="15" t="s">
        <v>2708</v>
      </c>
      <c r="L448" s="16">
        <v>1921.413</v>
      </c>
      <c r="M448" s="16">
        <v>7853.2889999999998</v>
      </c>
      <c r="N448" s="16">
        <v>2904.4919999999997</v>
      </c>
      <c r="O448" s="16"/>
      <c r="P448" s="16"/>
      <c r="Q448" s="16">
        <f>SUM(Tabela1[[#This Row],[201805]:[201807]])</f>
        <v>12679.194</v>
      </c>
      <c r="R448" s="16">
        <f>SUM(Tabela1[[#This Row],[201905]:[201906]])</f>
        <v>0</v>
      </c>
      <c r="S448" s="16">
        <v>100000</v>
      </c>
      <c r="T448" s="16">
        <f>Tabela1[[#This Row],[Total 2019]]-Tabela1[[#This Row],[Total 2018]]</f>
        <v>-12679.194</v>
      </c>
      <c r="U448" s="40">
        <f>Tabela1[[#This Row],[Total 2019]]/Tabela1[[#This Row],[Meta]]</f>
        <v>0</v>
      </c>
      <c r="V448" s="17">
        <f>IFERROR(Tabela1[[#This Row],[Total 2019]]/Tabela1[[#This Row],[Total 2018]]-1,0)</f>
        <v>-1</v>
      </c>
      <c r="W44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48" s="48"/>
      <c r="Y448" s="19"/>
      <c r="Z448" s="68"/>
    </row>
    <row r="449" spans="3:26" x14ac:dyDescent="0.35">
      <c r="C449" s="11" t="s">
        <v>2703</v>
      </c>
      <c r="D449" s="12" t="s">
        <v>2699</v>
      </c>
      <c r="E449" s="12">
        <v>432</v>
      </c>
      <c r="F449" s="13" t="s">
        <v>1879</v>
      </c>
      <c r="G449" s="14">
        <v>3</v>
      </c>
      <c r="H449" s="14" t="s">
        <v>1371</v>
      </c>
      <c r="I449" s="13">
        <v>9</v>
      </c>
      <c r="J449" s="15" t="s">
        <v>1408</v>
      </c>
      <c r="K449" s="15" t="s">
        <v>2707</v>
      </c>
      <c r="L449" s="16"/>
      <c r="M449" s="16">
        <v>7628.7280000000001</v>
      </c>
      <c r="N449" s="16"/>
      <c r="O449" s="16">
        <v>1718.9014999999999</v>
      </c>
      <c r="P449" s="16">
        <v>6103.3320000000003</v>
      </c>
      <c r="Q449" s="16">
        <f>SUM(Tabela1[[#This Row],[201805]:[201807]])</f>
        <v>7628.7280000000001</v>
      </c>
      <c r="R449" s="16">
        <f>SUM(Tabela1[[#This Row],[201905]:[201906]])</f>
        <v>7822.2335000000003</v>
      </c>
      <c r="S449" s="16">
        <v>100000</v>
      </c>
      <c r="T449" s="16">
        <f>Tabela1[[#This Row],[Total 2019]]-Tabela1[[#This Row],[Total 2018]]</f>
        <v>193.50550000000021</v>
      </c>
      <c r="U449" s="40">
        <f>Tabela1[[#This Row],[Total 2019]]/Tabela1[[#This Row],[Meta]]</f>
        <v>7.8222335000000004E-2</v>
      </c>
      <c r="V449" s="17">
        <f>IFERROR(Tabela1[[#This Row],[Total 2019]]/Tabela1[[#This Row],[Total 2018]]-1,0)</f>
        <v>2.5365368905537089E-2</v>
      </c>
      <c r="W44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449" s="48"/>
      <c r="Y449" s="19"/>
      <c r="Z449" s="68"/>
    </row>
    <row r="450" spans="3:26" x14ac:dyDescent="0.35">
      <c r="C450" s="11" t="s">
        <v>2702</v>
      </c>
      <c r="D450" s="12" t="s">
        <v>2698</v>
      </c>
      <c r="E450" s="12">
        <v>433</v>
      </c>
      <c r="F450" s="13" t="s">
        <v>1880</v>
      </c>
      <c r="G450" s="14">
        <v>2</v>
      </c>
      <c r="H450" s="14" t="s">
        <v>1372</v>
      </c>
      <c r="I450" s="13">
        <v>13</v>
      </c>
      <c r="J450" s="15" t="s">
        <v>1412</v>
      </c>
      <c r="K450" s="15" t="s">
        <v>2709</v>
      </c>
      <c r="L450" s="16">
        <v>3576.5030000000002</v>
      </c>
      <c r="M450" s="16">
        <v>1436.2669999999998</v>
      </c>
      <c r="N450" s="16">
        <v>880.60249999999996</v>
      </c>
      <c r="O450" s="16"/>
      <c r="P450" s="16"/>
      <c r="Q450" s="16">
        <f>SUM(Tabela1[[#This Row],[201805]:[201807]])</f>
        <v>5893.3725000000004</v>
      </c>
      <c r="R450" s="16">
        <f>SUM(Tabela1[[#This Row],[201905]:[201906]])</f>
        <v>0</v>
      </c>
      <c r="S450" s="16">
        <v>100000</v>
      </c>
      <c r="T450" s="16">
        <f>Tabela1[[#This Row],[Total 2019]]-Tabela1[[#This Row],[Total 2018]]</f>
        <v>-5893.3725000000004</v>
      </c>
      <c r="U450" s="40">
        <f>Tabela1[[#This Row],[Total 2019]]/Tabela1[[#This Row],[Meta]]</f>
        <v>0</v>
      </c>
      <c r="V450" s="17">
        <f>IFERROR(Tabela1[[#This Row],[Total 2019]]/Tabela1[[#This Row],[Total 2018]]-1,0)</f>
        <v>-1</v>
      </c>
      <c r="W45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50" s="48"/>
      <c r="Y450" s="19"/>
      <c r="Z450" s="68"/>
    </row>
    <row r="451" spans="3:26" x14ac:dyDescent="0.35">
      <c r="C451" s="11" t="s">
        <v>2704</v>
      </c>
      <c r="D451" s="12" t="s">
        <v>2698</v>
      </c>
      <c r="E451" s="12">
        <v>434</v>
      </c>
      <c r="F451" s="13" t="s">
        <v>1881</v>
      </c>
      <c r="G451" s="14">
        <v>1</v>
      </c>
      <c r="H451" s="14" t="s">
        <v>1372</v>
      </c>
      <c r="I451" s="13">
        <v>23</v>
      </c>
      <c r="J451" s="15" t="s">
        <v>1422</v>
      </c>
      <c r="K451" s="15" t="s">
        <v>2708</v>
      </c>
      <c r="L451" s="16">
        <v>4430.0590000000002</v>
      </c>
      <c r="M451" s="16">
        <v>2893.643</v>
      </c>
      <c r="N451" s="16"/>
      <c r="O451" s="16"/>
      <c r="P451" s="16"/>
      <c r="Q451" s="16">
        <f>SUM(Tabela1[[#This Row],[201805]:[201807]])</f>
        <v>7323.7020000000002</v>
      </c>
      <c r="R451" s="16">
        <f>SUM(Tabela1[[#This Row],[201905]:[201906]])</f>
        <v>0</v>
      </c>
      <c r="S451" s="16">
        <v>100000</v>
      </c>
      <c r="T451" s="16">
        <f>Tabela1[[#This Row],[Total 2019]]-Tabela1[[#This Row],[Total 2018]]</f>
        <v>-7323.7020000000002</v>
      </c>
      <c r="U451" s="40">
        <f>Tabela1[[#This Row],[Total 2019]]/Tabela1[[#This Row],[Meta]]</f>
        <v>0</v>
      </c>
      <c r="V451" s="17">
        <f>IFERROR(Tabela1[[#This Row],[Total 2019]]/Tabela1[[#This Row],[Total 2018]]-1,0)</f>
        <v>-1</v>
      </c>
      <c r="W45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51" s="48"/>
      <c r="Y451" s="19"/>
      <c r="Z451" s="68"/>
    </row>
    <row r="452" spans="3:26" x14ac:dyDescent="0.35">
      <c r="C452" s="11" t="s">
        <v>2703</v>
      </c>
      <c r="D452" s="12" t="s">
        <v>2698</v>
      </c>
      <c r="E452" s="12">
        <v>435</v>
      </c>
      <c r="F452" s="13" t="s">
        <v>1882</v>
      </c>
      <c r="G452" s="14">
        <v>3</v>
      </c>
      <c r="H452" s="14" t="s">
        <v>1372</v>
      </c>
      <c r="I452" s="13">
        <v>20</v>
      </c>
      <c r="J452" s="15" t="s">
        <v>1419</v>
      </c>
      <c r="K452" s="15" t="s">
        <v>2708</v>
      </c>
      <c r="L452" s="16">
        <v>4135.7394999999997</v>
      </c>
      <c r="M452" s="16">
        <v>7133.4074999999993</v>
      </c>
      <c r="N452" s="16">
        <v>5371.2240000000002</v>
      </c>
      <c r="O452" s="16">
        <v>6097.7555000000002</v>
      </c>
      <c r="P452" s="16"/>
      <c r="Q452" s="16">
        <f>SUM(Tabela1[[#This Row],[201805]:[201807]])</f>
        <v>16640.370999999999</v>
      </c>
      <c r="R452" s="16">
        <f>SUM(Tabela1[[#This Row],[201905]:[201906]])</f>
        <v>6097.7555000000002</v>
      </c>
      <c r="S452" s="16">
        <v>100000</v>
      </c>
      <c r="T452" s="16">
        <f>Tabela1[[#This Row],[Total 2019]]-Tabela1[[#This Row],[Total 2018]]</f>
        <v>-10542.6155</v>
      </c>
      <c r="U452" s="40">
        <f>Tabela1[[#This Row],[Total 2019]]/Tabela1[[#This Row],[Meta]]</f>
        <v>6.0977555000000003E-2</v>
      </c>
      <c r="V452" s="17">
        <f>IFERROR(Tabela1[[#This Row],[Total 2019]]/Tabela1[[#This Row],[Total 2018]]-1,0)</f>
        <v>-0.63355651745985708</v>
      </c>
      <c r="W45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452" s="48"/>
      <c r="Y452" s="19"/>
      <c r="Z452" s="68"/>
    </row>
    <row r="453" spans="3:26" x14ac:dyDescent="0.35">
      <c r="C453" s="11" t="s">
        <v>2702</v>
      </c>
      <c r="D453" s="12" t="s">
        <v>2699</v>
      </c>
      <c r="E453" s="12">
        <v>436</v>
      </c>
      <c r="F453" s="13" t="s">
        <v>1883</v>
      </c>
      <c r="G453" s="14">
        <v>1</v>
      </c>
      <c r="H453" s="14" t="s">
        <v>1370</v>
      </c>
      <c r="I453" s="13">
        <v>1</v>
      </c>
      <c r="J453" s="15" t="s">
        <v>1400</v>
      </c>
      <c r="K453" s="15" t="s">
        <v>2706</v>
      </c>
      <c r="L453" s="16">
        <v>4590.6659999999993</v>
      </c>
      <c r="M453" s="16">
        <v>2338.1209999999996</v>
      </c>
      <c r="N453" s="16"/>
      <c r="O453" s="16"/>
      <c r="P453" s="16"/>
      <c r="Q453" s="16">
        <f>SUM(Tabela1[[#This Row],[201805]:[201807]])</f>
        <v>6928.7869999999984</v>
      </c>
      <c r="R453" s="16">
        <f>SUM(Tabela1[[#This Row],[201905]:[201906]])</f>
        <v>0</v>
      </c>
      <c r="S453" s="16">
        <v>100000</v>
      </c>
      <c r="T453" s="16">
        <f>Tabela1[[#This Row],[Total 2019]]-Tabela1[[#This Row],[Total 2018]]</f>
        <v>-6928.7869999999984</v>
      </c>
      <c r="U453" s="40">
        <f>Tabela1[[#This Row],[Total 2019]]/Tabela1[[#This Row],[Meta]]</f>
        <v>0</v>
      </c>
      <c r="V453" s="17">
        <f>IFERROR(Tabela1[[#This Row],[Total 2019]]/Tabela1[[#This Row],[Total 2018]]-1,0)</f>
        <v>-1</v>
      </c>
      <c r="W45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53" s="48"/>
      <c r="Y453" s="19"/>
      <c r="Z453" s="68"/>
    </row>
    <row r="454" spans="3:26" x14ac:dyDescent="0.35">
      <c r="C454" s="11" t="s">
        <v>2704</v>
      </c>
      <c r="D454" s="12" t="s">
        <v>2698</v>
      </c>
      <c r="E454" s="12">
        <v>437</v>
      </c>
      <c r="F454" s="13" t="s">
        <v>1884</v>
      </c>
      <c r="G454" s="14">
        <v>3</v>
      </c>
      <c r="H454" s="14" t="s">
        <v>1372</v>
      </c>
      <c r="I454" s="13">
        <v>16</v>
      </c>
      <c r="J454" s="15" t="s">
        <v>1415</v>
      </c>
      <c r="K454" s="15" t="s">
        <v>2708</v>
      </c>
      <c r="L454" s="16">
        <v>10494.0895</v>
      </c>
      <c r="M454" s="16">
        <v>7453.1964999999991</v>
      </c>
      <c r="N454" s="16">
        <v>1479.1215</v>
      </c>
      <c r="O454" s="16"/>
      <c r="P454" s="16"/>
      <c r="Q454" s="16">
        <f>SUM(Tabela1[[#This Row],[201805]:[201807]])</f>
        <v>19426.407500000001</v>
      </c>
      <c r="R454" s="16">
        <f>SUM(Tabela1[[#This Row],[201905]:[201906]])</f>
        <v>0</v>
      </c>
      <c r="S454" s="16">
        <v>100000</v>
      </c>
      <c r="T454" s="16">
        <f>Tabela1[[#This Row],[Total 2019]]-Tabela1[[#This Row],[Total 2018]]</f>
        <v>-19426.407500000001</v>
      </c>
      <c r="U454" s="40">
        <f>Tabela1[[#This Row],[Total 2019]]/Tabela1[[#This Row],[Meta]]</f>
        <v>0</v>
      </c>
      <c r="V454" s="17">
        <f>IFERROR(Tabela1[[#This Row],[Total 2019]]/Tabela1[[#This Row],[Total 2018]]-1,0)</f>
        <v>-1</v>
      </c>
      <c r="W45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54" s="48"/>
      <c r="Y454" s="19"/>
      <c r="Z454" s="68"/>
    </row>
    <row r="455" spans="3:26" x14ac:dyDescent="0.35">
      <c r="C455" s="11" t="s">
        <v>2702</v>
      </c>
      <c r="D455" s="12" t="s">
        <v>2698</v>
      </c>
      <c r="E455" s="12">
        <v>438</v>
      </c>
      <c r="F455" s="13" t="s">
        <v>1885</v>
      </c>
      <c r="G455" s="14">
        <v>3</v>
      </c>
      <c r="H455" s="14" t="s">
        <v>1372</v>
      </c>
      <c r="I455" s="13">
        <v>18</v>
      </c>
      <c r="J455" s="15" t="s">
        <v>1417</v>
      </c>
      <c r="K455" s="15" t="s">
        <v>2708</v>
      </c>
      <c r="L455" s="16"/>
      <c r="M455" s="16">
        <v>3215.9970000000003</v>
      </c>
      <c r="N455" s="16"/>
      <c r="O455" s="16"/>
      <c r="P455" s="16"/>
      <c r="Q455" s="16">
        <f>SUM(Tabela1[[#This Row],[201805]:[201807]])</f>
        <v>3215.9970000000003</v>
      </c>
      <c r="R455" s="16">
        <f>SUM(Tabela1[[#This Row],[201905]:[201906]])</f>
        <v>0</v>
      </c>
      <c r="S455" s="16">
        <v>100000</v>
      </c>
      <c r="T455" s="16">
        <f>Tabela1[[#This Row],[Total 2019]]-Tabela1[[#This Row],[Total 2018]]</f>
        <v>-3215.9970000000003</v>
      </c>
      <c r="U455" s="40">
        <f>Tabela1[[#This Row],[Total 2019]]/Tabela1[[#This Row],[Meta]]</f>
        <v>0</v>
      </c>
      <c r="V455" s="17">
        <f>IFERROR(Tabela1[[#This Row],[Total 2019]]/Tabela1[[#This Row],[Total 2018]]-1,0)</f>
        <v>-1</v>
      </c>
      <c r="W45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55" s="48"/>
      <c r="Y455" s="19"/>
      <c r="Z455" s="68"/>
    </row>
    <row r="456" spans="3:26" x14ac:dyDescent="0.35">
      <c r="C456" s="11" t="s">
        <v>2702</v>
      </c>
      <c r="D456" s="12" t="s">
        <v>2699</v>
      </c>
      <c r="E456" s="12">
        <v>439</v>
      </c>
      <c r="F456" s="13" t="s">
        <v>1886</v>
      </c>
      <c r="G456" s="14">
        <v>2</v>
      </c>
      <c r="H456" s="14" t="s">
        <v>1372</v>
      </c>
      <c r="I456" s="13">
        <v>22</v>
      </c>
      <c r="J456" s="15" t="s">
        <v>1421</v>
      </c>
      <c r="K456" s="15" t="s">
        <v>2708</v>
      </c>
      <c r="L456" s="16"/>
      <c r="M456" s="16">
        <v>2891.8284999999996</v>
      </c>
      <c r="N456" s="16"/>
      <c r="O456" s="16"/>
      <c r="P456" s="16"/>
      <c r="Q456" s="16">
        <f>SUM(Tabela1[[#This Row],[201805]:[201807]])</f>
        <v>2891.8284999999996</v>
      </c>
      <c r="R456" s="16">
        <f>SUM(Tabela1[[#This Row],[201905]:[201906]])</f>
        <v>0</v>
      </c>
      <c r="S456" s="16">
        <v>100000</v>
      </c>
      <c r="T456" s="16">
        <f>Tabela1[[#This Row],[Total 2019]]-Tabela1[[#This Row],[Total 2018]]</f>
        <v>-2891.8284999999996</v>
      </c>
      <c r="U456" s="40">
        <f>Tabela1[[#This Row],[Total 2019]]/Tabela1[[#This Row],[Meta]]</f>
        <v>0</v>
      </c>
      <c r="V456" s="17">
        <f>IFERROR(Tabela1[[#This Row],[Total 2019]]/Tabela1[[#This Row],[Total 2018]]-1,0)</f>
        <v>-1</v>
      </c>
      <c r="W45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56" s="48"/>
      <c r="Y456" s="19"/>
      <c r="Z456" s="68"/>
    </row>
    <row r="457" spans="3:26" x14ac:dyDescent="0.35">
      <c r="C457" s="11" t="s">
        <v>2702</v>
      </c>
      <c r="D457" s="12" t="s">
        <v>2698</v>
      </c>
      <c r="E457" s="12">
        <v>440</v>
      </c>
      <c r="F457" s="13" t="s">
        <v>1887</v>
      </c>
      <c r="G457" s="14">
        <v>1</v>
      </c>
      <c r="H457" s="14" t="s">
        <v>1372</v>
      </c>
      <c r="I457" s="13">
        <v>25</v>
      </c>
      <c r="J457" s="15" t="s">
        <v>1424</v>
      </c>
      <c r="K457" s="15" t="s">
        <v>2708</v>
      </c>
      <c r="L457" s="16">
        <v>8620.290500000001</v>
      </c>
      <c r="M457" s="16">
        <v>2483.1289999999999</v>
      </c>
      <c r="N457" s="16"/>
      <c r="O457" s="16">
        <v>11213.5815</v>
      </c>
      <c r="P457" s="16">
        <v>5921.7014999999992</v>
      </c>
      <c r="Q457" s="16">
        <f>SUM(Tabela1[[#This Row],[201805]:[201807]])</f>
        <v>11103.4195</v>
      </c>
      <c r="R457" s="16">
        <f>SUM(Tabela1[[#This Row],[201905]:[201906]])</f>
        <v>17135.282999999999</v>
      </c>
      <c r="S457" s="16">
        <v>100000</v>
      </c>
      <c r="T457" s="16">
        <f>Tabela1[[#This Row],[Total 2019]]-Tabela1[[#This Row],[Total 2018]]</f>
        <v>6031.8634999999995</v>
      </c>
      <c r="U457" s="40">
        <f>Tabela1[[#This Row],[Total 2019]]/Tabela1[[#This Row],[Meta]]</f>
        <v>0.17135282999999998</v>
      </c>
      <c r="V457" s="17">
        <f>IFERROR(Tabela1[[#This Row],[Total 2019]]/Tabela1[[#This Row],[Total 2018]]-1,0)</f>
        <v>0.54324377278549174</v>
      </c>
      <c r="W45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457" s="48"/>
      <c r="Y457" s="19"/>
      <c r="Z457" s="68"/>
    </row>
    <row r="458" spans="3:26" x14ac:dyDescent="0.35">
      <c r="C458" s="11" t="s">
        <v>2704</v>
      </c>
      <c r="D458" s="12" t="s">
        <v>2699</v>
      </c>
      <c r="E458" s="12">
        <v>441</v>
      </c>
      <c r="F458" s="13" t="s">
        <v>1888</v>
      </c>
      <c r="G458" s="14">
        <v>2</v>
      </c>
      <c r="H458" s="14" t="s">
        <v>1371</v>
      </c>
      <c r="I458" s="13">
        <v>31</v>
      </c>
      <c r="J458" s="15" t="s">
        <v>1430</v>
      </c>
      <c r="K458" s="15" t="s">
        <v>2707</v>
      </c>
      <c r="L458" s="16">
        <v>2749.8509999999997</v>
      </c>
      <c r="M458" s="16">
        <v>2684.1585</v>
      </c>
      <c r="N458" s="16"/>
      <c r="O458" s="16"/>
      <c r="P458" s="16"/>
      <c r="Q458" s="16">
        <f>SUM(Tabela1[[#This Row],[201805]:[201807]])</f>
        <v>5434.0095000000001</v>
      </c>
      <c r="R458" s="16">
        <f>SUM(Tabela1[[#This Row],[201905]:[201906]])</f>
        <v>0</v>
      </c>
      <c r="S458" s="16">
        <v>100000</v>
      </c>
      <c r="T458" s="16">
        <f>Tabela1[[#This Row],[Total 2019]]-Tabela1[[#This Row],[Total 2018]]</f>
        <v>-5434.0095000000001</v>
      </c>
      <c r="U458" s="40">
        <f>Tabela1[[#This Row],[Total 2019]]/Tabela1[[#This Row],[Meta]]</f>
        <v>0</v>
      </c>
      <c r="V458" s="17">
        <f>IFERROR(Tabela1[[#This Row],[Total 2019]]/Tabela1[[#This Row],[Total 2018]]-1,0)</f>
        <v>-1</v>
      </c>
      <c r="W45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58" s="48"/>
      <c r="Y458" s="19"/>
      <c r="Z458" s="68"/>
    </row>
    <row r="459" spans="3:26" x14ac:dyDescent="0.35">
      <c r="C459" s="11" t="s">
        <v>2703</v>
      </c>
      <c r="D459" s="12" t="s">
        <v>2698</v>
      </c>
      <c r="E459" s="12">
        <v>442</v>
      </c>
      <c r="F459" s="13" t="s">
        <v>1889</v>
      </c>
      <c r="G459" s="14">
        <v>1</v>
      </c>
      <c r="H459" s="14" t="s">
        <v>1372</v>
      </c>
      <c r="I459" s="13">
        <v>27</v>
      </c>
      <c r="J459" s="15" t="s">
        <v>1426</v>
      </c>
      <c r="K459" s="15" t="s">
        <v>2708</v>
      </c>
      <c r="L459" s="16">
        <v>3285.5084999999999</v>
      </c>
      <c r="M459" s="16">
        <v>3379.3305</v>
      </c>
      <c r="N459" s="16"/>
      <c r="O459" s="16"/>
      <c r="P459" s="16"/>
      <c r="Q459" s="16">
        <f>SUM(Tabela1[[#This Row],[201805]:[201807]])</f>
        <v>6664.8389999999999</v>
      </c>
      <c r="R459" s="16">
        <f>SUM(Tabela1[[#This Row],[201905]:[201906]])</f>
        <v>0</v>
      </c>
      <c r="S459" s="16">
        <v>100000</v>
      </c>
      <c r="T459" s="16">
        <f>Tabela1[[#This Row],[Total 2019]]-Tabela1[[#This Row],[Total 2018]]</f>
        <v>-6664.8389999999999</v>
      </c>
      <c r="U459" s="40">
        <f>Tabela1[[#This Row],[Total 2019]]/Tabela1[[#This Row],[Meta]]</f>
        <v>0</v>
      </c>
      <c r="V459" s="17">
        <f>IFERROR(Tabela1[[#This Row],[Total 2019]]/Tabela1[[#This Row],[Total 2018]]-1,0)</f>
        <v>-1</v>
      </c>
      <c r="W45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59" s="48"/>
      <c r="Y459" s="19"/>
      <c r="Z459" s="68"/>
    </row>
    <row r="460" spans="3:26" x14ac:dyDescent="0.35">
      <c r="C460" s="11" t="s">
        <v>2704</v>
      </c>
      <c r="D460" s="12" t="s">
        <v>2698</v>
      </c>
      <c r="E460" s="12">
        <v>443</v>
      </c>
      <c r="F460" s="13" t="s">
        <v>1890</v>
      </c>
      <c r="G460" s="14">
        <v>2</v>
      </c>
      <c r="H460" s="14" t="s">
        <v>1371</v>
      </c>
      <c r="I460" s="13">
        <v>31</v>
      </c>
      <c r="J460" s="15" t="s">
        <v>1430</v>
      </c>
      <c r="K460" s="15" t="s">
        <v>2707</v>
      </c>
      <c r="L460" s="16"/>
      <c r="M460" s="16">
        <v>2459.6829999999995</v>
      </c>
      <c r="N460" s="16"/>
      <c r="O460" s="16"/>
      <c r="P460" s="16">
        <v>100.377</v>
      </c>
      <c r="Q460" s="16">
        <f>SUM(Tabela1[[#This Row],[201805]:[201807]])</f>
        <v>2459.6829999999995</v>
      </c>
      <c r="R460" s="16">
        <f>SUM(Tabela1[[#This Row],[201905]:[201906]])</f>
        <v>100.377</v>
      </c>
      <c r="S460" s="16">
        <v>100000</v>
      </c>
      <c r="T460" s="16">
        <f>Tabela1[[#This Row],[Total 2019]]-Tabela1[[#This Row],[Total 2018]]</f>
        <v>-2359.3059999999996</v>
      </c>
      <c r="U460" s="40">
        <f>Tabela1[[#This Row],[Total 2019]]/Tabela1[[#This Row],[Meta]]</f>
        <v>1.00377E-3</v>
      </c>
      <c r="V460" s="17">
        <f>IFERROR(Tabela1[[#This Row],[Total 2019]]/Tabela1[[#This Row],[Total 2018]]-1,0)</f>
        <v>-0.95919108275334664</v>
      </c>
      <c r="W46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460" s="48"/>
      <c r="Y460" s="19"/>
      <c r="Z460" s="68"/>
    </row>
    <row r="461" spans="3:26" x14ac:dyDescent="0.35">
      <c r="C461" s="11" t="s">
        <v>2702</v>
      </c>
      <c r="D461" s="12" t="s">
        <v>2699</v>
      </c>
      <c r="E461" s="12">
        <v>444</v>
      </c>
      <c r="F461" s="13" t="s">
        <v>1891</v>
      </c>
      <c r="G461" s="14">
        <v>3</v>
      </c>
      <c r="H461" s="14" t="s">
        <v>1372</v>
      </c>
      <c r="I461" s="13">
        <v>22</v>
      </c>
      <c r="J461" s="15" t="s">
        <v>1421</v>
      </c>
      <c r="K461" s="15" t="s">
        <v>2708</v>
      </c>
      <c r="L461" s="16">
        <v>1268.7060000000001</v>
      </c>
      <c r="M461" s="16">
        <v>4932.2860000000001</v>
      </c>
      <c r="N461" s="16">
        <v>401.375</v>
      </c>
      <c r="O461" s="16"/>
      <c r="P461" s="16"/>
      <c r="Q461" s="16">
        <f>SUM(Tabela1[[#This Row],[201805]:[201807]])</f>
        <v>6602.3670000000002</v>
      </c>
      <c r="R461" s="16">
        <f>SUM(Tabela1[[#This Row],[201905]:[201906]])</f>
        <v>0</v>
      </c>
      <c r="S461" s="16">
        <v>100000</v>
      </c>
      <c r="T461" s="16">
        <f>Tabela1[[#This Row],[Total 2019]]-Tabela1[[#This Row],[Total 2018]]</f>
        <v>-6602.3670000000002</v>
      </c>
      <c r="U461" s="40">
        <f>Tabela1[[#This Row],[Total 2019]]/Tabela1[[#This Row],[Meta]]</f>
        <v>0</v>
      </c>
      <c r="V461" s="17">
        <f>IFERROR(Tabela1[[#This Row],[Total 2019]]/Tabela1[[#This Row],[Total 2018]]-1,0)</f>
        <v>-1</v>
      </c>
      <c r="W46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61" s="48"/>
      <c r="Y461" s="19"/>
      <c r="Z461" s="68"/>
    </row>
    <row r="462" spans="3:26" x14ac:dyDescent="0.35">
      <c r="C462" s="11" t="s">
        <v>2704</v>
      </c>
      <c r="D462" s="12" t="s">
        <v>2700</v>
      </c>
      <c r="E462" s="12">
        <v>445</v>
      </c>
      <c r="F462" s="13" t="s">
        <v>1892</v>
      </c>
      <c r="G462" s="14">
        <v>2</v>
      </c>
      <c r="H462" s="14" t="s">
        <v>1370</v>
      </c>
      <c r="I462" s="13">
        <v>11</v>
      </c>
      <c r="J462" s="15" t="s">
        <v>1410</v>
      </c>
      <c r="K462" s="15" t="s">
        <v>2706</v>
      </c>
      <c r="L462" s="16">
        <v>2430.1284999999998</v>
      </c>
      <c r="M462" s="16">
        <v>1740.7515000000001</v>
      </c>
      <c r="N462" s="16">
        <v>1012.51</v>
      </c>
      <c r="O462" s="16">
        <v>4990.8914999999997</v>
      </c>
      <c r="P462" s="16"/>
      <c r="Q462" s="16">
        <f>SUM(Tabela1[[#This Row],[201805]:[201807]])</f>
        <v>5183.3900000000003</v>
      </c>
      <c r="R462" s="16">
        <f>SUM(Tabela1[[#This Row],[201905]:[201906]])</f>
        <v>4990.8914999999997</v>
      </c>
      <c r="S462" s="16">
        <v>100000</v>
      </c>
      <c r="T462" s="16">
        <f>Tabela1[[#This Row],[Total 2019]]-Tabela1[[#This Row],[Total 2018]]</f>
        <v>-192.4985000000006</v>
      </c>
      <c r="U462" s="40">
        <f>Tabela1[[#This Row],[Total 2019]]/Tabela1[[#This Row],[Meta]]</f>
        <v>4.9908914999999998E-2</v>
      </c>
      <c r="V462" s="17">
        <f>IFERROR(Tabela1[[#This Row],[Total 2019]]/Tabela1[[#This Row],[Total 2018]]-1,0)</f>
        <v>-3.7137568270957932E-2</v>
      </c>
      <c r="W46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462" s="48"/>
      <c r="Y462" s="19"/>
      <c r="Z462" s="68"/>
    </row>
    <row r="463" spans="3:26" x14ac:dyDescent="0.35">
      <c r="C463" s="11" t="s">
        <v>2702</v>
      </c>
      <c r="D463" s="12" t="s">
        <v>2698</v>
      </c>
      <c r="E463" s="12">
        <v>446</v>
      </c>
      <c r="F463" s="13" t="s">
        <v>1893</v>
      </c>
      <c r="G463" s="14">
        <v>1</v>
      </c>
      <c r="H463" s="14" t="s">
        <v>1370</v>
      </c>
      <c r="I463" s="13">
        <v>8</v>
      </c>
      <c r="J463" s="15" t="s">
        <v>1407</v>
      </c>
      <c r="K463" s="15" t="s">
        <v>2706</v>
      </c>
      <c r="L463" s="16">
        <v>4632.8935000000001</v>
      </c>
      <c r="M463" s="16">
        <v>13733.826999999997</v>
      </c>
      <c r="N463" s="16"/>
      <c r="O463" s="16">
        <v>5796.0069999999987</v>
      </c>
      <c r="P463" s="16">
        <v>4573.7370000000001</v>
      </c>
      <c r="Q463" s="16">
        <f>SUM(Tabela1[[#This Row],[201805]:[201807]])</f>
        <v>18366.720499999996</v>
      </c>
      <c r="R463" s="16">
        <f>SUM(Tabela1[[#This Row],[201905]:[201906]])</f>
        <v>10369.743999999999</v>
      </c>
      <c r="S463" s="16">
        <v>100000</v>
      </c>
      <c r="T463" s="16">
        <f>Tabela1[[#This Row],[Total 2019]]-Tabela1[[#This Row],[Total 2018]]</f>
        <v>-7996.976499999997</v>
      </c>
      <c r="U463" s="40">
        <f>Tabela1[[#This Row],[Total 2019]]/Tabela1[[#This Row],[Meta]]</f>
        <v>0.10369743999999999</v>
      </c>
      <c r="V463" s="17">
        <f>IFERROR(Tabela1[[#This Row],[Total 2019]]/Tabela1[[#This Row],[Total 2018]]-1,0)</f>
        <v>-0.43540579277612457</v>
      </c>
      <c r="W46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463" s="48"/>
      <c r="Y463" s="19"/>
      <c r="Z463" s="68"/>
    </row>
    <row r="464" spans="3:26" x14ac:dyDescent="0.35">
      <c r="C464" s="11" t="s">
        <v>2702</v>
      </c>
      <c r="D464" s="12" t="s">
        <v>2700</v>
      </c>
      <c r="E464" s="12">
        <v>447</v>
      </c>
      <c r="F464" s="13" t="s">
        <v>1894</v>
      </c>
      <c r="G464" s="14">
        <v>2</v>
      </c>
      <c r="H464" s="14" t="s">
        <v>1371</v>
      </c>
      <c r="I464" s="13">
        <v>5</v>
      </c>
      <c r="J464" s="15" t="s">
        <v>1404</v>
      </c>
      <c r="K464" s="15" t="s">
        <v>2707</v>
      </c>
      <c r="L464" s="16">
        <v>5889.8194999999996</v>
      </c>
      <c r="M464" s="16">
        <v>2775.4534999999996</v>
      </c>
      <c r="N464" s="16"/>
      <c r="O464" s="16"/>
      <c r="P464" s="16"/>
      <c r="Q464" s="16">
        <f>SUM(Tabela1[[#This Row],[201805]:[201807]])</f>
        <v>8665.2729999999992</v>
      </c>
      <c r="R464" s="16">
        <f>SUM(Tabela1[[#This Row],[201905]:[201906]])</f>
        <v>0</v>
      </c>
      <c r="S464" s="16">
        <v>100000</v>
      </c>
      <c r="T464" s="16">
        <f>Tabela1[[#This Row],[Total 2019]]-Tabela1[[#This Row],[Total 2018]]</f>
        <v>-8665.2729999999992</v>
      </c>
      <c r="U464" s="40">
        <f>Tabela1[[#This Row],[Total 2019]]/Tabela1[[#This Row],[Meta]]</f>
        <v>0</v>
      </c>
      <c r="V464" s="17">
        <f>IFERROR(Tabela1[[#This Row],[Total 2019]]/Tabela1[[#This Row],[Total 2018]]-1,0)</f>
        <v>-1</v>
      </c>
      <c r="W46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64" s="48"/>
      <c r="Y464" s="19"/>
      <c r="Z464" s="68"/>
    </row>
    <row r="465" spans="3:26" x14ac:dyDescent="0.35">
      <c r="C465" s="11" t="s">
        <v>2704</v>
      </c>
      <c r="D465" s="12" t="s">
        <v>2698</v>
      </c>
      <c r="E465" s="12">
        <v>448</v>
      </c>
      <c r="F465" s="13" t="s">
        <v>1895</v>
      </c>
      <c r="G465" s="14">
        <v>3</v>
      </c>
      <c r="H465" s="14" t="s">
        <v>1370</v>
      </c>
      <c r="I465" s="13">
        <v>19</v>
      </c>
      <c r="J465" s="15" t="s">
        <v>1418</v>
      </c>
      <c r="K465" s="15" t="s">
        <v>2706</v>
      </c>
      <c r="L465" s="16">
        <v>4969.9249999999993</v>
      </c>
      <c r="M465" s="16">
        <v>2213.6424999999999</v>
      </c>
      <c r="N465" s="16"/>
      <c r="O465" s="16"/>
      <c r="P465" s="16"/>
      <c r="Q465" s="16">
        <f>SUM(Tabela1[[#This Row],[201805]:[201807]])</f>
        <v>7183.5674999999992</v>
      </c>
      <c r="R465" s="16">
        <f>SUM(Tabela1[[#This Row],[201905]:[201906]])</f>
        <v>0</v>
      </c>
      <c r="S465" s="16">
        <v>100000</v>
      </c>
      <c r="T465" s="16">
        <f>Tabela1[[#This Row],[Total 2019]]-Tabela1[[#This Row],[Total 2018]]</f>
        <v>-7183.5674999999992</v>
      </c>
      <c r="U465" s="40">
        <f>Tabela1[[#This Row],[Total 2019]]/Tabela1[[#This Row],[Meta]]</f>
        <v>0</v>
      </c>
      <c r="V465" s="17">
        <f>IFERROR(Tabela1[[#This Row],[Total 2019]]/Tabela1[[#This Row],[Total 2018]]-1,0)</f>
        <v>-1</v>
      </c>
      <c r="W46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65" s="48"/>
      <c r="Y465" s="19"/>
      <c r="Z465" s="68"/>
    </row>
    <row r="466" spans="3:26" x14ac:dyDescent="0.35">
      <c r="C466" s="11" t="s">
        <v>2704</v>
      </c>
      <c r="D466" s="12" t="s">
        <v>2698</v>
      </c>
      <c r="E466" s="12">
        <v>449</v>
      </c>
      <c r="F466" s="13" t="s">
        <v>1896</v>
      </c>
      <c r="G466" s="14">
        <v>3</v>
      </c>
      <c r="H466" s="14" t="s">
        <v>1371</v>
      </c>
      <c r="I466" s="13">
        <v>7</v>
      </c>
      <c r="J466" s="15" t="s">
        <v>1406</v>
      </c>
      <c r="K466" s="15" t="s">
        <v>2707</v>
      </c>
      <c r="L466" s="16"/>
      <c r="M466" s="16">
        <v>3055.1144999999997</v>
      </c>
      <c r="N466" s="16">
        <v>5744.1749999999993</v>
      </c>
      <c r="O466" s="16"/>
      <c r="P466" s="16"/>
      <c r="Q466" s="16">
        <f>SUM(Tabela1[[#This Row],[201805]:[201807]])</f>
        <v>8799.289499999999</v>
      </c>
      <c r="R466" s="16">
        <f>SUM(Tabela1[[#This Row],[201905]:[201906]])</f>
        <v>0</v>
      </c>
      <c r="S466" s="16">
        <v>100000</v>
      </c>
      <c r="T466" s="16">
        <f>Tabela1[[#This Row],[Total 2019]]-Tabela1[[#This Row],[Total 2018]]</f>
        <v>-8799.289499999999</v>
      </c>
      <c r="U466" s="40">
        <f>Tabela1[[#This Row],[Total 2019]]/Tabela1[[#This Row],[Meta]]</f>
        <v>0</v>
      </c>
      <c r="V466" s="17">
        <f>IFERROR(Tabela1[[#This Row],[Total 2019]]/Tabela1[[#This Row],[Total 2018]]-1,0)</f>
        <v>-1</v>
      </c>
      <c r="W46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66" s="48"/>
      <c r="Y466" s="19"/>
      <c r="Z466" s="68"/>
    </row>
    <row r="467" spans="3:26" x14ac:dyDescent="0.35">
      <c r="C467" s="11" t="s">
        <v>2704</v>
      </c>
      <c r="D467" s="12" t="s">
        <v>2700</v>
      </c>
      <c r="E467" s="12">
        <v>450</v>
      </c>
      <c r="F467" s="13" t="s">
        <v>1897</v>
      </c>
      <c r="G467" s="14">
        <v>1</v>
      </c>
      <c r="H467" s="14" t="s">
        <v>1372</v>
      </c>
      <c r="I467" s="13">
        <v>17</v>
      </c>
      <c r="J467" s="15" t="s">
        <v>1416</v>
      </c>
      <c r="K467" s="15" t="s">
        <v>2708</v>
      </c>
      <c r="L467" s="16">
        <v>2933.5904999999998</v>
      </c>
      <c r="M467" s="16">
        <v>2857.049</v>
      </c>
      <c r="N467" s="16">
        <v>2294.402</v>
      </c>
      <c r="O467" s="16"/>
      <c r="P467" s="16"/>
      <c r="Q467" s="16">
        <f>SUM(Tabela1[[#This Row],[201805]:[201807]])</f>
        <v>8085.0414999999994</v>
      </c>
      <c r="R467" s="16">
        <f>SUM(Tabela1[[#This Row],[201905]:[201906]])</f>
        <v>0</v>
      </c>
      <c r="S467" s="16">
        <v>100000</v>
      </c>
      <c r="T467" s="16">
        <f>Tabela1[[#This Row],[Total 2019]]-Tabela1[[#This Row],[Total 2018]]</f>
        <v>-8085.0414999999994</v>
      </c>
      <c r="U467" s="40">
        <f>Tabela1[[#This Row],[Total 2019]]/Tabela1[[#This Row],[Meta]]</f>
        <v>0</v>
      </c>
      <c r="V467" s="17">
        <f>IFERROR(Tabela1[[#This Row],[Total 2019]]/Tabela1[[#This Row],[Total 2018]]-1,0)</f>
        <v>-1</v>
      </c>
      <c r="W46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67" s="48"/>
      <c r="Y467" s="19"/>
      <c r="Z467" s="68"/>
    </row>
    <row r="468" spans="3:26" x14ac:dyDescent="0.35">
      <c r="C468" s="11" t="s">
        <v>2703</v>
      </c>
      <c r="D468" s="12" t="s">
        <v>2698</v>
      </c>
      <c r="E468" s="12">
        <v>451</v>
      </c>
      <c r="F468" s="13" t="s">
        <v>1898</v>
      </c>
      <c r="G468" s="14">
        <v>3</v>
      </c>
      <c r="H468" s="14" t="s">
        <v>1371</v>
      </c>
      <c r="I468" s="13">
        <v>9</v>
      </c>
      <c r="J468" s="15" t="s">
        <v>1408</v>
      </c>
      <c r="K468" s="15" t="s">
        <v>2707</v>
      </c>
      <c r="L468" s="16">
        <v>350.09399999999999</v>
      </c>
      <c r="M468" s="16">
        <v>10659.807500000001</v>
      </c>
      <c r="N468" s="16"/>
      <c r="O468" s="16"/>
      <c r="P468" s="16"/>
      <c r="Q468" s="16">
        <f>SUM(Tabela1[[#This Row],[201805]:[201807]])</f>
        <v>11009.9015</v>
      </c>
      <c r="R468" s="16">
        <f>SUM(Tabela1[[#This Row],[201905]:[201906]])</f>
        <v>0</v>
      </c>
      <c r="S468" s="16">
        <v>100000</v>
      </c>
      <c r="T468" s="16">
        <f>Tabela1[[#This Row],[Total 2019]]-Tabela1[[#This Row],[Total 2018]]</f>
        <v>-11009.9015</v>
      </c>
      <c r="U468" s="40">
        <f>Tabela1[[#This Row],[Total 2019]]/Tabela1[[#This Row],[Meta]]</f>
        <v>0</v>
      </c>
      <c r="V468" s="17">
        <f>IFERROR(Tabela1[[#This Row],[Total 2019]]/Tabela1[[#This Row],[Total 2018]]-1,0)</f>
        <v>-1</v>
      </c>
      <c r="W46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68" s="48"/>
      <c r="Y468" s="19"/>
      <c r="Z468" s="68"/>
    </row>
    <row r="469" spans="3:26" x14ac:dyDescent="0.35">
      <c r="C469" s="11" t="s">
        <v>2702</v>
      </c>
      <c r="D469" s="12" t="s">
        <v>2700</v>
      </c>
      <c r="E469" s="12">
        <v>452</v>
      </c>
      <c r="F469" s="13" t="s">
        <v>1899</v>
      </c>
      <c r="G469" s="14">
        <v>3</v>
      </c>
      <c r="H469" s="14" t="s">
        <v>1372</v>
      </c>
      <c r="I469" s="13">
        <v>17</v>
      </c>
      <c r="J469" s="15" t="s">
        <v>1416</v>
      </c>
      <c r="K469" s="15" t="s">
        <v>2708</v>
      </c>
      <c r="L469" s="16">
        <v>3279.5424999999996</v>
      </c>
      <c r="M469" s="16">
        <v>1219.268</v>
      </c>
      <c r="N469" s="16"/>
      <c r="O469" s="16"/>
      <c r="P469" s="16"/>
      <c r="Q469" s="16">
        <f>SUM(Tabela1[[#This Row],[201805]:[201807]])</f>
        <v>4498.8104999999996</v>
      </c>
      <c r="R469" s="16">
        <f>SUM(Tabela1[[#This Row],[201905]:[201906]])</f>
        <v>0</v>
      </c>
      <c r="S469" s="16">
        <v>100000</v>
      </c>
      <c r="T469" s="16">
        <f>Tabela1[[#This Row],[Total 2019]]-Tabela1[[#This Row],[Total 2018]]</f>
        <v>-4498.8104999999996</v>
      </c>
      <c r="U469" s="40">
        <f>Tabela1[[#This Row],[Total 2019]]/Tabela1[[#This Row],[Meta]]</f>
        <v>0</v>
      </c>
      <c r="V469" s="17">
        <f>IFERROR(Tabela1[[#This Row],[Total 2019]]/Tabela1[[#This Row],[Total 2018]]-1,0)</f>
        <v>-1</v>
      </c>
      <c r="W46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69" s="48"/>
      <c r="Y469" s="19"/>
      <c r="Z469" s="68"/>
    </row>
    <row r="470" spans="3:26" x14ac:dyDescent="0.35">
      <c r="C470" s="11" t="s">
        <v>2702</v>
      </c>
      <c r="D470" s="12" t="s">
        <v>2699</v>
      </c>
      <c r="E470" s="12">
        <v>453</v>
      </c>
      <c r="F470" s="13" t="s">
        <v>1900</v>
      </c>
      <c r="G470" s="14">
        <v>1</v>
      </c>
      <c r="H470" s="14" t="s">
        <v>1370</v>
      </c>
      <c r="I470" s="13">
        <v>33</v>
      </c>
      <c r="J470" s="15" t="s">
        <v>1432</v>
      </c>
      <c r="K470" s="15" t="s">
        <v>2706</v>
      </c>
      <c r="L470" s="16">
        <v>1899.8195000000001</v>
      </c>
      <c r="M470" s="16">
        <v>3605.2120000000004</v>
      </c>
      <c r="N470" s="16">
        <v>983.48749999999995</v>
      </c>
      <c r="O470" s="16"/>
      <c r="P470" s="16"/>
      <c r="Q470" s="16">
        <f>SUM(Tabela1[[#This Row],[201805]:[201807]])</f>
        <v>6488.5190000000011</v>
      </c>
      <c r="R470" s="16">
        <f>SUM(Tabela1[[#This Row],[201905]:[201906]])</f>
        <v>0</v>
      </c>
      <c r="S470" s="16">
        <v>100000</v>
      </c>
      <c r="T470" s="16">
        <f>Tabela1[[#This Row],[Total 2019]]-Tabela1[[#This Row],[Total 2018]]</f>
        <v>-6488.5190000000011</v>
      </c>
      <c r="U470" s="40">
        <f>Tabela1[[#This Row],[Total 2019]]/Tabela1[[#This Row],[Meta]]</f>
        <v>0</v>
      </c>
      <c r="V470" s="17">
        <f>IFERROR(Tabela1[[#This Row],[Total 2019]]/Tabela1[[#This Row],[Total 2018]]-1,0)</f>
        <v>-1</v>
      </c>
      <c r="W47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70" s="48"/>
      <c r="Y470" s="19"/>
      <c r="Z470" s="68"/>
    </row>
    <row r="471" spans="3:26" x14ac:dyDescent="0.35">
      <c r="C471" s="11" t="s">
        <v>2704</v>
      </c>
      <c r="D471" s="12" t="s">
        <v>2698</v>
      </c>
      <c r="E471" s="12">
        <v>454</v>
      </c>
      <c r="F471" s="13" t="s">
        <v>1901</v>
      </c>
      <c r="G471" s="14">
        <v>1</v>
      </c>
      <c r="H471" s="14" t="s">
        <v>1370</v>
      </c>
      <c r="I471" s="13">
        <v>33</v>
      </c>
      <c r="J471" s="15" t="s">
        <v>1432</v>
      </c>
      <c r="K471" s="15" t="s">
        <v>2706</v>
      </c>
      <c r="L471" s="16"/>
      <c r="M471" s="16">
        <v>3110.0434999999998</v>
      </c>
      <c r="N471" s="16"/>
      <c r="O471" s="16"/>
      <c r="P471" s="16"/>
      <c r="Q471" s="16">
        <f>SUM(Tabela1[[#This Row],[201805]:[201807]])</f>
        <v>3110.0434999999998</v>
      </c>
      <c r="R471" s="16">
        <f>SUM(Tabela1[[#This Row],[201905]:[201906]])</f>
        <v>0</v>
      </c>
      <c r="S471" s="16">
        <v>100000</v>
      </c>
      <c r="T471" s="16">
        <f>Tabela1[[#This Row],[Total 2019]]-Tabela1[[#This Row],[Total 2018]]</f>
        <v>-3110.0434999999998</v>
      </c>
      <c r="U471" s="40">
        <f>Tabela1[[#This Row],[Total 2019]]/Tabela1[[#This Row],[Meta]]</f>
        <v>0</v>
      </c>
      <c r="V471" s="17">
        <f>IFERROR(Tabela1[[#This Row],[Total 2019]]/Tabela1[[#This Row],[Total 2018]]-1,0)</f>
        <v>-1</v>
      </c>
      <c r="W47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71" s="48"/>
      <c r="Y471" s="19"/>
      <c r="Z471" s="68"/>
    </row>
    <row r="472" spans="3:26" x14ac:dyDescent="0.35">
      <c r="C472" s="11" t="s">
        <v>2704</v>
      </c>
      <c r="D472" s="12" t="s">
        <v>2699</v>
      </c>
      <c r="E472" s="12">
        <v>455</v>
      </c>
      <c r="F472" s="13" t="s">
        <v>1902</v>
      </c>
      <c r="G472" s="14">
        <v>3</v>
      </c>
      <c r="H472" s="14" t="s">
        <v>1370</v>
      </c>
      <c r="I472" s="13">
        <v>11</v>
      </c>
      <c r="J472" s="15" t="s">
        <v>1410</v>
      </c>
      <c r="K472" s="15" t="s">
        <v>2706</v>
      </c>
      <c r="L472" s="16">
        <v>3927.6895</v>
      </c>
      <c r="M472" s="16">
        <v>4437.601999999999</v>
      </c>
      <c r="N472" s="16">
        <v>1309.6794999999997</v>
      </c>
      <c r="O472" s="16"/>
      <c r="P472" s="16"/>
      <c r="Q472" s="16">
        <f>SUM(Tabela1[[#This Row],[201805]:[201807]])</f>
        <v>9674.9709999999995</v>
      </c>
      <c r="R472" s="16">
        <f>SUM(Tabela1[[#This Row],[201905]:[201906]])</f>
        <v>0</v>
      </c>
      <c r="S472" s="16">
        <v>100000</v>
      </c>
      <c r="T472" s="16">
        <f>Tabela1[[#This Row],[Total 2019]]-Tabela1[[#This Row],[Total 2018]]</f>
        <v>-9674.9709999999995</v>
      </c>
      <c r="U472" s="40">
        <f>Tabela1[[#This Row],[Total 2019]]/Tabela1[[#This Row],[Meta]]</f>
        <v>0</v>
      </c>
      <c r="V472" s="17">
        <f>IFERROR(Tabela1[[#This Row],[Total 2019]]/Tabela1[[#This Row],[Total 2018]]-1,0)</f>
        <v>-1</v>
      </c>
      <c r="W47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72" s="48"/>
      <c r="Y472" s="19"/>
      <c r="Z472" s="68"/>
    </row>
    <row r="473" spans="3:26" x14ac:dyDescent="0.35">
      <c r="C473" s="11" t="s">
        <v>2702</v>
      </c>
      <c r="D473" s="12" t="s">
        <v>2699</v>
      </c>
      <c r="E473" s="12">
        <v>456</v>
      </c>
      <c r="F473" s="13" t="s">
        <v>1903</v>
      </c>
      <c r="G473" s="14">
        <v>3</v>
      </c>
      <c r="H473" s="14" t="s">
        <v>1371</v>
      </c>
      <c r="I473" s="13">
        <v>12</v>
      </c>
      <c r="J473" s="15" t="s">
        <v>1411</v>
      </c>
      <c r="K473" s="15" t="s">
        <v>2707</v>
      </c>
      <c r="L473" s="16">
        <v>2366.1840000000002</v>
      </c>
      <c r="M473" s="16">
        <v>4482.5749999999998</v>
      </c>
      <c r="N473" s="16">
        <v>2731.7534999999998</v>
      </c>
      <c r="O473" s="16">
        <v>166.70599999999999</v>
      </c>
      <c r="P473" s="16"/>
      <c r="Q473" s="16">
        <f>SUM(Tabela1[[#This Row],[201805]:[201807]])</f>
        <v>9580.5125000000007</v>
      </c>
      <c r="R473" s="16">
        <f>SUM(Tabela1[[#This Row],[201905]:[201906]])</f>
        <v>166.70599999999999</v>
      </c>
      <c r="S473" s="16">
        <v>100000</v>
      </c>
      <c r="T473" s="16">
        <f>Tabela1[[#This Row],[Total 2019]]-Tabela1[[#This Row],[Total 2018]]</f>
        <v>-9413.8065000000006</v>
      </c>
      <c r="U473" s="40">
        <f>Tabela1[[#This Row],[Total 2019]]/Tabela1[[#This Row],[Meta]]</f>
        <v>1.6670599999999999E-3</v>
      </c>
      <c r="V473" s="17">
        <f>IFERROR(Tabela1[[#This Row],[Total 2019]]/Tabela1[[#This Row],[Total 2018]]-1,0)</f>
        <v>-0.98259946949602117</v>
      </c>
      <c r="W47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473" s="48"/>
      <c r="Y473" s="19"/>
      <c r="Z473" s="68"/>
    </row>
    <row r="474" spans="3:26" x14ac:dyDescent="0.35">
      <c r="C474" s="11" t="s">
        <v>2702</v>
      </c>
      <c r="D474" s="12" t="s">
        <v>2698</v>
      </c>
      <c r="E474" s="12">
        <v>457</v>
      </c>
      <c r="F474" s="13" t="s">
        <v>1904</v>
      </c>
      <c r="G474" s="14">
        <v>1</v>
      </c>
      <c r="H474" s="14" t="s">
        <v>1370</v>
      </c>
      <c r="I474" s="13">
        <v>11</v>
      </c>
      <c r="J474" s="15" t="s">
        <v>1410</v>
      </c>
      <c r="K474" s="15" t="s">
        <v>2706</v>
      </c>
      <c r="L474" s="16">
        <v>11852.912499999999</v>
      </c>
      <c r="M474" s="16">
        <v>8497.1705000000002</v>
      </c>
      <c r="N474" s="16"/>
      <c r="O474" s="16"/>
      <c r="P474" s="16"/>
      <c r="Q474" s="16">
        <f>SUM(Tabela1[[#This Row],[201805]:[201807]])</f>
        <v>20350.082999999999</v>
      </c>
      <c r="R474" s="16">
        <f>SUM(Tabela1[[#This Row],[201905]:[201906]])</f>
        <v>0</v>
      </c>
      <c r="S474" s="16">
        <v>100000</v>
      </c>
      <c r="T474" s="16">
        <f>Tabela1[[#This Row],[Total 2019]]-Tabela1[[#This Row],[Total 2018]]</f>
        <v>-20350.082999999999</v>
      </c>
      <c r="U474" s="40">
        <f>Tabela1[[#This Row],[Total 2019]]/Tabela1[[#This Row],[Meta]]</f>
        <v>0</v>
      </c>
      <c r="V474" s="17">
        <f>IFERROR(Tabela1[[#This Row],[Total 2019]]/Tabela1[[#This Row],[Total 2018]]-1,0)</f>
        <v>-1</v>
      </c>
      <c r="W47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74" s="48"/>
      <c r="Y474" s="19"/>
      <c r="Z474" s="68"/>
    </row>
    <row r="475" spans="3:26" x14ac:dyDescent="0.35">
      <c r="C475" s="11" t="s">
        <v>2702</v>
      </c>
      <c r="D475" s="12" t="s">
        <v>2700</v>
      </c>
      <c r="E475" s="12">
        <v>458</v>
      </c>
      <c r="F475" s="13" t="s">
        <v>1905</v>
      </c>
      <c r="G475" s="14">
        <v>1</v>
      </c>
      <c r="H475" s="14" t="s">
        <v>1371</v>
      </c>
      <c r="I475" s="13">
        <v>9</v>
      </c>
      <c r="J475" s="15" t="s">
        <v>1408</v>
      </c>
      <c r="K475" s="15" t="s">
        <v>2707</v>
      </c>
      <c r="L475" s="16">
        <v>8742.9259999999995</v>
      </c>
      <c r="M475" s="16">
        <v>2392.8315000000002</v>
      </c>
      <c r="N475" s="16"/>
      <c r="O475" s="16">
        <v>1297.4625000000001</v>
      </c>
      <c r="P475" s="16">
        <v>9214.2684999999983</v>
      </c>
      <c r="Q475" s="16">
        <f>SUM(Tabela1[[#This Row],[201805]:[201807]])</f>
        <v>11135.7575</v>
      </c>
      <c r="R475" s="16">
        <f>SUM(Tabela1[[#This Row],[201905]:[201906]])</f>
        <v>10511.730999999998</v>
      </c>
      <c r="S475" s="16">
        <v>100000</v>
      </c>
      <c r="T475" s="16">
        <f>Tabela1[[#This Row],[Total 2019]]-Tabela1[[#This Row],[Total 2018]]</f>
        <v>-624.02650000000176</v>
      </c>
      <c r="U475" s="40">
        <f>Tabela1[[#This Row],[Total 2019]]/Tabela1[[#This Row],[Meta]]</f>
        <v>0.10511730999999998</v>
      </c>
      <c r="V475" s="17">
        <f>IFERROR(Tabela1[[#This Row],[Total 2019]]/Tabela1[[#This Row],[Total 2018]]-1,0)</f>
        <v>-5.6038082725849758E-2</v>
      </c>
      <c r="W47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475" s="48"/>
      <c r="Y475" s="19"/>
      <c r="Z475" s="68"/>
    </row>
    <row r="476" spans="3:26" x14ac:dyDescent="0.35">
      <c r="C476" s="11" t="s">
        <v>2702</v>
      </c>
      <c r="D476" s="12" t="s">
        <v>2700</v>
      </c>
      <c r="E476" s="12">
        <v>459</v>
      </c>
      <c r="F476" s="13" t="s">
        <v>1906</v>
      </c>
      <c r="G476" s="14">
        <v>3</v>
      </c>
      <c r="H476" s="14" t="s">
        <v>1371</v>
      </c>
      <c r="I476" s="13">
        <v>9</v>
      </c>
      <c r="J476" s="15" t="s">
        <v>1408</v>
      </c>
      <c r="K476" s="15" t="s">
        <v>2707</v>
      </c>
      <c r="L476" s="16">
        <v>4074.6259999999997</v>
      </c>
      <c r="M476" s="16">
        <v>1667.5065</v>
      </c>
      <c r="N476" s="16"/>
      <c r="O476" s="16"/>
      <c r="P476" s="16"/>
      <c r="Q476" s="16">
        <f>SUM(Tabela1[[#This Row],[201805]:[201807]])</f>
        <v>5742.1324999999997</v>
      </c>
      <c r="R476" s="16">
        <f>SUM(Tabela1[[#This Row],[201905]:[201906]])</f>
        <v>0</v>
      </c>
      <c r="S476" s="16">
        <v>100000</v>
      </c>
      <c r="T476" s="16">
        <f>Tabela1[[#This Row],[Total 2019]]-Tabela1[[#This Row],[Total 2018]]</f>
        <v>-5742.1324999999997</v>
      </c>
      <c r="U476" s="40">
        <f>Tabela1[[#This Row],[Total 2019]]/Tabela1[[#This Row],[Meta]]</f>
        <v>0</v>
      </c>
      <c r="V476" s="17">
        <f>IFERROR(Tabela1[[#This Row],[Total 2019]]/Tabela1[[#This Row],[Total 2018]]-1,0)</f>
        <v>-1</v>
      </c>
      <c r="W47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76" s="48"/>
      <c r="Y476" s="19"/>
      <c r="Z476" s="68"/>
    </row>
    <row r="477" spans="3:26" x14ac:dyDescent="0.35">
      <c r="C477" s="11" t="s">
        <v>2703</v>
      </c>
      <c r="D477" s="12" t="s">
        <v>2699</v>
      </c>
      <c r="E477" s="12">
        <v>460</v>
      </c>
      <c r="F477" s="13" t="s">
        <v>1907</v>
      </c>
      <c r="G477" s="14">
        <v>3</v>
      </c>
      <c r="H477" s="14" t="s">
        <v>1370</v>
      </c>
      <c r="I477" s="13">
        <v>34</v>
      </c>
      <c r="J477" s="15" t="s">
        <v>1433</v>
      </c>
      <c r="K477" s="15" t="s">
        <v>2706</v>
      </c>
      <c r="L477" s="16"/>
      <c r="M477" s="16">
        <v>2324.2224999999999</v>
      </c>
      <c r="N477" s="16">
        <v>1841.0334999999998</v>
      </c>
      <c r="O477" s="16"/>
      <c r="P477" s="16"/>
      <c r="Q477" s="16">
        <f>SUM(Tabela1[[#This Row],[201805]:[201807]])</f>
        <v>4165.2559999999994</v>
      </c>
      <c r="R477" s="16">
        <f>SUM(Tabela1[[#This Row],[201905]:[201906]])</f>
        <v>0</v>
      </c>
      <c r="S477" s="16">
        <v>100000</v>
      </c>
      <c r="T477" s="16">
        <f>Tabela1[[#This Row],[Total 2019]]-Tabela1[[#This Row],[Total 2018]]</f>
        <v>-4165.2559999999994</v>
      </c>
      <c r="U477" s="40">
        <f>Tabela1[[#This Row],[Total 2019]]/Tabela1[[#This Row],[Meta]]</f>
        <v>0</v>
      </c>
      <c r="V477" s="17">
        <f>IFERROR(Tabela1[[#This Row],[Total 2019]]/Tabela1[[#This Row],[Total 2018]]-1,0)</f>
        <v>-1</v>
      </c>
      <c r="W47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77" s="48"/>
      <c r="Y477" s="19"/>
      <c r="Z477" s="68"/>
    </row>
    <row r="478" spans="3:26" x14ac:dyDescent="0.35">
      <c r="C478" s="11" t="s">
        <v>2702</v>
      </c>
      <c r="D478" s="12" t="s">
        <v>2698</v>
      </c>
      <c r="E478" s="12">
        <v>461</v>
      </c>
      <c r="F478" s="13" t="s">
        <v>1908</v>
      </c>
      <c r="G478" s="14">
        <v>1</v>
      </c>
      <c r="H478" s="14" t="s">
        <v>1372</v>
      </c>
      <c r="I478" s="13">
        <v>20</v>
      </c>
      <c r="J478" s="15" t="s">
        <v>1419</v>
      </c>
      <c r="K478" s="15" t="s">
        <v>2708</v>
      </c>
      <c r="L478" s="16"/>
      <c r="M478" s="16">
        <v>1358.443</v>
      </c>
      <c r="N478" s="16"/>
      <c r="O478" s="16"/>
      <c r="P478" s="16"/>
      <c r="Q478" s="16">
        <f>SUM(Tabela1[[#This Row],[201805]:[201807]])</f>
        <v>1358.443</v>
      </c>
      <c r="R478" s="16">
        <f>SUM(Tabela1[[#This Row],[201905]:[201906]])</f>
        <v>0</v>
      </c>
      <c r="S478" s="16">
        <v>100000</v>
      </c>
      <c r="T478" s="16">
        <f>Tabela1[[#This Row],[Total 2019]]-Tabela1[[#This Row],[Total 2018]]</f>
        <v>-1358.443</v>
      </c>
      <c r="U478" s="40">
        <f>Tabela1[[#This Row],[Total 2019]]/Tabela1[[#This Row],[Meta]]</f>
        <v>0</v>
      </c>
      <c r="V478" s="17">
        <f>IFERROR(Tabela1[[#This Row],[Total 2019]]/Tabela1[[#This Row],[Total 2018]]-1,0)</f>
        <v>-1</v>
      </c>
      <c r="W47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78" s="48"/>
      <c r="Y478" s="19"/>
      <c r="Z478" s="68"/>
    </row>
    <row r="479" spans="3:26" x14ac:dyDescent="0.35">
      <c r="C479" s="11" t="s">
        <v>2702</v>
      </c>
      <c r="D479" s="12" t="s">
        <v>2699</v>
      </c>
      <c r="E479" s="12">
        <v>462</v>
      </c>
      <c r="F479" s="13" t="s">
        <v>1909</v>
      </c>
      <c r="G479" s="14">
        <v>2</v>
      </c>
      <c r="H479" s="14" t="s">
        <v>1370</v>
      </c>
      <c r="I479" s="13">
        <v>15</v>
      </c>
      <c r="J479" s="15" t="s">
        <v>1414</v>
      </c>
      <c r="K479" s="15" t="s">
        <v>2706</v>
      </c>
      <c r="L479" s="16">
        <v>10665.165499999999</v>
      </c>
      <c r="M479" s="16">
        <v>8665.8050000000003</v>
      </c>
      <c r="N479" s="16"/>
      <c r="O479" s="16"/>
      <c r="P479" s="16"/>
      <c r="Q479" s="16">
        <f>SUM(Tabela1[[#This Row],[201805]:[201807]])</f>
        <v>19330.970499999999</v>
      </c>
      <c r="R479" s="16">
        <f>SUM(Tabela1[[#This Row],[201905]:[201906]])</f>
        <v>0</v>
      </c>
      <c r="S479" s="16">
        <v>100000</v>
      </c>
      <c r="T479" s="16">
        <f>Tabela1[[#This Row],[Total 2019]]-Tabela1[[#This Row],[Total 2018]]</f>
        <v>-19330.970499999999</v>
      </c>
      <c r="U479" s="40">
        <f>Tabela1[[#This Row],[Total 2019]]/Tabela1[[#This Row],[Meta]]</f>
        <v>0</v>
      </c>
      <c r="V479" s="17">
        <f>IFERROR(Tabela1[[#This Row],[Total 2019]]/Tabela1[[#This Row],[Total 2018]]-1,0)</f>
        <v>-1</v>
      </c>
      <c r="W47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79" s="48"/>
      <c r="Y479" s="19"/>
      <c r="Z479" s="68"/>
    </row>
    <row r="480" spans="3:26" x14ac:dyDescent="0.35">
      <c r="C480" s="11" t="s">
        <v>2704</v>
      </c>
      <c r="D480" s="12" t="s">
        <v>2699</v>
      </c>
      <c r="E480" s="12">
        <v>463</v>
      </c>
      <c r="F480" s="13" t="s">
        <v>1910</v>
      </c>
      <c r="G480" s="14">
        <v>3</v>
      </c>
      <c r="H480" s="14" t="s">
        <v>1370</v>
      </c>
      <c r="I480" s="13">
        <v>3</v>
      </c>
      <c r="J480" s="15" t="s">
        <v>1402</v>
      </c>
      <c r="K480" s="15" t="s">
        <v>2706</v>
      </c>
      <c r="L480" s="16"/>
      <c r="M480" s="16">
        <v>3532.2139999999999</v>
      </c>
      <c r="N480" s="16"/>
      <c r="O480" s="16"/>
      <c r="P480" s="16"/>
      <c r="Q480" s="16">
        <f>SUM(Tabela1[[#This Row],[201805]:[201807]])</f>
        <v>3532.2139999999999</v>
      </c>
      <c r="R480" s="16">
        <f>SUM(Tabela1[[#This Row],[201905]:[201906]])</f>
        <v>0</v>
      </c>
      <c r="S480" s="16">
        <v>100000</v>
      </c>
      <c r="T480" s="16">
        <f>Tabela1[[#This Row],[Total 2019]]-Tabela1[[#This Row],[Total 2018]]</f>
        <v>-3532.2139999999999</v>
      </c>
      <c r="U480" s="40">
        <f>Tabela1[[#This Row],[Total 2019]]/Tabela1[[#This Row],[Meta]]</f>
        <v>0</v>
      </c>
      <c r="V480" s="17">
        <f>IFERROR(Tabela1[[#This Row],[Total 2019]]/Tabela1[[#This Row],[Total 2018]]-1,0)</f>
        <v>-1</v>
      </c>
      <c r="W48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80" s="48"/>
      <c r="Y480" s="19"/>
      <c r="Z480" s="68"/>
    </row>
    <row r="481" spans="3:26" x14ac:dyDescent="0.35">
      <c r="C481" s="11" t="s">
        <v>2704</v>
      </c>
      <c r="D481" s="12" t="s">
        <v>2700</v>
      </c>
      <c r="E481" s="12">
        <v>464</v>
      </c>
      <c r="F481" s="13" t="s">
        <v>1911</v>
      </c>
      <c r="G481" s="14">
        <v>2</v>
      </c>
      <c r="H481" s="14" t="s">
        <v>1370</v>
      </c>
      <c r="I481" s="13">
        <v>15</v>
      </c>
      <c r="J481" s="15" t="s">
        <v>1414</v>
      </c>
      <c r="K481" s="15" t="s">
        <v>2706</v>
      </c>
      <c r="L481" s="16">
        <v>8090.0099999999993</v>
      </c>
      <c r="M481" s="16">
        <v>8203.4210000000003</v>
      </c>
      <c r="N481" s="16">
        <v>5058.9970000000012</v>
      </c>
      <c r="O481" s="16"/>
      <c r="P481" s="16"/>
      <c r="Q481" s="16">
        <f>SUM(Tabela1[[#This Row],[201805]:[201807]])</f>
        <v>21352.428</v>
      </c>
      <c r="R481" s="16">
        <f>SUM(Tabela1[[#This Row],[201905]:[201906]])</f>
        <v>0</v>
      </c>
      <c r="S481" s="16">
        <v>100000</v>
      </c>
      <c r="T481" s="16">
        <f>Tabela1[[#This Row],[Total 2019]]-Tabela1[[#This Row],[Total 2018]]</f>
        <v>-21352.428</v>
      </c>
      <c r="U481" s="40">
        <f>Tabela1[[#This Row],[Total 2019]]/Tabela1[[#This Row],[Meta]]</f>
        <v>0</v>
      </c>
      <c r="V481" s="17">
        <f>IFERROR(Tabela1[[#This Row],[Total 2019]]/Tabela1[[#This Row],[Total 2018]]-1,0)</f>
        <v>-1</v>
      </c>
      <c r="W48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81" s="48"/>
      <c r="Y481" s="19"/>
      <c r="Z481" s="68"/>
    </row>
    <row r="482" spans="3:26" x14ac:dyDescent="0.35">
      <c r="C482" s="11" t="s">
        <v>2704</v>
      </c>
      <c r="D482" s="12" t="s">
        <v>2699</v>
      </c>
      <c r="E482" s="12">
        <v>465</v>
      </c>
      <c r="F482" s="13" t="s">
        <v>1912</v>
      </c>
      <c r="G482" s="14">
        <v>3</v>
      </c>
      <c r="H482" s="14" t="s">
        <v>1370</v>
      </c>
      <c r="I482" s="13">
        <v>29</v>
      </c>
      <c r="J482" s="15" t="s">
        <v>1428</v>
      </c>
      <c r="K482" s="15" t="s">
        <v>2706</v>
      </c>
      <c r="L482" s="16">
        <v>13114.236999999999</v>
      </c>
      <c r="M482" s="16">
        <v>3273.3485000000001</v>
      </c>
      <c r="N482" s="16"/>
      <c r="O482" s="16">
        <v>11449.932000000001</v>
      </c>
      <c r="P482" s="16">
        <v>3121.5859999999998</v>
      </c>
      <c r="Q482" s="16">
        <f>SUM(Tabela1[[#This Row],[201805]:[201807]])</f>
        <v>16387.585500000001</v>
      </c>
      <c r="R482" s="16">
        <f>SUM(Tabela1[[#This Row],[201905]:[201906]])</f>
        <v>14571.518</v>
      </c>
      <c r="S482" s="16">
        <v>100000</v>
      </c>
      <c r="T482" s="16">
        <f>Tabela1[[#This Row],[Total 2019]]-Tabela1[[#This Row],[Total 2018]]</f>
        <v>-1816.067500000001</v>
      </c>
      <c r="U482" s="40">
        <f>Tabela1[[#This Row],[Total 2019]]/Tabela1[[#This Row],[Meta]]</f>
        <v>0.14571518</v>
      </c>
      <c r="V482" s="17">
        <f>IFERROR(Tabela1[[#This Row],[Total 2019]]/Tabela1[[#This Row],[Total 2018]]-1,0)</f>
        <v>-0.11081971166527249</v>
      </c>
      <c r="W48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482" s="48"/>
      <c r="Y482" s="19"/>
      <c r="Z482" s="68"/>
    </row>
    <row r="483" spans="3:26" x14ac:dyDescent="0.35">
      <c r="C483" s="11" t="s">
        <v>2703</v>
      </c>
      <c r="D483" s="12" t="s">
        <v>2699</v>
      </c>
      <c r="E483" s="12">
        <v>466</v>
      </c>
      <c r="F483" s="13" t="s">
        <v>1913</v>
      </c>
      <c r="G483" s="14">
        <v>2</v>
      </c>
      <c r="H483" s="14" t="s">
        <v>1371</v>
      </c>
      <c r="I483" s="13">
        <v>31</v>
      </c>
      <c r="J483" s="15" t="s">
        <v>1430</v>
      </c>
      <c r="K483" s="15" t="s">
        <v>2707</v>
      </c>
      <c r="L483" s="16">
        <v>4281.3744999999999</v>
      </c>
      <c r="M483" s="16">
        <v>4007.4324999999994</v>
      </c>
      <c r="N483" s="16"/>
      <c r="O483" s="16">
        <v>6002.518</v>
      </c>
      <c r="P483" s="16">
        <v>2657.7674999999999</v>
      </c>
      <c r="Q483" s="16">
        <f>SUM(Tabela1[[#This Row],[201805]:[201807]])</f>
        <v>8288.8069999999989</v>
      </c>
      <c r="R483" s="16">
        <f>SUM(Tabela1[[#This Row],[201905]:[201906]])</f>
        <v>8660.2855</v>
      </c>
      <c r="S483" s="16">
        <v>100000</v>
      </c>
      <c r="T483" s="16">
        <f>Tabela1[[#This Row],[Total 2019]]-Tabela1[[#This Row],[Total 2018]]</f>
        <v>371.47850000000108</v>
      </c>
      <c r="U483" s="40">
        <f>Tabela1[[#This Row],[Total 2019]]/Tabela1[[#This Row],[Meta]]</f>
        <v>8.6602855000000006E-2</v>
      </c>
      <c r="V483" s="17">
        <f>IFERROR(Tabela1[[#This Row],[Total 2019]]/Tabela1[[#This Row],[Total 2018]]-1,0)</f>
        <v>4.4816883780742112E-2</v>
      </c>
      <c r="W48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483" s="48"/>
      <c r="Y483" s="19"/>
      <c r="Z483" s="68"/>
    </row>
    <row r="484" spans="3:26" x14ac:dyDescent="0.35">
      <c r="C484" s="11" t="s">
        <v>2704</v>
      </c>
      <c r="D484" s="12" t="s">
        <v>2699</v>
      </c>
      <c r="E484" s="12">
        <v>467</v>
      </c>
      <c r="F484" s="13" t="s">
        <v>1914</v>
      </c>
      <c r="G484" s="14">
        <v>3</v>
      </c>
      <c r="H484" s="14" t="s">
        <v>1372</v>
      </c>
      <c r="I484" s="13">
        <v>10</v>
      </c>
      <c r="J484" s="15" t="s">
        <v>1409</v>
      </c>
      <c r="K484" s="15" t="s">
        <v>2708</v>
      </c>
      <c r="L484" s="16">
        <v>2537.3739999999998</v>
      </c>
      <c r="M484" s="16">
        <v>3107.1554999999998</v>
      </c>
      <c r="N484" s="16">
        <v>2228.0634999999997</v>
      </c>
      <c r="O484" s="16">
        <v>613.38649999999996</v>
      </c>
      <c r="P484" s="16">
        <v>3383.5105000000003</v>
      </c>
      <c r="Q484" s="16">
        <f>SUM(Tabela1[[#This Row],[201805]:[201807]])</f>
        <v>7872.5929999999989</v>
      </c>
      <c r="R484" s="16">
        <f>SUM(Tabela1[[#This Row],[201905]:[201906]])</f>
        <v>3996.8970000000004</v>
      </c>
      <c r="S484" s="16">
        <v>100000</v>
      </c>
      <c r="T484" s="16">
        <f>Tabela1[[#This Row],[Total 2019]]-Tabela1[[#This Row],[Total 2018]]</f>
        <v>-3875.6959999999985</v>
      </c>
      <c r="U484" s="40">
        <f>Tabela1[[#This Row],[Total 2019]]/Tabela1[[#This Row],[Meta]]</f>
        <v>3.9968970000000006E-2</v>
      </c>
      <c r="V484" s="17">
        <f>IFERROR(Tabela1[[#This Row],[Total 2019]]/Tabela1[[#This Row],[Total 2018]]-1,0)</f>
        <v>-0.49230234561852737</v>
      </c>
      <c r="W48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484" s="48"/>
      <c r="Y484" s="19"/>
      <c r="Z484" s="68"/>
    </row>
    <row r="485" spans="3:26" x14ac:dyDescent="0.35">
      <c r="C485" s="11" t="s">
        <v>2702</v>
      </c>
      <c r="D485" s="12" t="s">
        <v>2699</v>
      </c>
      <c r="E485" s="12">
        <v>468</v>
      </c>
      <c r="F485" s="13" t="s">
        <v>1915</v>
      </c>
      <c r="G485" s="14">
        <v>1</v>
      </c>
      <c r="H485" s="14" t="s">
        <v>1372</v>
      </c>
      <c r="I485" s="13">
        <v>25</v>
      </c>
      <c r="J485" s="15" t="s">
        <v>1424</v>
      </c>
      <c r="K485" s="15" t="s">
        <v>2708</v>
      </c>
      <c r="L485" s="16"/>
      <c r="M485" s="16">
        <v>1313.7359999999999</v>
      </c>
      <c r="N485" s="16"/>
      <c r="O485" s="16"/>
      <c r="P485" s="16"/>
      <c r="Q485" s="16">
        <f>SUM(Tabela1[[#This Row],[201805]:[201807]])</f>
        <v>1313.7359999999999</v>
      </c>
      <c r="R485" s="16">
        <f>SUM(Tabela1[[#This Row],[201905]:[201906]])</f>
        <v>0</v>
      </c>
      <c r="S485" s="16">
        <v>100000</v>
      </c>
      <c r="T485" s="16">
        <f>Tabela1[[#This Row],[Total 2019]]-Tabela1[[#This Row],[Total 2018]]</f>
        <v>-1313.7359999999999</v>
      </c>
      <c r="U485" s="40">
        <f>Tabela1[[#This Row],[Total 2019]]/Tabela1[[#This Row],[Meta]]</f>
        <v>0</v>
      </c>
      <c r="V485" s="17">
        <f>IFERROR(Tabela1[[#This Row],[Total 2019]]/Tabela1[[#This Row],[Total 2018]]-1,0)</f>
        <v>-1</v>
      </c>
      <c r="W48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85" s="48"/>
      <c r="Y485" s="19"/>
      <c r="Z485" s="68"/>
    </row>
    <row r="486" spans="3:26" x14ac:dyDescent="0.35">
      <c r="C486" s="11" t="s">
        <v>2703</v>
      </c>
      <c r="D486" s="12" t="s">
        <v>2699</v>
      </c>
      <c r="E486" s="12">
        <v>469</v>
      </c>
      <c r="F486" s="13" t="s">
        <v>1916</v>
      </c>
      <c r="G486" s="14">
        <v>2</v>
      </c>
      <c r="H486" s="14" t="s">
        <v>1372</v>
      </c>
      <c r="I486" s="13">
        <v>22</v>
      </c>
      <c r="J486" s="15" t="s">
        <v>1421</v>
      </c>
      <c r="K486" s="15" t="s">
        <v>2708</v>
      </c>
      <c r="L486" s="16"/>
      <c r="M486" s="16">
        <v>5883.8344999999999</v>
      </c>
      <c r="N486" s="16"/>
      <c r="O486" s="16">
        <v>4308.3069999999998</v>
      </c>
      <c r="P486" s="16">
        <v>3083.5004999999996</v>
      </c>
      <c r="Q486" s="16">
        <f>SUM(Tabela1[[#This Row],[201805]:[201807]])</f>
        <v>5883.8344999999999</v>
      </c>
      <c r="R486" s="16">
        <f>SUM(Tabela1[[#This Row],[201905]:[201906]])</f>
        <v>7391.807499999999</v>
      </c>
      <c r="S486" s="16">
        <v>100000</v>
      </c>
      <c r="T486" s="16">
        <f>Tabela1[[#This Row],[Total 2019]]-Tabela1[[#This Row],[Total 2018]]</f>
        <v>1507.972999999999</v>
      </c>
      <c r="U486" s="40">
        <f>Tabela1[[#This Row],[Total 2019]]/Tabela1[[#This Row],[Meta]]</f>
        <v>7.3918074999999986E-2</v>
      </c>
      <c r="V486" s="17">
        <f>IFERROR(Tabela1[[#This Row],[Total 2019]]/Tabela1[[#This Row],[Total 2018]]-1,0)</f>
        <v>0.25629085930272155</v>
      </c>
      <c r="W48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486" s="48"/>
      <c r="Y486" s="19"/>
      <c r="Z486" s="68"/>
    </row>
    <row r="487" spans="3:26" x14ac:dyDescent="0.35">
      <c r="C487" s="11" t="s">
        <v>2703</v>
      </c>
      <c r="D487" s="12" t="s">
        <v>2699</v>
      </c>
      <c r="E487" s="12">
        <v>470</v>
      </c>
      <c r="F487" s="13" t="s">
        <v>1917</v>
      </c>
      <c r="G487" s="14">
        <v>1</v>
      </c>
      <c r="H487" s="14" t="s">
        <v>1371</v>
      </c>
      <c r="I487" s="13">
        <v>5</v>
      </c>
      <c r="J487" s="15" t="s">
        <v>1404</v>
      </c>
      <c r="K487" s="15" t="s">
        <v>2707</v>
      </c>
      <c r="L487" s="16"/>
      <c r="M487" s="16">
        <v>3257.018</v>
      </c>
      <c r="N487" s="16"/>
      <c r="O487" s="16">
        <v>2114.9470000000001</v>
      </c>
      <c r="P487" s="16">
        <v>5199.9484999999995</v>
      </c>
      <c r="Q487" s="16">
        <f>SUM(Tabela1[[#This Row],[201805]:[201807]])</f>
        <v>3257.018</v>
      </c>
      <c r="R487" s="16">
        <f>SUM(Tabela1[[#This Row],[201905]:[201906]])</f>
        <v>7314.8954999999996</v>
      </c>
      <c r="S487" s="16">
        <v>100000</v>
      </c>
      <c r="T487" s="16">
        <f>Tabela1[[#This Row],[Total 2019]]-Tabela1[[#This Row],[Total 2018]]</f>
        <v>4057.8774999999996</v>
      </c>
      <c r="U487" s="40">
        <f>Tabela1[[#This Row],[Total 2019]]/Tabela1[[#This Row],[Meta]]</f>
        <v>7.3148955000000002E-2</v>
      </c>
      <c r="V487" s="17">
        <f>IFERROR(Tabela1[[#This Row],[Total 2019]]/Tabela1[[#This Row],[Total 2018]]-1,0)</f>
        <v>1.2458873423481234</v>
      </c>
      <c r="W48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487" s="48"/>
      <c r="Y487" s="19"/>
      <c r="Z487" s="68"/>
    </row>
    <row r="488" spans="3:26" x14ac:dyDescent="0.35">
      <c r="C488" s="11" t="s">
        <v>2704</v>
      </c>
      <c r="D488" s="12" t="s">
        <v>2699</v>
      </c>
      <c r="E488" s="12">
        <v>471</v>
      </c>
      <c r="F488" s="13" t="s">
        <v>1918</v>
      </c>
      <c r="G488" s="14">
        <v>1</v>
      </c>
      <c r="H488" s="14" t="s">
        <v>1372</v>
      </c>
      <c r="I488" s="13">
        <v>25</v>
      </c>
      <c r="J488" s="15" t="s">
        <v>1424</v>
      </c>
      <c r="K488" s="15" t="s">
        <v>2708</v>
      </c>
      <c r="L488" s="16"/>
      <c r="M488" s="16"/>
      <c r="N488" s="16">
        <v>8491.2520000000004</v>
      </c>
      <c r="O488" s="16"/>
      <c r="P488" s="16"/>
      <c r="Q488" s="16">
        <f>SUM(Tabela1[[#This Row],[201805]:[201807]])</f>
        <v>8491.2520000000004</v>
      </c>
      <c r="R488" s="16">
        <f>SUM(Tabela1[[#This Row],[201905]:[201906]])</f>
        <v>0</v>
      </c>
      <c r="S488" s="16">
        <v>100000</v>
      </c>
      <c r="T488" s="16">
        <f>Tabela1[[#This Row],[Total 2019]]-Tabela1[[#This Row],[Total 2018]]</f>
        <v>-8491.2520000000004</v>
      </c>
      <c r="U488" s="40">
        <f>Tabela1[[#This Row],[Total 2019]]/Tabela1[[#This Row],[Meta]]</f>
        <v>0</v>
      </c>
      <c r="V488" s="17">
        <f>IFERROR(Tabela1[[#This Row],[Total 2019]]/Tabela1[[#This Row],[Total 2018]]-1,0)</f>
        <v>-1</v>
      </c>
      <c r="W48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88" s="48"/>
      <c r="Y488" s="19"/>
      <c r="Z488" s="68"/>
    </row>
    <row r="489" spans="3:26" x14ac:dyDescent="0.35">
      <c r="C489" s="11" t="s">
        <v>2703</v>
      </c>
      <c r="D489" s="12" t="s">
        <v>2700</v>
      </c>
      <c r="E489" s="12">
        <v>472</v>
      </c>
      <c r="F489" s="13" t="s">
        <v>1919</v>
      </c>
      <c r="G489" s="14">
        <v>3</v>
      </c>
      <c r="H489" s="14" t="s">
        <v>1370</v>
      </c>
      <c r="I489" s="13">
        <v>19</v>
      </c>
      <c r="J489" s="15" t="s">
        <v>1418</v>
      </c>
      <c r="K489" s="15" t="s">
        <v>2706</v>
      </c>
      <c r="L489" s="16">
        <v>867.30250000000001</v>
      </c>
      <c r="M489" s="16">
        <v>1150.5639999999999</v>
      </c>
      <c r="N489" s="16"/>
      <c r="O489" s="16"/>
      <c r="P489" s="16"/>
      <c r="Q489" s="16">
        <f>SUM(Tabela1[[#This Row],[201805]:[201807]])</f>
        <v>2017.8664999999999</v>
      </c>
      <c r="R489" s="16">
        <f>SUM(Tabela1[[#This Row],[201905]:[201906]])</f>
        <v>0</v>
      </c>
      <c r="S489" s="16">
        <v>100000</v>
      </c>
      <c r="T489" s="16">
        <f>Tabela1[[#This Row],[Total 2019]]-Tabela1[[#This Row],[Total 2018]]</f>
        <v>-2017.8664999999999</v>
      </c>
      <c r="U489" s="40">
        <f>Tabela1[[#This Row],[Total 2019]]/Tabela1[[#This Row],[Meta]]</f>
        <v>0</v>
      </c>
      <c r="V489" s="17">
        <f>IFERROR(Tabela1[[#This Row],[Total 2019]]/Tabela1[[#This Row],[Total 2018]]-1,0)</f>
        <v>-1</v>
      </c>
      <c r="W48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89" s="48"/>
      <c r="Y489" s="19"/>
      <c r="Z489" s="68"/>
    </row>
    <row r="490" spans="3:26" x14ac:dyDescent="0.35">
      <c r="C490" s="11" t="s">
        <v>2704</v>
      </c>
      <c r="D490" s="12" t="s">
        <v>2700</v>
      </c>
      <c r="E490" s="12">
        <v>473</v>
      </c>
      <c r="F490" s="13" t="s">
        <v>1920</v>
      </c>
      <c r="G490" s="14">
        <v>3</v>
      </c>
      <c r="H490" s="14" t="s">
        <v>1371</v>
      </c>
      <c r="I490" s="13">
        <v>12</v>
      </c>
      <c r="J490" s="15" t="s">
        <v>1411</v>
      </c>
      <c r="K490" s="15" t="s">
        <v>2707</v>
      </c>
      <c r="L490" s="16">
        <v>763.48649999999998</v>
      </c>
      <c r="M490" s="16">
        <v>1840.9574999999998</v>
      </c>
      <c r="N490" s="16">
        <v>1113.8655000000001</v>
      </c>
      <c r="O490" s="16"/>
      <c r="P490" s="16"/>
      <c r="Q490" s="16">
        <f>SUM(Tabela1[[#This Row],[201805]:[201807]])</f>
        <v>3718.3094999999994</v>
      </c>
      <c r="R490" s="16">
        <f>SUM(Tabela1[[#This Row],[201905]:[201906]])</f>
        <v>0</v>
      </c>
      <c r="S490" s="16">
        <v>100000</v>
      </c>
      <c r="T490" s="16">
        <f>Tabela1[[#This Row],[Total 2019]]-Tabela1[[#This Row],[Total 2018]]</f>
        <v>-3718.3094999999994</v>
      </c>
      <c r="U490" s="40">
        <f>Tabela1[[#This Row],[Total 2019]]/Tabela1[[#This Row],[Meta]]</f>
        <v>0</v>
      </c>
      <c r="V490" s="17">
        <f>IFERROR(Tabela1[[#This Row],[Total 2019]]/Tabela1[[#This Row],[Total 2018]]-1,0)</f>
        <v>-1</v>
      </c>
      <c r="W49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90" s="48"/>
      <c r="Y490" s="19"/>
      <c r="Z490" s="68"/>
    </row>
    <row r="491" spans="3:26" x14ac:dyDescent="0.35">
      <c r="C491" s="11" t="s">
        <v>2703</v>
      </c>
      <c r="D491" s="12" t="s">
        <v>2698</v>
      </c>
      <c r="E491" s="12">
        <v>474</v>
      </c>
      <c r="F491" s="13" t="s">
        <v>1921</v>
      </c>
      <c r="G491" s="14">
        <v>1</v>
      </c>
      <c r="H491" s="14" t="s">
        <v>1372</v>
      </c>
      <c r="I491" s="13">
        <v>20</v>
      </c>
      <c r="J491" s="15" t="s">
        <v>1419</v>
      </c>
      <c r="K491" s="15" t="s">
        <v>2708</v>
      </c>
      <c r="L491" s="16">
        <v>1147.7044999999998</v>
      </c>
      <c r="M491" s="16">
        <v>4157.143</v>
      </c>
      <c r="N491" s="16">
        <v>1701.9155000000001</v>
      </c>
      <c r="O491" s="16">
        <v>4415.6665000000003</v>
      </c>
      <c r="P491" s="16"/>
      <c r="Q491" s="16">
        <f>SUM(Tabela1[[#This Row],[201805]:[201807]])</f>
        <v>7006.7629999999999</v>
      </c>
      <c r="R491" s="16">
        <f>SUM(Tabela1[[#This Row],[201905]:[201906]])</f>
        <v>4415.6665000000003</v>
      </c>
      <c r="S491" s="16">
        <v>100000</v>
      </c>
      <c r="T491" s="16">
        <f>Tabela1[[#This Row],[Total 2019]]-Tabela1[[#This Row],[Total 2018]]</f>
        <v>-2591.0964999999997</v>
      </c>
      <c r="U491" s="40">
        <f>Tabela1[[#This Row],[Total 2019]]/Tabela1[[#This Row],[Meta]]</f>
        <v>4.4156665000000005E-2</v>
      </c>
      <c r="V491" s="17">
        <f>IFERROR(Tabela1[[#This Row],[Total 2019]]/Tabela1[[#This Row],[Total 2018]]-1,0)</f>
        <v>-0.36979936384318979</v>
      </c>
      <c r="W49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491" s="48"/>
      <c r="Y491" s="19"/>
      <c r="Z491" s="68"/>
    </row>
    <row r="492" spans="3:26" x14ac:dyDescent="0.35">
      <c r="C492" s="11" t="s">
        <v>2704</v>
      </c>
      <c r="D492" s="12" t="s">
        <v>2699</v>
      </c>
      <c r="E492" s="12">
        <v>475</v>
      </c>
      <c r="F492" s="13" t="s">
        <v>1922</v>
      </c>
      <c r="G492" s="14">
        <v>1</v>
      </c>
      <c r="H492" s="14" t="s">
        <v>1370</v>
      </c>
      <c r="I492" s="13">
        <v>11</v>
      </c>
      <c r="J492" s="15" t="s">
        <v>1410</v>
      </c>
      <c r="K492" s="15" t="s">
        <v>2706</v>
      </c>
      <c r="L492" s="16">
        <v>4106.8405000000002</v>
      </c>
      <c r="M492" s="16">
        <v>2218.4210000000003</v>
      </c>
      <c r="N492" s="16">
        <v>1878.6724999999999</v>
      </c>
      <c r="O492" s="16">
        <v>11694.433500000001</v>
      </c>
      <c r="P492" s="16">
        <v>213.161</v>
      </c>
      <c r="Q492" s="16">
        <f>SUM(Tabela1[[#This Row],[201805]:[201807]])</f>
        <v>8203.9340000000011</v>
      </c>
      <c r="R492" s="16">
        <f>SUM(Tabela1[[#This Row],[201905]:[201906]])</f>
        <v>11907.594500000001</v>
      </c>
      <c r="S492" s="16">
        <v>100000</v>
      </c>
      <c r="T492" s="16">
        <f>Tabela1[[#This Row],[Total 2019]]-Tabela1[[#This Row],[Total 2018]]</f>
        <v>3703.6605</v>
      </c>
      <c r="U492" s="40">
        <f>Tabela1[[#This Row],[Total 2019]]/Tabela1[[#This Row],[Meta]]</f>
        <v>0.11907594500000002</v>
      </c>
      <c r="V492" s="17">
        <f>IFERROR(Tabela1[[#This Row],[Total 2019]]/Tabela1[[#This Row],[Total 2018]]-1,0)</f>
        <v>0.45144932906578705</v>
      </c>
      <c r="W49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492" s="48"/>
      <c r="Y492" s="19"/>
      <c r="Z492" s="68"/>
    </row>
    <row r="493" spans="3:26" x14ac:dyDescent="0.35">
      <c r="C493" s="11" t="s">
        <v>2702</v>
      </c>
      <c r="D493" s="12" t="s">
        <v>2698</v>
      </c>
      <c r="E493" s="12">
        <v>476</v>
      </c>
      <c r="F493" s="13" t="s">
        <v>1923</v>
      </c>
      <c r="G493" s="14">
        <v>3</v>
      </c>
      <c r="H493" s="14" t="s">
        <v>1370</v>
      </c>
      <c r="I493" s="13">
        <v>8</v>
      </c>
      <c r="J493" s="15" t="s">
        <v>1407</v>
      </c>
      <c r="K493" s="15" t="s">
        <v>2706</v>
      </c>
      <c r="L493" s="16">
        <v>5640.5964999999997</v>
      </c>
      <c r="M493" s="16">
        <v>3716.2289999999994</v>
      </c>
      <c r="N493" s="16"/>
      <c r="O493" s="16"/>
      <c r="P493" s="16"/>
      <c r="Q493" s="16">
        <f>SUM(Tabela1[[#This Row],[201805]:[201807]])</f>
        <v>9356.825499999999</v>
      </c>
      <c r="R493" s="16">
        <f>SUM(Tabela1[[#This Row],[201905]:[201906]])</f>
        <v>0</v>
      </c>
      <c r="S493" s="16">
        <v>100000</v>
      </c>
      <c r="T493" s="16">
        <f>Tabela1[[#This Row],[Total 2019]]-Tabela1[[#This Row],[Total 2018]]</f>
        <v>-9356.825499999999</v>
      </c>
      <c r="U493" s="40">
        <f>Tabela1[[#This Row],[Total 2019]]/Tabela1[[#This Row],[Meta]]</f>
        <v>0</v>
      </c>
      <c r="V493" s="17">
        <f>IFERROR(Tabela1[[#This Row],[Total 2019]]/Tabela1[[#This Row],[Total 2018]]-1,0)</f>
        <v>-1</v>
      </c>
      <c r="W49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93" s="48"/>
      <c r="Y493" s="19"/>
      <c r="Z493" s="68"/>
    </row>
    <row r="494" spans="3:26" x14ac:dyDescent="0.35">
      <c r="C494" s="11" t="s">
        <v>2703</v>
      </c>
      <c r="D494" s="12" t="s">
        <v>2700</v>
      </c>
      <c r="E494" s="12">
        <v>477</v>
      </c>
      <c r="F494" s="13" t="s">
        <v>1924</v>
      </c>
      <c r="G494" s="14">
        <v>3</v>
      </c>
      <c r="H494" s="14" t="s">
        <v>1371</v>
      </c>
      <c r="I494" s="13">
        <v>31</v>
      </c>
      <c r="J494" s="15" t="s">
        <v>1430</v>
      </c>
      <c r="K494" s="15" t="s">
        <v>2707</v>
      </c>
      <c r="L494" s="16">
        <v>4774.3389999999999</v>
      </c>
      <c r="M494" s="16">
        <v>8247.3964999999989</v>
      </c>
      <c r="N494" s="16"/>
      <c r="O494" s="16"/>
      <c r="P494" s="16"/>
      <c r="Q494" s="16">
        <f>SUM(Tabela1[[#This Row],[201805]:[201807]])</f>
        <v>13021.735499999999</v>
      </c>
      <c r="R494" s="16">
        <f>SUM(Tabela1[[#This Row],[201905]:[201906]])</f>
        <v>0</v>
      </c>
      <c r="S494" s="16">
        <v>100000</v>
      </c>
      <c r="T494" s="16">
        <f>Tabela1[[#This Row],[Total 2019]]-Tabela1[[#This Row],[Total 2018]]</f>
        <v>-13021.735499999999</v>
      </c>
      <c r="U494" s="40">
        <f>Tabela1[[#This Row],[Total 2019]]/Tabela1[[#This Row],[Meta]]</f>
        <v>0</v>
      </c>
      <c r="V494" s="17">
        <f>IFERROR(Tabela1[[#This Row],[Total 2019]]/Tabela1[[#This Row],[Total 2018]]-1,0)</f>
        <v>-1</v>
      </c>
      <c r="W49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94" s="48"/>
      <c r="Y494" s="19"/>
      <c r="Z494" s="68"/>
    </row>
    <row r="495" spans="3:26" x14ac:dyDescent="0.35">
      <c r="C495" s="11" t="s">
        <v>2702</v>
      </c>
      <c r="D495" s="12" t="s">
        <v>2698</v>
      </c>
      <c r="E495" s="12">
        <v>478</v>
      </c>
      <c r="F495" s="13" t="s">
        <v>1925</v>
      </c>
      <c r="G495" s="14">
        <v>3</v>
      </c>
      <c r="H495" s="14" t="s">
        <v>1370</v>
      </c>
      <c r="I495" s="13">
        <v>30</v>
      </c>
      <c r="J495" s="15" t="s">
        <v>1429</v>
      </c>
      <c r="K495" s="15" t="s">
        <v>2706</v>
      </c>
      <c r="L495" s="16"/>
      <c r="M495" s="16">
        <v>10922.1975</v>
      </c>
      <c r="N495" s="16">
        <v>6907.241</v>
      </c>
      <c r="O495" s="16"/>
      <c r="P495" s="16"/>
      <c r="Q495" s="16">
        <f>SUM(Tabela1[[#This Row],[201805]:[201807]])</f>
        <v>17829.4385</v>
      </c>
      <c r="R495" s="16">
        <f>SUM(Tabela1[[#This Row],[201905]:[201906]])</f>
        <v>0</v>
      </c>
      <c r="S495" s="16">
        <v>100000</v>
      </c>
      <c r="T495" s="16">
        <f>Tabela1[[#This Row],[Total 2019]]-Tabela1[[#This Row],[Total 2018]]</f>
        <v>-17829.4385</v>
      </c>
      <c r="U495" s="40">
        <f>Tabela1[[#This Row],[Total 2019]]/Tabela1[[#This Row],[Meta]]</f>
        <v>0</v>
      </c>
      <c r="V495" s="17">
        <f>IFERROR(Tabela1[[#This Row],[Total 2019]]/Tabela1[[#This Row],[Total 2018]]-1,0)</f>
        <v>-1</v>
      </c>
      <c r="W49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95" s="48"/>
      <c r="Y495" s="19"/>
      <c r="Z495" s="68"/>
    </row>
    <row r="496" spans="3:26" x14ac:dyDescent="0.35">
      <c r="C496" s="11" t="s">
        <v>2703</v>
      </c>
      <c r="D496" s="12" t="s">
        <v>2699</v>
      </c>
      <c r="E496" s="12">
        <v>478</v>
      </c>
      <c r="F496" s="13" t="s">
        <v>1925</v>
      </c>
      <c r="G496" s="14">
        <v>2</v>
      </c>
      <c r="H496" s="14" t="s">
        <v>1370</v>
      </c>
      <c r="I496" s="13">
        <v>30</v>
      </c>
      <c r="J496" s="15" t="s">
        <v>1429</v>
      </c>
      <c r="K496" s="15" t="s">
        <v>2706</v>
      </c>
      <c r="L496" s="16"/>
      <c r="M496" s="16"/>
      <c r="N496" s="16"/>
      <c r="O496" s="16">
        <v>14177.591</v>
      </c>
      <c r="P496" s="16">
        <v>6101.0709999999999</v>
      </c>
      <c r="Q496" s="16">
        <f>SUM(Tabela1[[#This Row],[201805]:[201807]])</f>
        <v>0</v>
      </c>
      <c r="R496" s="16">
        <f>SUM(Tabela1[[#This Row],[201905]:[201906]])</f>
        <v>20278.662</v>
      </c>
      <c r="S496" s="16">
        <v>100000</v>
      </c>
      <c r="T496" s="16">
        <f>Tabela1[[#This Row],[Total 2019]]-Tabela1[[#This Row],[Total 2018]]</f>
        <v>20278.662</v>
      </c>
      <c r="U496" s="40">
        <f>Tabela1[[#This Row],[Total 2019]]/Tabela1[[#This Row],[Meta]]</f>
        <v>0.20278662</v>
      </c>
      <c r="V496" s="17">
        <f>IFERROR(Tabela1[[#This Row],[Total 2019]]/Tabela1[[#This Row],[Total 2018]]-1,0)</f>
        <v>0</v>
      </c>
      <c r="W49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496" s="48"/>
      <c r="Y496" s="19"/>
      <c r="Z496" s="68"/>
    </row>
    <row r="497" spans="3:26" x14ac:dyDescent="0.35">
      <c r="C497" s="11" t="s">
        <v>2704</v>
      </c>
      <c r="D497" s="12" t="s">
        <v>2698</v>
      </c>
      <c r="E497" s="12">
        <v>479</v>
      </c>
      <c r="F497" s="13" t="s">
        <v>1926</v>
      </c>
      <c r="G497" s="14">
        <v>1</v>
      </c>
      <c r="H497" s="14" t="s">
        <v>1371</v>
      </c>
      <c r="I497" s="13">
        <v>31</v>
      </c>
      <c r="J497" s="15" t="s">
        <v>1430</v>
      </c>
      <c r="K497" s="15" t="s">
        <v>2707</v>
      </c>
      <c r="L497" s="16"/>
      <c r="M497" s="16">
        <v>6479.665</v>
      </c>
      <c r="N497" s="16">
        <v>1176.0430000000001</v>
      </c>
      <c r="O497" s="16"/>
      <c r="P497" s="16"/>
      <c r="Q497" s="16">
        <f>SUM(Tabela1[[#This Row],[201805]:[201807]])</f>
        <v>7655.7080000000005</v>
      </c>
      <c r="R497" s="16">
        <f>SUM(Tabela1[[#This Row],[201905]:[201906]])</f>
        <v>0</v>
      </c>
      <c r="S497" s="16">
        <v>100000</v>
      </c>
      <c r="T497" s="16">
        <f>Tabela1[[#This Row],[Total 2019]]-Tabela1[[#This Row],[Total 2018]]</f>
        <v>-7655.7080000000005</v>
      </c>
      <c r="U497" s="40">
        <f>Tabela1[[#This Row],[Total 2019]]/Tabela1[[#This Row],[Meta]]</f>
        <v>0</v>
      </c>
      <c r="V497" s="17">
        <f>IFERROR(Tabela1[[#This Row],[Total 2019]]/Tabela1[[#This Row],[Total 2018]]-1,0)</f>
        <v>-1</v>
      </c>
      <c r="W49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97" s="48"/>
      <c r="Y497" s="19"/>
      <c r="Z497" s="68"/>
    </row>
    <row r="498" spans="3:26" x14ac:dyDescent="0.35">
      <c r="C498" s="11" t="s">
        <v>2703</v>
      </c>
      <c r="D498" s="12" t="s">
        <v>2700</v>
      </c>
      <c r="E498" s="12">
        <v>480</v>
      </c>
      <c r="F498" s="13" t="s">
        <v>1927</v>
      </c>
      <c r="G498" s="14">
        <v>1</v>
      </c>
      <c r="H498" s="14" t="s">
        <v>1370</v>
      </c>
      <c r="I498" s="13">
        <v>11</v>
      </c>
      <c r="J498" s="15" t="s">
        <v>1410</v>
      </c>
      <c r="K498" s="15" t="s">
        <v>2706</v>
      </c>
      <c r="L498" s="16">
        <v>2802.4619999999995</v>
      </c>
      <c r="M498" s="16">
        <v>7758.0134999999991</v>
      </c>
      <c r="N498" s="16">
        <v>2273.1410000000001</v>
      </c>
      <c r="O498" s="16">
        <v>14793.200499999997</v>
      </c>
      <c r="P498" s="16"/>
      <c r="Q498" s="16">
        <f>SUM(Tabela1[[#This Row],[201805]:[201807]])</f>
        <v>12833.616499999998</v>
      </c>
      <c r="R498" s="16">
        <f>SUM(Tabela1[[#This Row],[201905]:[201906]])</f>
        <v>14793.200499999997</v>
      </c>
      <c r="S498" s="16">
        <v>100000</v>
      </c>
      <c r="T498" s="16">
        <f>Tabela1[[#This Row],[Total 2019]]-Tabela1[[#This Row],[Total 2018]]</f>
        <v>1959.5839999999989</v>
      </c>
      <c r="U498" s="40">
        <f>Tabela1[[#This Row],[Total 2019]]/Tabela1[[#This Row],[Meta]]</f>
        <v>0.14793200499999998</v>
      </c>
      <c r="V498" s="17">
        <f>IFERROR(Tabela1[[#This Row],[Total 2019]]/Tabela1[[#This Row],[Total 2018]]-1,0)</f>
        <v>0.15269148801508914</v>
      </c>
      <c r="W49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498" s="48"/>
      <c r="Y498" s="19"/>
      <c r="Z498" s="68"/>
    </row>
    <row r="499" spans="3:26" x14ac:dyDescent="0.35">
      <c r="C499" s="11" t="s">
        <v>2703</v>
      </c>
      <c r="D499" s="12" t="s">
        <v>2698</v>
      </c>
      <c r="E499" s="12">
        <v>481</v>
      </c>
      <c r="F499" s="13" t="s">
        <v>1928</v>
      </c>
      <c r="G499" s="14">
        <v>2</v>
      </c>
      <c r="H499" s="14" t="s">
        <v>1371</v>
      </c>
      <c r="I499" s="13">
        <v>26</v>
      </c>
      <c r="J499" s="15" t="s">
        <v>1425</v>
      </c>
      <c r="K499" s="15" t="s">
        <v>2707</v>
      </c>
      <c r="L499" s="16">
        <v>3156.3179999999998</v>
      </c>
      <c r="M499" s="16">
        <v>3949.8339999999998</v>
      </c>
      <c r="N499" s="16"/>
      <c r="O499" s="16"/>
      <c r="P499" s="16"/>
      <c r="Q499" s="16">
        <f>SUM(Tabela1[[#This Row],[201805]:[201807]])</f>
        <v>7106.152</v>
      </c>
      <c r="R499" s="16">
        <f>SUM(Tabela1[[#This Row],[201905]:[201906]])</f>
        <v>0</v>
      </c>
      <c r="S499" s="16">
        <v>100000</v>
      </c>
      <c r="T499" s="16">
        <f>Tabela1[[#This Row],[Total 2019]]-Tabela1[[#This Row],[Total 2018]]</f>
        <v>-7106.152</v>
      </c>
      <c r="U499" s="40">
        <f>Tabela1[[#This Row],[Total 2019]]/Tabela1[[#This Row],[Meta]]</f>
        <v>0</v>
      </c>
      <c r="V499" s="17">
        <f>IFERROR(Tabela1[[#This Row],[Total 2019]]/Tabela1[[#This Row],[Total 2018]]-1,0)</f>
        <v>-1</v>
      </c>
      <c r="W49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499" s="48"/>
      <c r="Y499" s="19"/>
      <c r="Z499" s="68"/>
    </row>
    <row r="500" spans="3:26" x14ac:dyDescent="0.35">
      <c r="C500" s="11" t="s">
        <v>2704</v>
      </c>
      <c r="D500" s="12" t="s">
        <v>2700</v>
      </c>
      <c r="E500" s="12">
        <v>482</v>
      </c>
      <c r="F500" s="13" t="s">
        <v>1929</v>
      </c>
      <c r="G500" s="14">
        <v>1</v>
      </c>
      <c r="H500" s="14" t="s">
        <v>1370</v>
      </c>
      <c r="I500" s="13">
        <v>1</v>
      </c>
      <c r="J500" s="15" t="s">
        <v>1400</v>
      </c>
      <c r="K500" s="15" t="s">
        <v>2706</v>
      </c>
      <c r="L500" s="16">
        <v>2607.2939999999999</v>
      </c>
      <c r="M500" s="16">
        <v>7917.6229999999996</v>
      </c>
      <c r="N500" s="16">
        <v>1090.2579999999998</v>
      </c>
      <c r="O500" s="16"/>
      <c r="P500" s="16"/>
      <c r="Q500" s="16">
        <f>SUM(Tabela1[[#This Row],[201805]:[201807]])</f>
        <v>11615.174999999999</v>
      </c>
      <c r="R500" s="16">
        <f>SUM(Tabela1[[#This Row],[201905]:[201906]])</f>
        <v>0</v>
      </c>
      <c r="S500" s="16">
        <v>100000</v>
      </c>
      <c r="T500" s="16">
        <f>Tabela1[[#This Row],[Total 2019]]-Tabela1[[#This Row],[Total 2018]]</f>
        <v>-11615.174999999999</v>
      </c>
      <c r="U500" s="40">
        <f>Tabela1[[#This Row],[Total 2019]]/Tabela1[[#This Row],[Meta]]</f>
        <v>0</v>
      </c>
      <c r="V500" s="17">
        <f>IFERROR(Tabela1[[#This Row],[Total 2019]]/Tabela1[[#This Row],[Total 2018]]-1,0)</f>
        <v>-1</v>
      </c>
      <c r="W50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00" s="48"/>
      <c r="Y500" s="19"/>
      <c r="Z500" s="68"/>
    </row>
    <row r="501" spans="3:26" x14ac:dyDescent="0.35">
      <c r="C501" s="11" t="s">
        <v>2703</v>
      </c>
      <c r="D501" s="12" t="s">
        <v>2698</v>
      </c>
      <c r="E501" s="12">
        <v>483</v>
      </c>
      <c r="F501" s="13" t="s">
        <v>1930</v>
      </c>
      <c r="G501" s="14">
        <v>2</v>
      </c>
      <c r="H501" s="14" t="s">
        <v>1372</v>
      </c>
      <c r="I501" s="13">
        <v>25</v>
      </c>
      <c r="J501" s="15" t="s">
        <v>1424</v>
      </c>
      <c r="K501" s="15" t="s">
        <v>2708</v>
      </c>
      <c r="L501" s="16">
        <v>2151.4935</v>
      </c>
      <c r="M501" s="16">
        <v>10578.8675</v>
      </c>
      <c r="N501" s="16">
        <v>1751.8854999999999</v>
      </c>
      <c r="O501" s="16">
        <v>7848.4914999999992</v>
      </c>
      <c r="P501" s="16">
        <v>5229.9494999999997</v>
      </c>
      <c r="Q501" s="16">
        <f>SUM(Tabela1[[#This Row],[201805]:[201807]])</f>
        <v>14482.246500000001</v>
      </c>
      <c r="R501" s="16">
        <f>SUM(Tabela1[[#This Row],[201905]:[201906]])</f>
        <v>13078.440999999999</v>
      </c>
      <c r="S501" s="16">
        <v>100000</v>
      </c>
      <c r="T501" s="16">
        <f>Tabela1[[#This Row],[Total 2019]]-Tabela1[[#This Row],[Total 2018]]</f>
        <v>-1403.8055000000022</v>
      </c>
      <c r="U501" s="40">
        <f>Tabela1[[#This Row],[Total 2019]]/Tabela1[[#This Row],[Meta]]</f>
        <v>0.13078440999999999</v>
      </c>
      <c r="V501" s="17">
        <f>IFERROR(Tabela1[[#This Row],[Total 2019]]/Tabela1[[#This Row],[Total 2018]]-1,0)</f>
        <v>-9.6932854995942952E-2</v>
      </c>
      <c r="W50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501" s="48"/>
      <c r="Y501" s="19"/>
      <c r="Z501" s="68"/>
    </row>
    <row r="502" spans="3:26" x14ac:dyDescent="0.35">
      <c r="C502" s="11" t="s">
        <v>2704</v>
      </c>
      <c r="D502" s="12" t="s">
        <v>2700</v>
      </c>
      <c r="E502" s="12">
        <v>484</v>
      </c>
      <c r="F502" s="13" t="s">
        <v>1931</v>
      </c>
      <c r="G502" s="14">
        <v>1</v>
      </c>
      <c r="H502" s="14" t="s">
        <v>1372</v>
      </c>
      <c r="I502" s="13">
        <v>18</v>
      </c>
      <c r="J502" s="15" t="s">
        <v>1417</v>
      </c>
      <c r="K502" s="15" t="s">
        <v>2708</v>
      </c>
      <c r="L502" s="16">
        <v>5327.4384999999993</v>
      </c>
      <c r="M502" s="16">
        <v>7557.6109999999999</v>
      </c>
      <c r="N502" s="16">
        <v>2773.3634999999999</v>
      </c>
      <c r="O502" s="16">
        <v>13220.7415</v>
      </c>
      <c r="P502" s="16">
        <v>7487.4819999999991</v>
      </c>
      <c r="Q502" s="16">
        <f>SUM(Tabela1[[#This Row],[201805]:[201807]])</f>
        <v>15658.412999999999</v>
      </c>
      <c r="R502" s="16">
        <f>SUM(Tabela1[[#This Row],[201905]:[201906]])</f>
        <v>20708.2235</v>
      </c>
      <c r="S502" s="16">
        <v>100000</v>
      </c>
      <c r="T502" s="16">
        <f>Tabela1[[#This Row],[Total 2019]]-Tabela1[[#This Row],[Total 2018]]</f>
        <v>5049.8105000000014</v>
      </c>
      <c r="U502" s="40">
        <f>Tabela1[[#This Row],[Total 2019]]/Tabela1[[#This Row],[Meta]]</f>
        <v>0.207082235</v>
      </c>
      <c r="V502" s="17">
        <f>IFERROR(Tabela1[[#This Row],[Total 2019]]/Tabela1[[#This Row],[Total 2018]]-1,0)</f>
        <v>0.32249823146189849</v>
      </c>
      <c r="W50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502" s="48"/>
      <c r="Y502" s="19"/>
      <c r="Z502" s="68"/>
    </row>
    <row r="503" spans="3:26" x14ac:dyDescent="0.35">
      <c r="C503" s="11" t="s">
        <v>2704</v>
      </c>
      <c r="D503" s="12" t="s">
        <v>2698</v>
      </c>
      <c r="E503" s="12">
        <v>485</v>
      </c>
      <c r="F503" s="13" t="s">
        <v>1932</v>
      </c>
      <c r="G503" s="14">
        <v>3</v>
      </c>
      <c r="H503" s="14" t="s">
        <v>1370</v>
      </c>
      <c r="I503" s="13">
        <v>34</v>
      </c>
      <c r="J503" s="15" t="s">
        <v>1433</v>
      </c>
      <c r="K503" s="15" t="s">
        <v>2706</v>
      </c>
      <c r="L503" s="16">
        <v>2260.3824999999997</v>
      </c>
      <c r="M503" s="16">
        <v>8628.7929999999978</v>
      </c>
      <c r="N503" s="16">
        <v>3528.2429999999999</v>
      </c>
      <c r="O503" s="16">
        <v>6535.9620000000004</v>
      </c>
      <c r="P503" s="16">
        <v>2545.4204999999997</v>
      </c>
      <c r="Q503" s="16">
        <f>SUM(Tabela1[[#This Row],[201805]:[201807]])</f>
        <v>14417.418499999998</v>
      </c>
      <c r="R503" s="16">
        <f>SUM(Tabela1[[#This Row],[201905]:[201906]])</f>
        <v>9081.3824999999997</v>
      </c>
      <c r="S503" s="16">
        <v>100000</v>
      </c>
      <c r="T503" s="16">
        <f>Tabela1[[#This Row],[Total 2019]]-Tabela1[[#This Row],[Total 2018]]</f>
        <v>-5336.0359999999982</v>
      </c>
      <c r="U503" s="40">
        <f>Tabela1[[#This Row],[Total 2019]]/Tabela1[[#This Row],[Meta]]</f>
        <v>9.0813825000000001E-2</v>
      </c>
      <c r="V503" s="17">
        <f>IFERROR(Tabela1[[#This Row],[Total 2019]]/Tabela1[[#This Row],[Total 2018]]-1,0)</f>
        <v>-0.37011036337746583</v>
      </c>
      <c r="W50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503" s="48"/>
      <c r="Y503" s="19"/>
      <c r="Z503" s="68"/>
    </row>
    <row r="504" spans="3:26" x14ac:dyDescent="0.35">
      <c r="C504" s="11" t="s">
        <v>2702</v>
      </c>
      <c r="D504" s="12" t="s">
        <v>2699</v>
      </c>
      <c r="E504" s="12">
        <v>486</v>
      </c>
      <c r="F504" s="13" t="s">
        <v>1933</v>
      </c>
      <c r="G504" s="14">
        <v>3</v>
      </c>
      <c r="H504" s="14" t="s">
        <v>1372</v>
      </c>
      <c r="I504" s="13">
        <v>25</v>
      </c>
      <c r="J504" s="15" t="s">
        <v>1424</v>
      </c>
      <c r="K504" s="15" t="s">
        <v>2708</v>
      </c>
      <c r="L504" s="16">
        <v>5389.5590000000011</v>
      </c>
      <c r="M504" s="16">
        <v>1152.1505</v>
      </c>
      <c r="N504" s="16"/>
      <c r="O504" s="16"/>
      <c r="P504" s="16"/>
      <c r="Q504" s="16">
        <f>SUM(Tabela1[[#This Row],[201805]:[201807]])</f>
        <v>6541.7095000000008</v>
      </c>
      <c r="R504" s="16">
        <f>SUM(Tabela1[[#This Row],[201905]:[201906]])</f>
        <v>0</v>
      </c>
      <c r="S504" s="16">
        <v>100000</v>
      </c>
      <c r="T504" s="16">
        <f>Tabela1[[#This Row],[Total 2019]]-Tabela1[[#This Row],[Total 2018]]</f>
        <v>-6541.7095000000008</v>
      </c>
      <c r="U504" s="40">
        <f>Tabela1[[#This Row],[Total 2019]]/Tabela1[[#This Row],[Meta]]</f>
        <v>0</v>
      </c>
      <c r="V504" s="17">
        <f>IFERROR(Tabela1[[#This Row],[Total 2019]]/Tabela1[[#This Row],[Total 2018]]-1,0)</f>
        <v>-1</v>
      </c>
      <c r="W50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04" s="48"/>
      <c r="Y504" s="19"/>
      <c r="Z504" s="68"/>
    </row>
    <row r="505" spans="3:26" x14ac:dyDescent="0.35">
      <c r="C505" s="11" t="s">
        <v>2702</v>
      </c>
      <c r="D505" s="12" t="s">
        <v>2698</v>
      </c>
      <c r="E505" s="12">
        <v>487</v>
      </c>
      <c r="F505" s="13" t="s">
        <v>1934</v>
      </c>
      <c r="G505" s="14">
        <v>2</v>
      </c>
      <c r="H505" s="14" t="s">
        <v>1372</v>
      </c>
      <c r="I505" s="13">
        <v>22</v>
      </c>
      <c r="J505" s="15" t="s">
        <v>1421</v>
      </c>
      <c r="K505" s="15" t="s">
        <v>2708</v>
      </c>
      <c r="L505" s="16"/>
      <c r="M505" s="16">
        <v>2455.94</v>
      </c>
      <c r="N505" s="16"/>
      <c r="O505" s="16">
        <v>3870.8985000000002</v>
      </c>
      <c r="P505" s="16"/>
      <c r="Q505" s="16">
        <f>SUM(Tabela1[[#This Row],[201805]:[201807]])</f>
        <v>2455.94</v>
      </c>
      <c r="R505" s="16">
        <f>SUM(Tabela1[[#This Row],[201905]:[201906]])</f>
        <v>3870.8985000000002</v>
      </c>
      <c r="S505" s="16">
        <v>100000</v>
      </c>
      <c r="T505" s="16">
        <f>Tabela1[[#This Row],[Total 2019]]-Tabela1[[#This Row],[Total 2018]]</f>
        <v>1414.9585000000002</v>
      </c>
      <c r="U505" s="40">
        <f>Tabela1[[#This Row],[Total 2019]]/Tabela1[[#This Row],[Meta]]</f>
        <v>3.8708985000000001E-2</v>
      </c>
      <c r="V505" s="17">
        <f>IFERROR(Tabela1[[#This Row],[Total 2019]]/Tabela1[[#This Row],[Total 2018]]-1,0)</f>
        <v>0.57613724276651723</v>
      </c>
      <c r="W50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505" s="48"/>
      <c r="Y505" s="19"/>
      <c r="Z505" s="68"/>
    </row>
    <row r="506" spans="3:26" x14ac:dyDescent="0.35">
      <c r="C506" s="11" t="s">
        <v>2704</v>
      </c>
      <c r="D506" s="12" t="s">
        <v>2699</v>
      </c>
      <c r="E506" s="12">
        <v>488</v>
      </c>
      <c r="F506" s="13" t="s">
        <v>1935</v>
      </c>
      <c r="G506" s="14">
        <v>1</v>
      </c>
      <c r="H506" s="14" t="s">
        <v>1370</v>
      </c>
      <c r="I506" s="13">
        <v>3</v>
      </c>
      <c r="J506" s="15" t="s">
        <v>1402</v>
      </c>
      <c r="K506" s="15" t="s">
        <v>2706</v>
      </c>
      <c r="L506" s="16">
        <v>5388.4</v>
      </c>
      <c r="M506" s="16">
        <v>9236.0329999999994</v>
      </c>
      <c r="N506" s="16"/>
      <c r="O506" s="16"/>
      <c r="P506" s="16"/>
      <c r="Q506" s="16">
        <f>SUM(Tabela1[[#This Row],[201805]:[201807]])</f>
        <v>14624.432999999999</v>
      </c>
      <c r="R506" s="16">
        <f>SUM(Tabela1[[#This Row],[201905]:[201906]])</f>
        <v>0</v>
      </c>
      <c r="S506" s="16">
        <v>100000</v>
      </c>
      <c r="T506" s="16">
        <f>Tabela1[[#This Row],[Total 2019]]-Tabela1[[#This Row],[Total 2018]]</f>
        <v>-14624.432999999999</v>
      </c>
      <c r="U506" s="40">
        <f>Tabela1[[#This Row],[Total 2019]]/Tabela1[[#This Row],[Meta]]</f>
        <v>0</v>
      </c>
      <c r="V506" s="17">
        <f>IFERROR(Tabela1[[#This Row],[Total 2019]]/Tabela1[[#This Row],[Total 2018]]-1,0)</f>
        <v>-1</v>
      </c>
      <c r="W50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06" s="48"/>
      <c r="Y506" s="19"/>
      <c r="Z506" s="68"/>
    </row>
    <row r="507" spans="3:26" x14ac:dyDescent="0.35">
      <c r="C507" s="11" t="s">
        <v>2702</v>
      </c>
      <c r="D507" s="12" t="s">
        <v>2699</v>
      </c>
      <c r="E507" s="12">
        <v>489</v>
      </c>
      <c r="F507" s="13" t="s">
        <v>1936</v>
      </c>
      <c r="G507" s="14">
        <v>1</v>
      </c>
      <c r="H507" s="14" t="s">
        <v>1372</v>
      </c>
      <c r="I507" s="13">
        <v>23</v>
      </c>
      <c r="J507" s="15" t="s">
        <v>1422</v>
      </c>
      <c r="K507" s="15" t="s">
        <v>2708</v>
      </c>
      <c r="L507" s="16"/>
      <c r="M507" s="16"/>
      <c r="N507" s="16"/>
      <c r="O507" s="16">
        <v>3431.2290000000003</v>
      </c>
      <c r="P507" s="16">
        <v>2539.5874999999996</v>
      </c>
      <c r="Q507" s="16">
        <f>SUM(Tabela1[[#This Row],[201805]:[201807]])</f>
        <v>0</v>
      </c>
      <c r="R507" s="16">
        <f>SUM(Tabela1[[#This Row],[201905]:[201906]])</f>
        <v>5970.8164999999999</v>
      </c>
      <c r="S507" s="16">
        <v>100000</v>
      </c>
      <c r="T507" s="16">
        <f>Tabela1[[#This Row],[Total 2019]]-Tabela1[[#This Row],[Total 2018]]</f>
        <v>5970.8164999999999</v>
      </c>
      <c r="U507" s="40">
        <f>Tabela1[[#This Row],[Total 2019]]/Tabela1[[#This Row],[Meta]]</f>
        <v>5.9708165000000001E-2</v>
      </c>
      <c r="V507" s="17">
        <f>IFERROR(Tabela1[[#This Row],[Total 2019]]/Tabela1[[#This Row],[Total 2018]]-1,0)</f>
        <v>0</v>
      </c>
      <c r="W50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507" s="48"/>
      <c r="Y507" s="19"/>
      <c r="Z507" s="68"/>
    </row>
    <row r="508" spans="3:26" x14ac:dyDescent="0.35">
      <c r="C508" s="11" t="s">
        <v>2703</v>
      </c>
      <c r="D508" s="12" t="s">
        <v>2698</v>
      </c>
      <c r="E508" s="12">
        <v>490</v>
      </c>
      <c r="F508" s="13" t="s">
        <v>1937</v>
      </c>
      <c r="G508" s="14">
        <v>3</v>
      </c>
      <c r="H508" s="14" t="s">
        <v>1370</v>
      </c>
      <c r="I508" s="13">
        <v>30</v>
      </c>
      <c r="J508" s="15" t="s">
        <v>1429</v>
      </c>
      <c r="K508" s="15" t="s">
        <v>2706</v>
      </c>
      <c r="L508" s="16"/>
      <c r="M508" s="16">
        <v>6533.3209999999999</v>
      </c>
      <c r="N508" s="16">
        <v>3297.0604999999996</v>
      </c>
      <c r="O508" s="16"/>
      <c r="P508" s="16"/>
      <c r="Q508" s="16">
        <f>SUM(Tabela1[[#This Row],[201805]:[201807]])</f>
        <v>9830.3814999999995</v>
      </c>
      <c r="R508" s="16">
        <f>SUM(Tabela1[[#This Row],[201905]:[201906]])</f>
        <v>0</v>
      </c>
      <c r="S508" s="16">
        <v>100000</v>
      </c>
      <c r="T508" s="16">
        <f>Tabela1[[#This Row],[Total 2019]]-Tabela1[[#This Row],[Total 2018]]</f>
        <v>-9830.3814999999995</v>
      </c>
      <c r="U508" s="40">
        <f>Tabela1[[#This Row],[Total 2019]]/Tabela1[[#This Row],[Meta]]</f>
        <v>0</v>
      </c>
      <c r="V508" s="17">
        <f>IFERROR(Tabela1[[#This Row],[Total 2019]]/Tabela1[[#This Row],[Total 2018]]-1,0)</f>
        <v>-1</v>
      </c>
      <c r="W50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08" s="48"/>
      <c r="Y508" s="19"/>
      <c r="Z508" s="68"/>
    </row>
    <row r="509" spans="3:26" x14ac:dyDescent="0.35">
      <c r="C509" s="11" t="s">
        <v>2703</v>
      </c>
      <c r="D509" s="12" t="s">
        <v>2699</v>
      </c>
      <c r="E509" s="12">
        <v>491</v>
      </c>
      <c r="F509" s="13" t="s">
        <v>1938</v>
      </c>
      <c r="G509" s="14">
        <v>1</v>
      </c>
      <c r="H509" s="14" t="s">
        <v>1372</v>
      </c>
      <c r="I509" s="13">
        <v>22</v>
      </c>
      <c r="J509" s="15" t="s">
        <v>1421</v>
      </c>
      <c r="K509" s="15" t="s">
        <v>2708</v>
      </c>
      <c r="L509" s="16">
        <v>1333.4199999999998</v>
      </c>
      <c r="M509" s="16">
        <v>3048.9014999999999</v>
      </c>
      <c r="N509" s="16"/>
      <c r="O509" s="16"/>
      <c r="P509" s="16"/>
      <c r="Q509" s="16">
        <f>SUM(Tabela1[[#This Row],[201805]:[201807]])</f>
        <v>4382.3215</v>
      </c>
      <c r="R509" s="16">
        <f>SUM(Tabela1[[#This Row],[201905]:[201906]])</f>
        <v>0</v>
      </c>
      <c r="S509" s="16">
        <v>100000</v>
      </c>
      <c r="T509" s="16">
        <f>Tabela1[[#This Row],[Total 2019]]-Tabela1[[#This Row],[Total 2018]]</f>
        <v>-4382.3215</v>
      </c>
      <c r="U509" s="40">
        <f>Tabela1[[#This Row],[Total 2019]]/Tabela1[[#This Row],[Meta]]</f>
        <v>0</v>
      </c>
      <c r="V509" s="17">
        <f>IFERROR(Tabela1[[#This Row],[Total 2019]]/Tabela1[[#This Row],[Total 2018]]-1,0)</f>
        <v>-1</v>
      </c>
      <c r="W50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09" s="48"/>
      <c r="Y509" s="19"/>
      <c r="Z509" s="68"/>
    </row>
    <row r="510" spans="3:26" x14ac:dyDescent="0.35">
      <c r="C510" s="11" t="s">
        <v>2703</v>
      </c>
      <c r="D510" s="12" t="s">
        <v>2700</v>
      </c>
      <c r="E510" s="12">
        <v>492</v>
      </c>
      <c r="F510" s="13" t="s">
        <v>1939</v>
      </c>
      <c r="G510" s="14">
        <v>3</v>
      </c>
      <c r="H510" s="14" t="s">
        <v>1372</v>
      </c>
      <c r="I510" s="13">
        <v>22</v>
      </c>
      <c r="J510" s="15" t="s">
        <v>1421</v>
      </c>
      <c r="K510" s="15" t="s">
        <v>2708</v>
      </c>
      <c r="L510" s="16">
        <v>3889.0434999999998</v>
      </c>
      <c r="M510" s="16">
        <v>7607.2389999999987</v>
      </c>
      <c r="N510" s="16">
        <v>1873.4855000000002</v>
      </c>
      <c r="O510" s="16">
        <v>11983.309499999999</v>
      </c>
      <c r="P510" s="16">
        <v>5388.951</v>
      </c>
      <c r="Q510" s="16">
        <f>SUM(Tabela1[[#This Row],[201805]:[201807]])</f>
        <v>13369.767999999998</v>
      </c>
      <c r="R510" s="16">
        <f>SUM(Tabela1[[#This Row],[201905]:[201906]])</f>
        <v>17372.2605</v>
      </c>
      <c r="S510" s="16">
        <v>100000</v>
      </c>
      <c r="T510" s="16">
        <f>Tabela1[[#This Row],[Total 2019]]-Tabela1[[#This Row],[Total 2018]]</f>
        <v>4002.4925000000021</v>
      </c>
      <c r="U510" s="40">
        <f>Tabela1[[#This Row],[Total 2019]]/Tabela1[[#This Row],[Meta]]</f>
        <v>0.173722605</v>
      </c>
      <c r="V510" s="17">
        <f>IFERROR(Tabela1[[#This Row],[Total 2019]]/Tabela1[[#This Row],[Total 2018]]-1,0)</f>
        <v>0.29936888209279333</v>
      </c>
      <c r="W51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510" s="48"/>
      <c r="Y510" s="19"/>
      <c r="Z510" s="68"/>
    </row>
    <row r="511" spans="3:26" x14ac:dyDescent="0.35">
      <c r="C511" s="11" t="s">
        <v>2704</v>
      </c>
      <c r="D511" s="12" t="s">
        <v>2698</v>
      </c>
      <c r="E511" s="12">
        <v>493</v>
      </c>
      <c r="F511" s="13" t="s">
        <v>1940</v>
      </c>
      <c r="G511" s="14">
        <v>1</v>
      </c>
      <c r="H511" s="14" t="s">
        <v>1370</v>
      </c>
      <c r="I511" s="13">
        <v>3</v>
      </c>
      <c r="J511" s="15" t="s">
        <v>1402</v>
      </c>
      <c r="K511" s="15" t="s">
        <v>2706</v>
      </c>
      <c r="L511" s="16"/>
      <c r="M511" s="16">
        <v>6380.58</v>
      </c>
      <c r="N511" s="16"/>
      <c r="O511" s="16"/>
      <c r="P511" s="16"/>
      <c r="Q511" s="16">
        <f>SUM(Tabela1[[#This Row],[201805]:[201807]])</f>
        <v>6380.58</v>
      </c>
      <c r="R511" s="16">
        <f>SUM(Tabela1[[#This Row],[201905]:[201906]])</f>
        <v>0</v>
      </c>
      <c r="S511" s="16">
        <v>100000</v>
      </c>
      <c r="T511" s="16">
        <f>Tabela1[[#This Row],[Total 2019]]-Tabela1[[#This Row],[Total 2018]]</f>
        <v>-6380.58</v>
      </c>
      <c r="U511" s="40">
        <f>Tabela1[[#This Row],[Total 2019]]/Tabela1[[#This Row],[Meta]]</f>
        <v>0</v>
      </c>
      <c r="V511" s="17">
        <f>IFERROR(Tabela1[[#This Row],[Total 2019]]/Tabela1[[#This Row],[Total 2018]]-1,0)</f>
        <v>-1</v>
      </c>
      <c r="W51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11" s="48"/>
      <c r="Y511" s="19"/>
      <c r="Z511" s="68"/>
    </row>
    <row r="512" spans="3:26" x14ac:dyDescent="0.35">
      <c r="C512" s="11" t="s">
        <v>2702</v>
      </c>
      <c r="D512" s="12" t="s">
        <v>2700</v>
      </c>
      <c r="E512" s="12">
        <v>494</v>
      </c>
      <c r="F512" s="13" t="s">
        <v>1941</v>
      </c>
      <c r="G512" s="14">
        <v>3</v>
      </c>
      <c r="H512" s="14" t="s">
        <v>1370</v>
      </c>
      <c r="I512" s="13">
        <v>29</v>
      </c>
      <c r="J512" s="15" t="s">
        <v>1428</v>
      </c>
      <c r="K512" s="15" t="s">
        <v>2706</v>
      </c>
      <c r="L512" s="16">
        <v>2013.0405000000001</v>
      </c>
      <c r="M512" s="16">
        <v>3683.8624999999997</v>
      </c>
      <c r="N512" s="16"/>
      <c r="O512" s="16"/>
      <c r="P512" s="16">
        <v>261.51599999999996</v>
      </c>
      <c r="Q512" s="16">
        <f>SUM(Tabela1[[#This Row],[201805]:[201807]])</f>
        <v>5696.9030000000002</v>
      </c>
      <c r="R512" s="16">
        <f>SUM(Tabela1[[#This Row],[201905]:[201906]])</f>
        <v>261.51599999999996</v>
      </c>
      <c r="S512" s="16">
        <v>100000</v>
      </c>
      <c r="T512" s="16">
        <f>Tabela1[[#This Row],[Total 2019]]-Tabela1[[#This Row],[Total 2018]]</f>
        <v>-5435.3870000000006</v>
      </c>
      <c r="U512" s="40">
        <f>Tabela1[[#This Row],[Total 2019]]/Tabela1[[#This Row],[Meta]]</f>
        <v>2.6151599999999996E-3</v>
      </c>
      <c r="V512" s="17">
        <f>IFERROR(Tabela1[[#This Row],[Total 2019]]/Tabela1[[#This Row],[Total 2018]]-1,0)</f>
        <v>-0.95409505831501784</v>
      </c>
      <c r="W51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512" s="48"/>
      <c r="Y512" s="19"/>
      <c r="Z512" s="68"/>
    </row>
    <row r="513" spans="3:26" x14ac:dyDescent="0.35">
      <c r="C513" s="11" t="s">
        <v>2704</v>
      </c>
      <c r="D513" s="12" t="s">
        <v>2700</v>
      </c>
      <c r="E513" s="12">
        <v>495</v>
      </c>
      <c r="F513" s="13" t="s">
        <v>1942</v>
      </c>
      <c r="G513" s="14">
        <v>1</v>
      </c>
      <c r="H513" s="14" t="s">
        <v>1371</v>
      </c>
      <c r="I513" s="13">
        <v>26</v>
      </c>
      <c r="J513" s="15" t="s">
        <v>1425</v>
      </c>
      <c r="K513" s="15" t="s">
        <v>2707</v>
      </c>
      <c r="L513" s="16">
        <v>3818.2969999999996</v>
      </c>
      <c r="M513" s="16">
        <v>2721.2655</v>
      </c>
      <c r="N513" s="16"/>
      <c r="O513" s="16"/>
      <c r="P513" s="16"/>
      <c r="Q513" s="16">
        <f>SUM(Tabela1[[#This Row],[201805]:[201807]])</f>
        <v>6539.5625</v>
      </c>
      <c r="R513" s="16">
        <f>SUM(Tabela1[[#This Row],[201905]:[201906]])</f>
        <v>0</v>
      </c>
      <c r="S513" s="16">
        <v>100000</v>
      </c>
      <c r="T513" s="16">
        <f>Tabela1[[#This Row],[Total 2019]]-Tabela1[[#This Row],[Total 2018]]</f>
        <v>-6539.5625</v>
      </c>
      <c r="U513" s="40">
        <f>Tabela1[[#This Row],[Total 2019]]/Tabela1[[#This Row],[Meta]]</f>
        <v>0</v>
      </c>
      <c r="V513" s="17">
        <f>IFERROR(Tabela1[[#This Row],[Total 2019]]/Tabela1[[#This Row],[Total 2018]]-1,0)</f>
        <v>-1</v>
      </c>
      <c r="W51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13" s="48"/>
      <c r="Y513" s="19"/>
      <c r="Z513" s="68"/>
    </row>
    <row r="514" spans="3:26" x14ac:dyDescent="0.35">
      <c r="C514" s="11" t="s">
        <v>2704</v>
      </c>
      <c r="D514" s="12" t="s">
        <v>2698</v>
      </c>
      <c r="E514" s="12">
        <v>496</v>
      </c>
      <c r="F514" s="13" t="s">
        <v>1943</v>
      </c>
      <c r="G514" s="14">
        <v>2</v>
      </c>
      <c r="H514" s="14" t="s">
        <v>1370</v>
      </c>
      <c r="I514" s="13">
        <v>3</v>
      </c>
      <c r="J514" s="15" t="s">
        <v>1402</v>
      </c>
      <c r="K514" s="15" t="s">
        <v>2706</v>
      </c>
      <c r="L514" s="16">
        <v>264.79349999999999</v>
      </c>
      <c r="M514" s="16">
        <v>3507.9795000000004</v>
      </c>
      <c r="N514" s="16"/>
      <c r="O514" s="16"/>
      <c r="P514" s="16"/>
      <c r="Q514" s="16">
        <f>SUM(Tabela1[[#This Row],[201805]:[201807]])</f>
        <v>3772.7730000000001</v>
      </c>
      <c r="R514" s="16">
        <f>SUM(Tabela1[[#This Row],[201905]:[201906]])</f>
        <v>0</v>
      </c>
      <c r="S514" s="16">
        <v>100000</v>
      </c>
      <c r="T514" s="16">
        <f>Tabela1[[#This Row],[Total 2019]]-Tabela1[[#This Row],[Total 2018]]</f>
        <v>-3772.7730000000001</v>
      </c>
      <c r="U514" s="40">
        <f>Tabela1[[#This Row],[Total 2019]]/Tabela1[[#This Row],[Meta]]</f>
        <v>0</v>
      </c>
      <c r="V514" s="17">
        <f>IFERROR(Tabela1[[#This Row],[Total 2019]]/Tabela1[[#This Row],[Total 2018]]-1,0)</f>
        <v>-1</v>
      </c>
      <c r="W51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14" s="48"/>
      <c r="Y514" s="19"/>
      <c r="Z514" s="68"/>
    </row>
    <row r="515" spans="3:26" x14ac:dyDescent="0.35">
      <c r="C515" s="11" t="s">
        <v>2703</v>
      </c>
      <c r="D515" s="12" t="s">
        <v>2700</v>
      </c>
      <c r="E515" s="12">
        <v>497</v>
      </c>
      <c r="F515" s="13" t="s">
        <v>1944</v>
      </c>
      <c r="G515" s="14">
        <v>2</v>
      </c>
      <c r="H515" s="14" t="s">
        <v>1370</v>
      </c>
      <c r="I515" s="13">
        <v>11</v>
      </c>
      <c r="J515" s="15" t="s">
        <v>1410</v>
      </c>
      <c r="K515" s="15" t="s">
        <v>2706</v>
      </c>
      <c r="L515" s="16"/>
      <c r="M515" s="16">
        <v>4931.7159999999994</v>
      </c>
      <c r="N515" s="16">
        <v>3151.0455000000002</v>
      </c>
      <c r="O515" s="16">
        <v>4939.0594999999994</v>
      </c>
      <c r="P515" s="16">
        <v>3665.67</v>
      </c>
      <c r="Q515" s="16">
        <f>SUM(Tabela1[[#This Row],[201805]:[201807]])</f>
        <v>8082.7614999999996</v>
      </c>
      <c r="R515" s="16">
        <f>SUM(Tabela1[[#This Row],[201905]:[201906]])</f>
        <v>8604.7294999999995</v>
      </c>
      <c r="S515" s="16">
        <v>100000</v>
      </c>
      <c r="T515" s="16">
        <f>Tabela1[[#This Row],[Total 2019]]-Tabela1[[#This Row],[Total 2018]]</f>
        <v>521.96799999999985</v>
      </c>
      <c r="U515" s="40">
        <f>Tabela1[[#This Row],[Total 2019]]/Tabela1[[#This Row],[Meta]]</f>
        <v>8.6047294999999996E-2</v>
      </c>
      <c r="V515" s="17">
        <f>IFERROR(Tabela1[[#This Row],[Total 2019]]/Tabela1[[#This Row],[Total 2018]]-1,0)</f>
        <v>6.457792921392036E-2</v>
      </c>
      <c r="W51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515" s="48"/>
      <c r="Y515" s="19"/>
      <c r="Z515" s="68"/>
    </row>
    <row r="516" spans="3:26" x14ac:dyDescent="0.35">
      <c r="C516" s="11" t="s">
        <v>2702</v>
      </c>
      <c r="D516" s="12" t="s">
        <v>2699</v>
      </c>
      <c r="E516" s="12">
        <v>498</v>
      </c>
      <c r="F516" s="13" t="s">
        <v>1945</v>
      </c>
      <c r="G516" s="14">
        <v>3</v>
      </c>
      <c r="H516" s="14" t="s">
        <v>1371</v>
      </c>
      <c r="I516" s="13">
        <v>31</v>
      </c>
      <c r="J516" s="15" t="s">
        <v>1430</v>
      </c>
      <c r="K516" s="15" t="s">
        <v>2707</v>
      </c>
      <c r="L516" s="16">
        <v>1232.473</v>
      </c>
      <c r="M516" s="16">
        <v>2805.7204999999994</v>
      </c>
      <c r="N516" s="16"/>
      <c r="O516" s="16"/>
      <c r="P516" s="16"/>
      <c r="Q516" s="16">
        <f>SUM(Tabela1[[#This Row],[201805]:[201807]])</f>
        <v>4038.1934999999994</v>
      </c>
      <c r="R516" s="16">
        <f>SUM(Tabela1[[#This Row],[201905]:[201906]])</f>
        <v>0</v>
      </c>
      <c r="S516" s="16">
        <v>100000</v>
      </c>
      <c r="T516" s="16">
        <f>Tabela1[[#This Row],[Total 2019]]-Tabela1[[#This Row],[Total 2018]]</f>
        <v>-4038.1934999999994</v>
      </c>
      <c r="U516" s="40">
        <f>Tabela1[[#This Row],[Total 2019]]/Tabela1[[#This Row],[Meta]]</f>
        <v>0</v>
      </c>
      <c r="V516" s="17">
        <f>IFERROR(Tabela1[[#This Row],[Total 2019]]/Tabela1[[#This Row],[Total 2018]]-1,0)</f>
        <v>-1</v>
      </c>
      <c r="W51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16" s="48"/>
      <c r="Y516" s="19"/>
      <c r="Z516" s="68"/>
    </row>
    <row r="517" spans="3:26" x14ac:dyDescent="0.35">
      <c r="C517" s="11" t="s">
        <v>2704</v>
      </c>
      <c r="D517" s="12" t="s">
        <v>2699</v>
      </c>
      <c r="E517" s="12">
        <v>499</v>
      </c>
      <c r="F517" s="13" t="s">
        <v>1946</v>
      </c>
      <c r="G517" s="14">
        <v>1</v>
      </c>
      <c r="H517" s="14" t="s">
        <v>1370</v>
      </c>
      <c r="I517" s="13">
        <v>32</v>
      </c>
      <c r="J517" s="15" t="s">
        <v>1431</v>
      </c>
      <c r="K517" s="15" t="s">
        <v>2706</v>
      </c>
      <c r="L517" s="16"/>
      <c r="M517" s="16">
        <v>3786.6999999999994</v>
      </c>
      <c r="N517" s="16">
        <v>1380.8820000000001</v>
      </c>
      <c r="O517" s="16"/>
      <c r="P517" s="16"/>
      <c r="Q517" s="16">
        <f>SUM(Tabela1[[#This Row],[201805]:[201807]])</f>
        <v>5167.5819999999994</v>
      </c>
      <c r="R517" s="16">
        <f>SUM(Tabela1[[#This Row],[201905]:[201906]])</f>
        <v>0</v>
      </c>
      <c r="S517" s="16">
        <v>100000</v>
      </c>
      <c r="T517" s="16">
        <f>Tabela1[[#This Row],[Total 2019]]-Tabela1[[#This Row],[Total 2018]]</f>
        <v>-5167.5819999999994</v>
      </c>
      <c r="U517" s="40">
        <f>Tabela1[[#This Row],[Total 2019]]/Tabela1[[#This Row],[Meta]]</f>
        <v>0</v>
      </c>
      <c r="V517" s="17">
        <f>IFERROR(Tabela1[[#This Row],[Total 2019]]/Tabela1[[#This Row],[Total 2018]]-1,0)</f>
        <v>-1</v>
      </c>
      <c r="W51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17" s="48"/>
      <c r="Y517" s="19"/>
      <c r="Z517" s="68"/>
    </row>
    <row r="518" spans="3:26" x14ac:dyDescent="0.35">
      <c r="C518" s="11" t="s">
        <v>2702</v>
      </c>
      <c r="D518" s="12" t="s">
        <v>2698</v>
      </c>
      <c r="E518" s="12">
        <v>500</v>
      </c>
      <c r="F518" s="13" t="s">
        <v>1947</v>
      </c>
      <c r="G518" s="14">
        <v>1</v>
      </c>
      <c r="H518" s="14" t="s">
        <v>1371</v>
      </c>
      <c r="I518" s="13">
        <v>5</v>
      </c>
      <c r="J518" s="15" t="s">
        <v>1404</v>
      </c>
      <c r="K518" s="15" t="s">
        <v>2707</v>
      </c>
      <c r="L518" s="16">
        <v>5814.4274999999998</v>
      </c>
      <c r="M518" s="16">
        <v>5319.4205000000002</v>
      </c>
      <c r="N518" s="16"/>
      <c r="O518" s="16"/>
      <c r="P518" s="16"/>
      <c r="Q518" s="16">
        <f>SUM(Tabela1[[#This Row],[201805]:[201807]])</f>
        <v>11133.848</v>
      </c>
      <c r="R518" s="16">
        <f>SUM(Tabela1[[#This Row],[201905]:[201906]])</f>
        <v>0</v>
      </c>
      <c r="S518" s="16">
        <v>100000</v>
      </c>
      <c r="T518" s="16">
        <f>Tabela1[[#This Row],[Total 2019]]-Tabela1[[#This Row],[Total 2018]]</f>
        <v>-11133.848</v>
      </c>
      <c r="U518" s="40">
        <f>Tabela1[[#This Row],[Total 2019]]/Tabela1[[#This Row],[Meta]]</f>
        <v>0</v>
      </c>
      <c r="V518" s="17">
        <f>IFERROR(Tabela1[[#This Row],[Total 2019]]/Tabela1[[#This Row],[Total 2018]]-1,0)</f>
        <v>-1</v>
      </c>
      <c r="W51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18" s="48"/>
      <c r="Y518" s="19"/>
      <c r="Z518" s="68"/>
    </row>
    <row r="519" spans="3:26" x14ac:dyDescent="0.35">
      <c r="C519" s="11" t="s">
        <v>2704</v>
      </c>
      <c r="D519" s="12" t="s">
        <v>2699</v>
      </c>
      <c r="E519" s="12">
        <v>501</v>
      </c>
      <c r="F519" s="13" t="s">
        <v>1948</v>
      </c>
      <c r="G519" s="14">
        <v>2</v>
      </c>
      <c r="H519" s="14" t="s">
        <v>1372</v>
      </c>
      <c r="I519" s="13">
        <v>20</v>
      </c>
      <c r="J519" s="15" t="s">
        <v>1419</v>
      </c>
      <c r="K519" s="15" t="s">
        <v>2708</v>
      </c>
      <c r="L519" s="16"/>
      <c r="M519" s="16">
        <v>3622.0365000000002</v>
      </c>
      <c r="N519" s="16">
        <v>1702.2764999999999</v>
      </c>
      <c r="O519" s="16">
        <v>6056.5824999999986</v>
      </c>
      <c r="P519" s="16"/>
      <c r="Q519" s="16">
        <f>SUM(Tabela1[[#This Row],[201805]:[201807]])</f>
        <v>5324.3130000000001</v>
      </c>
      <c r="R519" s="16">
        <f>SUM(Tabela1[[#This Row],[201905]:[201906]])</f>
        <v>6056.5824999999986</v>
      </c>
      <c r="S519" s="16">
        <v>100000</v>
      </c>
      <c r="T519" s="16">
        <f>Tabela1[[#This Row],[Total 2019]]-Tabela1[[#This Row],[Total 2018]]</f>
        <v>732.26949999999852</v>
      </c>
      <c r="U519" s="40">
        <f>Tabela1[[#This Row],[Total 2019]]/Tabela1[[#This Row],[Meta]]</f>
        <v>6.0565824999999983E-2</v>
      </c>
      <c r="V519" s="17">
        <f>IFERROR(Tabela1[[#This Row],[Total 2019]]/Tabela1[[#This Row],[Total 2018]]-1,0)</f>
        <v>0.1375331427735369</v>
      </c>
      <c r="W51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519" s="48"/>
      <c r="Y519" s="19"/>
      <c r="Z519" s="68"/>
    </row>
    <row r="520" spans="3:26" x14ac:dyDescent="0.35">
      <c r="C520" s="11" t="s">
        <v>2704</v>
      </c>
      <c r="D520" s="12" t="s">
        <v>2698</v>
      </c>
      <c r="E520" s="12">
        <v>502</v>
      </c>
      <c r="F520" s="13" t="s">
        <v>1949</v>
      </c>
      <c r="G520" s="14">
        <v>3</v>
      </c>
      <c r="H520" s="14" t="s">
        <v>1372</v>
      </c>
      <c r="I520" s="13">
        <v>22</v>
      </c>
      <c r="J520" s="15" t="s">
        <v>1421</v>
      </c>
      <c r="K520" s="15" t="s">
        <v>2708</v>
      </c>
      <c r="L520" s="16">
        <v>15892.5975</v>
      </c>
      <c r="M520" s="16">
        <v>15647.8015</v>
      </c>
      <c r="N520" s="16">
        <v>15790.748</v>
      </c>
      <c r="O520" s="16">
        <v>24168.949999999997</v>
      </c>
      <c r="P520" s="16">
        <v>16086.815499999999</v>
      </c>
      <c r="Q520" s="16">
        <f>SUM(Tabela1[[#This Row],[201805]:[201807]])</f>
        <v>47331.146999999997</v>
      </c>
      <c r="R520" s="16">
        <f>SUM(Tabela1[[#This Row],[201905]:[201906]])</f>
        <v>40255.765499999994</v>
      </c>
      <c r="S520" s="16">
        <v>100000</v>
      </c>
      <c r="T520" s="16">
        <f>Tabela1[[#This Row],[Total 2019]]-Tabela1[[#This Row],[Total 2018]]</f>
        <v>-7075.3815000000031</v>
      </c>
      <c r="U520" s="40">
        <f>Tabela1[[#This Row],[Total 2019]]/Tabela1[[#This Row],[Meta]]</f>
        <v>0.40255765499999996</v>
      </c>
      <c r="V520" s="17">
        <f>IFERROR(Tabela1[[#This Row],[Total 2019]]/Tabela1[[#This Row],[Total 2018]]-1,0)</f>
        <v>-0.14948679566121659</v>
      </c>
      <c r="W52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520" s="48"/>
      <c r="Y520" s="19"/>
      <c r="Z520" s="68"/>
    </row>
    <row r="521" spans="3:26" x14ac:dyDescent="0.35">
      <c r="C521" s="11" t="s">
        <v>2704</v>
      </c>
      <c r="D521" s="12" t="s">
        <v>2699</v>
      </c>
      <c r="E521" s="12">
        <v>503</v>
      </c>
      <c r="F521" s="13" t="s">
        <v>1950</v>
      </c>
      <c r="G521" s="14">
        <v>2</v>
      </c>
      <c r="H521" s="14" t="s">
        <v>1372</v>
      </c>
      <c r="I521" s="13">
        <v>13</v>
      </c>
      <c r="J521" s="15" t="s">
        <v>1412</v>
      </c>
      <c r="K521" s="15" t="s">
        <v>2709</v>
      </c>
      <c r="L521" s="16">
        <v>274.58799999999997</v>
      </c>
      <c r="M521" s="16"/>
      <c r="N521" s="16"/>
      <c r="O521" s="16"/>
      <c r="P521" s="16"/>
      <c r="Q521" s="16">
        <f>SUM(Tabela1[[#This Row],[201805]:[201807]])</f>
        <v>274.58799999999997</v>
      </c>
      <c r="R521" s="16">
        <f>SUM(Tabela1[[#This Row],[201905]:[201906]])</f>
        <v>0</v>
      </c>
      <c r="S521" s="16">
        <v>100000</v>
      </c>
      <c r="T521" s="16">
        <f>Tabela1[[#This Row],[Total 2019]]-Tabela1[[#This Row],[Total 2018]]</f>
        <v>-274.58799999999997</v>
      </c>
      <c r="U521" s="40">
        <f>Tabela1[[#This Row],[Total 2019]]/Tabela1[[#This Row],[Meta]]</f>
        <v>0</v>
      </c>
      <c r="V521" s="17">
        <f>IFERROR(Tabela1[[#This Row],[Total 2019]]/Tabela1[[#This Row],[Total 2018]]-1,0)</f>
        <v>-1</v>
      </c>
      <c r="W52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21" s="48"/>
      <c r="Y521" s="19"/>
      <c r="Z521" s="68"/>
    </row>
    <row r="522" spans="3:26" x14ac:dyDescent="0.35">
      <c r="C522" s="11" t="s">
        <v>2704</v>
      </c>
      <c r="D522" s="12" t="s">
        <v>2700</v>
      </c>
      <c r="E522" s="12">
        <v>504</v>
      </c>
      <c r="F522" s="13" t="s">
        <v>1951</v>
      </c>
      <c r="G522" s="14">
        <v>2</v>
      </c>
      <c r="H522" s="14" t="s">
        <v>1372</v>
      </c>
      <c r="I522" s="13">
        <v>10</v>
      </c>
      <c r="J522" s="15" t="s">
        <v>1409</v>
      </c>
      <c r="K522" s="15" t="s">
        <v>2708</v>
      </c>
      <c r="L522" s="16">
        <v>2418.2249999999999</v>
      </c>
      <c r="M522" s="16">
        <v>3516.8239999999996</v>
      </c>
      <c r="N522" s="16">
        <v>2216.578</v>
      </c>
      <c r="O522" s="16"/>
      <c r="P522" s="16"/>
      <c r="Q522" s="16">
        <f>SUM(Tabela1[[#This Row],[201805]:[201807]])</f>
        <v>8151.6269999999986</v>
      </c>
      <c r="R522" s="16">
        <f>SUM(Tabela1[[#This Row],[201905]:[201906]])</f>
        <v>0</v>
      </c>
      <c r="S522" s="16">
        <v>100000</v>
      </c>
      <c r="T522" s="16">
        <f>Tabela1[[#This Row],[Total 2019]]-Tabela1[[#This Row],[Total 2018]]</f>
        <v>-8151.6269999999986</v>
      </c>
      <c r="U522" s="40">
        <f>Tabela1[[#This Row],[Total 2019]]/Tabela1[[#This Row],[Meta]]</f>
        <v>0</v>
      </c>
      <c r="V522" s="17">
        <f>IFERROR(Tabela1[[#This Row],[Total 2019]]/Tabela1[[#This Row],[Total 2018]]-1,0)</f>
        <v>-1</v>
      </c>
      <c r="W52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22" s="48"/>
      <c r="Y522" s="19"/>
      <c r="Z522" s="68"/>
    </row>
    <row r="523" spans="3:26" x14ac:dyDescent="0.35">
      <c r="C523" s="11" t="s">
        <v>2702</v>
      </c>
      <c r="D523" s="12" t="s">
        <v>2699</v>
      </c>
      <c r="E523" s="12">
        <v>505</v>
      </c>
      <c r="F523" s="13" t="s">
        <v>1952</v>
      </c>
      <c r="G523" s="14">
        <v>3</v>
      </c>
      <c r="H523" s="14" t="s">
        <v>1371</v>
      </c>
      <c r="I523" s="13">
        <v>14</v>
      </c>
      <c r="J523" s="15" t="s">
        <v>1413</v>
      </c>
      <c r="K523" s="15" t="s">
        <v>2707</v>
      </c>
      <c r="L523" s="16">
        <v>5236.4285</v>
      </c>
      <c r="M523" s="16">
        <v>3398.6534999999999</v>
      </c>
      <c r="N523" s="16"/>
      <c r="O523" s="16"/>
      <c r="P523" s="16"/>
      <c r="Q523" s="16">
        <f>SUM(Tabela1[[#This Row],[201805]:[201807]])</f>
        <v>8635.0820000000003</v>
      </c>
      <c r="R523" s="16">
        <f>SUM(Tabela1[[#This Row],[201905]:[201906]])</f>
        <v>0</v>
      </c>
      <c r="S523" s="16">
        <v>100000</v>
      </c>
      <c r="T523" s="16">
        <f>Tabela1[[#This Row],[Total 2019]]-Tabela1[[#This Row],[Total 2018]]</f>
        <v>-8635.0820000000003</v>
      </c>
      <c r="U523" s="40">
        <f>Tabela1[[#This Row],[Total 2019]]/Tabela1[[#This Row],[Meta]]</f>
        <v>0</v>
      </c>
      <c r="V523" s="17">
        <f>IFERROR(Tabela1[[#This Row],[Total 2019]]/Tabela1[[#This Row],[Total 2018]]-1,0)</f>
        <v>-1</v>
      </c>
      <c r="W52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23" s="48"/>
      <c r="Y523" s="19"/>
      <c r="Z523" s="68"/>
    </row>
    <row r="524" spans="3:26" x14ac:dyDescent="0.35">
      <c r="C524" s="11" t="s">
        <v>2702</v>
      </c>
      <c r="D524" s="12" t="s">
        <v>2698</v>
      </c>
      <c r="E524" s="12">
        <v>506</v>
      </c>
      <c r="F524" s="13" t="s">
        <v>1953</v>
      </c>
      <c r="G524" s="14">
        <v>3</v>
      </c>
      <c r="H524" s="14" t="s">
        <v>1371</v>
      </c>
      <c r="I524" s="13">
        <v>14</v>
      </c>
      <c r="J524" s="15" t="s">
        <v>1413</v>
      </c>
      <c r="K524" s="15" t="s">
        <v>2707</v>
      </c>
      <c r="L524" s="16"/>
      <c r="M524" s="16"/>
      <c r="N524" s="16"/>
      <c r="O524" s="16">
        <v>7073.4814999999999</v>
      </c>
      <c r="P524" s="16">
        <v>1946.1605</v>
      </c>
      <c r="Q524" s="16">
        <f>SUM(Tabela1[[#This Row],[201805]:[201807]])</f>
        <v>0</v>
      </c>
      <c r="R524" s="16">
        <f>SUM(Tabela1[[#This Row],[201905]:[201906]])</f>
        <v>9019.6419999999998</v>
      </c>
      <c r="S524" s="16">
        <v>100000</v>
      </c>
      <c r="T524" s="16">
        <f>Tabela1[[#This Row],[Total 2019]]-Tabela1[[#This Row],[Total 2018]]</f>
        <v>9019.6419999999998</v>
      </c>
      <c r="U524" s="40">
        <f>Tabela1[[#This Row],[Total 2019]]/Tabela1[[#This Row],[Meta]]</f>
        <v>9.0196419999999999E-2</v>
      </c>
      <c r="V524" s="17">
        <f>IFERROR(Tabela1[[#This Row],[Total 2019]]/Tabela1[[#This Row],[Total 2018]]-1,0)</f>
        <v>0</v>
      </c>
      <c r="W52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524" s="48"/>
      <c r="Y524" s="19"/>
      <c r="Z524" s="68"/>
    </row>
    <row r="525" spans="3:26" x14ac:dyDescent="0.35">
      <c r="C525" s="11" t="s">
        <v>2703</v>
      </c>
      <c r="D525" s="12" t="s">
        <v>2700</v>
      </c>
      <c r="E525" s="12">
        <v>507</v>
      </c>
      <c r="F525" s="13" t="s">
        <v>1954</v>
      </c>
      <c r="G525" s="14">
        <v>2</v>
      </c>
      <c r="H525" s="14" t="s">
        <v>1372</v>
      </c>
      <c r="I525" s="13">
        <v>25</v>
      </c>
      <c r="J525" s="15" t="s">
        <v>1424</v>
      </c>
      <c r="K525" s="15" t="s">
        <v>2708</v>
      </c>
      <c r="L525" s="16">
        <v>5154.2155000000002</v>
      </c>
      <c r="M525" s="16">
        <v>780.60549999999989</v>
      </c>
      <c r="N525" s="16">
        <v>4558.1379999999999</v>
      </c>
      <c r="O525" s="16">
        <v>1527.0394999999999</v>
      </c>
      <c r="P525" s="16">
        <v>1722.0744999999999</v>
      </c>
      <c r="Q525" s="16">
        <f>SUM(Tabela1[[#This Row],[201805]:[201807]])</f>
        <v>10492.958999999999</v>
      </c>
      <c r="R525" s="16">
        <f>SUM(Tabela1[[#This Row],[201905]:[201906]])</f>
        <v>3249.1139999999996</v>
      </c>
      <c r="S525" s="16">
        <v>100000</v>
      </c>
      <c r="T525" s="16">
        <f>Tabela1[[#This Row],[Total 2019]]-Tabela1[[#This Row],[Total 2018]]</f>
        <v>-7243.8449999999993</v>
      </c>
      <c r="U525" s="40">
        <f>Tabela1[[#This Row],[Total 2019]]/Tabela1[[#This Row],[Meta]]</f>
        <v>3.2491139999999995E-2</v>
      </c>
      <c r="V525" s="17">
        <f>IFERROR(Tabela1[[#This Row],[Total 2019]]/Tabela1[[#This Row],[Total 2018]]-1,0)</f>
        <v>-0.69035293095112638</v>
      </c>
      <c r="W52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525" s="48"/>
      <c r="Y525" s="19"/>
      <c r="Z525" s="68"/>
    </row>
    <row r="526" spans="3:26" x14ac:dyDescent="0.35">
      <c r="C526" s="11" t="s">
        <v>2703</v>
      </c>
      <c r="D526" s="12" t="s">
        <v>2700</v>
      </c>
      <c r="E526" s="12">
        <v>508</v>
      </c>
      <c r="F526" s="13" t="s">
        <v>1955</v>
      </c>
      <c r="G526" s="14">
        <v>3</v>
      </c>
      <c r="H526" s="14" t="s">
        <v>1370</v>
      </c>
      <c r="I526" s="13">
        <v>34</v>
      </c>
      <c r="J526" s="15" t="s">
        <v>1433</v>
      </c>
      <c r="K526" s="15" t="s">
        <v>2706</v>
      </c>
      <c r="L526" s="16"/>
      <c r="M526" s="16">
        <v>1755.6759999999999</v>
      </c>
      <c r="N526" s="16">
        <v>1036.5735</v>
      </c>
      <c r="O526" s="16">
        <v>815.69849999999997</v>
      </c>
      <c r="P526" s="16">
        <v>3062.5814999999998</v>
      </c>
      <c r="Q526" s="16">
        <f>SUM(Tabela1[[#This Row],[201805]:[201807]])</f>
        <v>2792.2494999999999</v>
      </c>
      <c r="R526" s="16">
        <f>SUM(Tabela1[[#This Row],[201905]:[201906]])</f>
        <v>3878.2799999999997</v>
      </c>
      <c r="S526" s="16">
        <v>100000</v>
      </c>
      <c r="T526" s="16">
        <f>Tabela1[[#This Row],[Total 2019]]-Tabela1[[#This Row],[Total 2018]]</f>
        <v>1086.0304999999998</v>
      </c>
      <c r="U526" s="40">
        <f>Tabela1[[#This Row],[Total 2019]]/Tabela1[[#This Row],[Meta]]</f>
        <v>3.8782799999999999E-2</v>
      </c>
      <c r="V526" s="17">
        <f>IFERROR(Tabela1[[#This Row],[Total 2019]]/Tabela1[[#This Row],[Total 2018]]-1,0)</f>
        <v>0.38894464839191478</v>
      </c>
      <c r="W52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526" s="48"/>
      <c r="Y526" s="19"/>
      <c r="Z526" s="68"/>
    </row>
    <row r="527" spans="3:26" x14ac:dyDescent="0.35">
      <c r="C527" s="11" t="s">
        <v>2702</v>
      </c>
      <c r="D527" s="12" t="s">
        <v>2698</v>
      </c>
      <c r="E527" s="12">
        <v>509</v>
      </c>
      <c r="F527" s="13" t="s">
        <v>1956</v>
      </c>
      <c r="G527" s="14">
        <v>3</v>
      </c>
      <c r="H527" s="14" t="s">
        <v>1372</v>
      </c>
      <c r="I527" s="13">
        <v>20</v>
      </c>
      <c r="J527" s="15" t="s">
        <v>1419</v>
      </c>
      <c r="K527" s="15" t="s">
        <v>2708</v>
      </c>
      <c r="L527" s="16"/>
      <c r="M527" s="16">
        <v>2287.1534999999999</v>
      </c>
      <c r="N527" s="16"/>
      <c r="O527" s="16">
        <v>2610.98</v>
      </c>
      <c r="P527" s="16"/>
      <c r="Q527" s="16">
        <f>SUM(Tabela1[[#This Row],[201805]:[201807]])</f>
        <v>2287.1534999999999</v>
      </c>
      <c r="R527" s="16">
        <f>SUM(Tabela1[[#This Row],[201905]:[201906]])</f>
        <v>2610.98</v>
      </c>
      <c r="S527" s="16">
        <v>100000</v>
      </c>
      <c r="T527" s="16">
        <f>Tabela1[[#This Row],[Total 2019]]-Tabela1[[#This Row],[Total 2018]]</f>
        <v>323.82650000000012</v>
      </c>
      <c r="U527" s="40">
        <f>Tabela1[[#This Row],[Total 2019]]/Tabela1[[#This Row],[Meta]]</f>
        <v>2.6109799999999999E-2</v>
      </c>
      <c r="V527" s="17">
        <f>IFERROR(Tabela1[[#This Row],[Total 2019]]/Tabela1[[#This Row],[Total 2018]]-1,0)</f>
        <v>0.14158494390516418</v>
      </c>
      <c r="W52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527" s="48"/>
      <c r="Y527" s="19"/>
      <c r="Z527" s="68"/>
    </row>
    <row r="528" spans="3:26" x14ac:dyDescent="0.35">
      <c r="C528" s="11" t="s">
        <v>2703</v>
      </c>
      <c r="D528" s="12" t="s">
        <v>2699</v>
      </c>
      <c r="E528" s="12">
        <v>510</v>
      </c>
      <c r="F528" s="13" t="s">
        <v>1957</v>
      </c>
      <c r="G528" s="14">
        <v>1</v>
      </c>
      <c r="H528" s="14" t="s">
        <v>1372</v>
      </c>
      <c r="I528" s="13">
        <v>23</v>
      </c>
      <c r="J528" s="15" t="s">
        <v>1422</v>
      </c>
      <c r="K528" s="15" t="s">
        <v>2708</v>
      </c>
      <c r="L528" s="16">
        <v>1500.4014999999999</v>
      </c>
      <c r="M528" s="16">
        <v>5088.4184999999998</v>
      </c>
      <c r="N528" s="16">
        <v>3700.4684999999995</v>
      </c>
      <c r="O528" s="16"/>
      <c r="P528" s="16"/>
      <c r="Q528" s="16">
        <f>SUM(Tabela1[[#This Row],[201805]:[201807]])</f>
        <v>10289.288499999999</v>
      </c>
      <c r="R528" s="16">
        <f>SUM(Tabela1[[#This Row],[201905]:[201906]])</f>
        <v>0</v>
      </c>
      <c r="S528" s="16">
        <v>100000</v>
      </c>
      <c r="T528" s="16">
        <f>Tabela1[[#This Row],[Total 2019]]-Tabela1[[#This Row],[Total 2018]]</f>
        <v>-10289.288499999999</v>
      </c>
      <c r="U528" s="40">
        <f>Tabela1[[#This Row],[Total 2019]]/Tabela1[[#This Row],[Meta]]</f>
        <v>0</v>
      </c>
      <c r="V528" s="17">
        <f>IFERROR(Tabela1[[#This Row],[Total 2019]]/Tabela1[[#This Row],[Total 2018]]-1,0)</f>
        <v>-1</v>
      </c>
      <c r="W52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28" s="48"/>
      <c r="Y528" s="19"/>
      <c r="Z528" s="68"/>
    </row>
    <row r="529" spans="3:26" x14ac:dyDescent="0.35">
      <c r="C529" s="11" t="s">
        <v>2704</v>
      </c>
      <c r="D529" s="12" t="s">
        <v>2699</v>
      </c>
      <c r="E529" s="12">
        <v>511</v>
      </c>
      <c r="F529" s="13" t="s">
        <v>1958</v>
      </c>
      <c r="G529" s="14">
        <v>2</v>
      </c>
      <c r="H529" s="14" t="s">
        <v>1372</v>
      </c>
      <c r="I529" s="13">
        <v>21</v>
      </c>
      <c r="J529" s="15" t="s">
        <v>1420</v>
      </c>
      <c r="K529" s="15" t="s">
        <v>2708</v>
      </c>
      <c r="L529" s="16">
        <v>810.58749999999998</v>
      </c>
      <c r="M529" s="16">
        <v>2253.3429999999998</v>
      </c>
      <c r="N529" s="16">
        <v>1047.1089999999999</v>
      </c>
      <c r="O529" s="16">
        <v>5869.3279999999995</v>
      </c>
      <c r="P529" s="16"/>
      <c r="Q529" s="16">
        <f>SUM(Tabela1[[#This Row],[201805]:[201807]])</f>
        <v>4111.0394999999999</v>
      </c>
      <c r="R529" s="16">
        <f>SUM(Tabela1[[#This Row],[201905]:[201906]])</f>
        <v>5869.3279999999995</v>
      </c>
      <c r="S529" s="16">
        <v>100000</v>
      </c>
      <c r="T529" s="16">
        <f>Tabela1[[#This Row],[Total 2019]]-Tabela1[[#This Row],[Total 2018]]</f>
        <v>1758.2884999999997</v>
      </c>
      <c r="U529" s="40">
        <f>Tabela1[[#This Row],[Total 2019]]/Tabela1[[#This Row],[Meta]]</f>
        <v>5.8693279999999994E-2</v>
      </c>
      <c r="V529" s="17">
        <f>IFERROR(Tabela1[[#This Row],[Total 2019]]/Tabela1[[#This Row],[Total 2018]]-1,0)</f>
        <v>0.42769924735580855</v>
      </c>
      <c r="W52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529" s="48"/>
      <c r="Y529" s="19"/>
      <c r="Z529" s="68"/>
    </row>
    <row r="530" spans="3:26" x14ac:dyDescent="0.35">
      <c r="C530" s="11" t="s">
        <v>2702</v>
      </c>
      <c r="D530" s="12" t="s">
        <v>2698</v>
      </c>
      <c r="E530" s="12">
        <v>512</v>
      </c>
      <c r="F530" s="13" t="s">
        <v>1959</v>
      </c>
      <c r="G530" s="14">
        <v>2</v>
      </c>
      <c r="H530" s="14" t="s">
        <v>1371</v>
      </c>
      <c r="I530" s="13">
        <v>31</v>
      </c>
      <c r="J530" s="15" t="s">
        <v>1430</v>
      </c>
      <c r="K530" s="15" t="s">
        <v>2707</v>
      </c>
      <c r="L530" s="16">
        <v>5470.5465000000004</v>
      </c>
      <c r="M530" s="16">
        <v>10545.066499999997</v>
      </c>
      <c r="N530" s="16">
        <v>4142.8454999999994</v>
      </c>
      <c r="O530" s="16">
        <v>11609.503500000001</v>
      </c>
      <c r="P530" s="16">
        <v>6036.8130000000001</v>
      </c>
      <c r="Q530" s="16">
        <f>SUM(Tabela1[[#This Row],[201805]:[201807]])</f>
        <v>20158.458499999997</v>
      </c>
      <c r="R530" s="16">
        <f>SUM(Tabela1[[#This Row],[201905]:[201906]])</f>
        <v>17646.316500000001</v>
      </c>
      <c r="S530" s="16">
        <v>100000</v>
      </c>
      <c r="T530" s="16">
        <f>Tabela1[[#This Row],[Total 2019]]-Tabela1[[#This Row],[Total 2018]]</f>
        <v>-2512.1419999999962</v>
      </c>
      <c r="U530" s="40">
        <f>Tabela1[[#This Row],[Total 2019]]/Tabela1[[#This Row],[Meta]]</f>
        <v>0.17646316500000001</v>
      </c>
      <c r="V530" s="17">
        <f>IFERROR(Tabela1[[#This Row],[Total 2019]]/Tabela1[[#This Row],[Total 2018]]-1,0)</f>
        <v>-0.12461974709028456</v>
      </c>
      <c r="W53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530" s="48"/>
      <c r="Y530" s="19"/>
      <c r="Z530" s="68"/>
    </row>
    <row r="531" spans="3:26" x14ac:dyDescent="0.35">
      <c r="C531" s="11" t="s">
        <v>2702</v>
      </c>
      <c r="D531" s="12" t="s">
        <v>2698</v>
      </c>
      <c r="E531" s="12">
        <v>513</v>
      </c>
      <c r="F531" s="13" t="s">
        <v>1960</v>
      </c>
      <c r="G531" s="14">
        <v>2</v>
      </c>
      <c r="H531" s="14" t="s">
        <v>1371</v>
      </c>
      <c r="I531" s="13">
        <v>26</v>
      </c>
      <c r="J531" s="15" t="s">
        <v>1425</v>
      </c>
      <c r="K531" s="15" t="s">
        <v>2707</v>
      </c>
      <c r="L531" s="16">
        <v>14772.110499999999</v>
      </c>
      <c r="M531" s="16">
        <v>12315.039999999999</v>
      </c>
      <c r="N531" s="16"/>
      <c r="O531" s="16">
        <v>18027.219000000001</v>
      </c>
      <c r="P531" s="16">
        <v>10974.3905</v>
      </c>
      <c r="Q531" s="16">
        <f>SUM(Tabela1[[#This Row],[201805]:[201807]])</f>
        <v>27087.150499999996</v>
      </c>
      <c r="R531" s="16">
        <f>SUM(Tabela1[[#This Row],[201905]:[201906]])</f>
        <v>29001.609499999999</v>
      </c>
      <c r="S531" s="16">
        <v>100000</v>
      </c>
      <c r="T531" s="16">
        <f>Tabela1[[#This Row],[Total 2019]]-Tabela1[[#This Row],[Total 2018]]</f>
        <v>1914.4590000000026</v>
      </c>
      <c r="U531" s="40">
        <f>Tabela1[[#This Row],[Total 2019]]/Tabela1[[#This Row],[Meta]]</f>
        <v>0.29001609499999997</v>
      </c>
      <c r="V531" s="17">
        <f>IFERROR(Tabela1[[#This Row],[Total 2019]]/Tabela1[[#This Row],[Total 2018]]-1,0)</f>
        <v>7.067775549148303E-2</v>
      </c>
      <c r="W53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531" s="48"/>
      <c r="Y531" s="19"/>
      <c r="Z531" s="68"/>
    </row>
    <row r="532" spans="3:26" x14ac:dyDescent="0.35">
      <c r="C532" s="11" t="s">
        <v>2703</v>
      </c>
      <c r="D532" s="12" t="s">
        <v>2700</v>
      </c>
      <c r="E532" s="12">
        <v>514</v>
      </c>
      <c r="F532" s="13" t="s">
        <v>1961</v>
      </c>
      <c r="G532" s="14">
        <v>1</v>
      </c>
      <c r="H532" s="14" t="s">
        <v>1372</v>
      </c>
      <c r="I532" s="13">
        <v>22</v>
      </c>
      <c r="J532" s="15" t="s">
        <v>1421</v>
      </c>
      <c r="K532" s="15" t="s">
        <v>2708</v>
      </c>
      <c r="L532" s="16"/>
      <c r="M532" s="16">
        <v>32345.067999999996</v>
      </c>
      <c r="N532" s="16"/>
      <c r="O532" s="16"/>
      <c r="P532" s="16"/>
      <c r="Q532" s="16">
        <f>SUM(Tabela1[[#This Row],[201805]:[201807]])</f>
        <v>32345.067999999996</v>
      </c>
      <c r="R532" s="16">
        <f>SUM(Tabela1[[#This Row],[201905]:[201906]])</f>
        <v>0</v>
      </c>
      <c r="S532" s="16">
        <v>100000</v>
      </c>
      <c r="T532" s="16">
        <f>Tabela1[[#This Row],[Total 2019]]-Tabela1[[#This Row],[Total 2018]]</f>
        <v>-32345.067999999996</v>
      </c>
      <c r="U532" s="40">
        <f>Tabela1[[#This Row],[Total 2019]]/Tabela1[[#This Row],[Meta]]</f>
        <v>0</v>
      </c>
      <c r="V532" s="17">
        <f>IFERROR(Tabela1[[#This Row],[Total 2019]]/Tabela1[[#This Row],[Total 2018]]-1,0)</f>
        <v>-1</v>
      </c>
      <c r="W53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32" s="48"/>
      <c r="Y532" s="19"/>
      <c r="Z532" s="68"/>
    </row>
    <row r="533" spans="3:26" x14ac:dyDescent="0.35">
      <c r="C533" s="11" t="s">
        <v>2703</v>
      </c>
      <c r="D533" s="12" t="s">
        <v>2700</v>
      </c>
      <c r="E533" s="12">
        <v>515</v>
      </c>
      <c r="F533" s="13" t="s">
        <v>1962</v>
      </c>
      <c r="G533" s="14">
        <v>3</v>
      </c>
      <c r="H533" s="14" t="s">
        <v>1370</v>
      </c>
      <c r="I533" s="13">
        <v>19</v>
      </c>
      <c r="J533" s="15" t="s">
        <v>1418</v>
      </c>
      <c r="K533" s="15" t="s">
        <v>2706</v>
      </c>
      <c r="L533" s="16">
        <v>2418.2725</v>
      </c>
      <c r="M533" s="16">
        <v>1174.2474999999999</v>
      </c>
      <c r="N533" s="16"/>
      <c r="O533" s="16">
        <v>3844.2510000000002</v>
      </c>
      <c r="P533" s="16">
        <v>3668.6150000000007</v>
      </c>
      <c r="Q533" s="16">
        <f>SUM(Tabela1[[#This Row],[201805]:[201807]])</f>
        <v>3592.52</v>
      </c>
      <c r="R533" s="16">
        <f>SUM(Tabela1[[#This Row],[201905]:[201906]])</f>
        <v>7512.8660000000009</v>
      </c>
      <c r="S533" s="16">
        <v>100000</v>
      </c>
      <c r="T533" s="16">
        <f>Tabela1[[#This Row],[Total 2019]]-Tabela1[[#This Row],[Total 2018]]</f>
        <v>3920.3460000000009</v>
      </c>
      <c r="U533" s="40">
        <f>Tabela1[[#This Row],[Total 2019]]/Tabela1[[#This Row],[Meta]]</f>
        <v>7.5128660000000014E-2</v>
      </c>
      <c r="V533" s="17">
        <f>IFERROR(Tabela1[[#This Row],[Total 2019]]/Tabela1[[#This Row],[Total 2018]]-1,0)</f>
        <v>1.0912523799449971</v>
      </c>
      <c r="W53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533" s="48"/>
      <c r="Y533" s="19"/>
      <c r="Z533" s="68"/>
    </row>
    <row r="534" spans="3:26" x14ac:dyDescent="0.35">
      <c r="C534" s="11" t="s">
        <v>2703</v>
      </c>
      <c r="D534" s="12" t="s">
        <v>2699</v>
      </c>
      <c r="E534" s="12">
        <v>516</v>
      </c>
      <c r="F534" s="13" t="s">
        <v>1963</v>
      </c>
      <c r="G534" s="14">
        <v>2</v>
      </c>
      <c r="H534" s="14" t="s">
        <v>1371</v>
      </c>
      <c r="I534" s="13">
        <v>4</v>
      </c>
      <c r="J534" s="15" t="s">
        <v>1403</v>
      </c>
      <c r="K534" s="15" t="s">
        <v>2707</v>
      </c>
      <c r="L534" s="16"/>
      <c r="M534" s="16"/>
      <c r="N534" s="16">
        <v>5167.7529999999997</v>
      </c>
      <c r="O534" s="16"/>
      <c r="P534" s="16"/>
      <c r="Q534" s="16">
        <f>SUM(Tabela1[[#This Row],[201805]:[201807]])</f>
        <v>5167.7529999999997</v>
      </c>
      <c r="R534" s="16">
        <f>SUM(Tabela1[[#This Row],[201905]:[201906]])</f>
        <v>0</v>
      </c>
      <c r="S534" s="16">
        <v>100000</v>
      </c>
      <c r="T534" s="16">
        <f>Tabela1[[#This Row],[Total 2019]]-Tabela1[[#This Row],[Total 2018]]</f>
        <v>-5167.7529999999997</v>
      </c>
      <c r="U534" s="40">
        <f>Tabela1[[#This Row],[Total 2019]]/Tabela1[[#This Row],[Meta]]</f>
        <v>0</v>
      </c>
      <c r="V534" s="17">
        <f>IFERROR(Tabela1[[#This Row],[Total 2019]]/Tabela1[[#This Row],[Total 2018]]-1,0)</f>
        <v>-1</v>
      </c>
      <c r="W53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34" s="48"/>
      <c r="Y534" s="19"/>
      <c r="Z534" s="68"/>
    </row>
    <row r="535" spans="3:26" x14ac:dyDescent="0.35">
      <c r="C535" s="11" t="s">
        <v>2702</v>
      </c>
      <c r="D535" s="12" t="s">
        <v>2700</v>
      </c>
      <c r="E535" s="12">
        <v>517</v>
      </c>
      <c r="F535" s="13" t="s">
        <v>1964</v>
      </c>
      <c r="G535" s="14">
        <v>3</v>
      </c>
      <c r="H535" s="14" t="s">
        <v>1372</v>
      </c>
      <c r="I535" s="13">
        <v>25</v>
      </c>
      <c r="J535" s="15" t="s">
        <v>1424</v>
      </c>
      <c r="K535" s="15" t="s">
        <v>2708</v>
      </c>
      <c r="L535" s="16">
        <v>4097.8819999999996</v>
      </c>
      <c r="M535" s="16">
        <v>18780.493000000002</v>
      </c>
      <c r="N535" s="16">
        <v>6537.5675000000001</v>
      </c>
      <c r="O535" s="16">
        <v>15313.211499999999</v>
      </c>
      <c r="P535" s="16">
        <v>7452.6360000000004</v>
      </c>
      <c r="Q535" s="16">
        <f>SUM(Tabela1[[#This Row],[201805]:[201807]])</f>
        <v>29415.942500000001</v>
      </c>
      <c r="R535" s="16">
        <f>SUM(Tabela1[[#This Row],[201905]:[201906]])</f>
        <v>22765.8475</v>
      </c>
      <c r="S535" s="16">
        <v>100000</v>
      </c>
      <c r="T535" s="16">
        <f>Tabela1[[#This Row],[Total 2019]]-Tabela1[[#This Row],[Total 2018]]</f>
        <v>-6650.0950000000012</v>
      </c>
      <c r="U535" s="40">
        <f>Tabela1[[#This Row],[Total 2019]]/Tabela1[[#This Row],[Meta]]</f>
        <v>0.227658475</v>
      </c>
      <c r="V535" s="17">
        <f>IFERROR(Tabela1[[#This Row],[Total 2019]]/Tabela1[[#This Row],[Total 2018]]-1,0)</f>
        <v>-0.2260711177280823</v>
      </c>
      <c r="W53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535" s="48"/>
      <c r="Y535" s="19"/>
      <c r="Z535" s="68"/>
    </row>
    <row r="536" spans="3:26" x14ac:dyDescent="0.35">
      <c r="C536" s="11" t="s">
        <v>2704</v>
      </c>
      <c r="D536" s="12" t="s">
        <v>2698</v>
      </c>
      <c r="E536" s="12">
        <v>518</v>
      </c>
      <c r="F536" s="13" t="s">
        <v>1965</v>
      </c>
      <c r="G536" s="14">
        <v>2</v>
      </c>
      <c r="H536" s="14" t="s">
        <v>1372</v>
      </c>
      <c r="I536" s="13">
        <v>25</v>
      </c>
      <c r="J536" s="15" t="s">
        <v>1424</v>
      </c>
      <c r="K536" s="15" t="s">
        <v>2708</v>
      </c>
      <c r="L536" s="16"/>
      <c r="M536" s="16">
        <v>1159.4559999999999</v>
      </c>
      <c r="N536" s="16"/>
      <c r="O536" s="16"/>
      <c r="P536" s="16"/>
      <c r="Q536" s="16">
        <f>SUM(Tabela1[[#This Row],[201805]:[201807]])</f>
        <v>1159.4559999999999</v>
      </c>
      <c r="R536" s="16">
        <f>SUM(Tabela1[[#This Row],[201905]:[201906]])</f>
        <v>0</v>
      </c>
      <c r="S536" s="16">
        <v>100000</v>
      </c>
      <c r="T536" s="16">
        <f>Tabela1[[#This Row],[Total 2019]]-Tabela1[[#This Row],[Total 2018]]</f>
        <v>-1159.4559999999999</v>
      </c>
      <c r="U536" s="40">
        <f>Tabela1[[#This Row],[Total 2019]]/Tabela1[[#This Row],[Meta]]</f>
        <v>0</v>
      </c>
      <c r="V536" s="17">
        <f>IFERROR(Tabela1[[#This Row],[Total 2019]]/Tabela1[[#This Row],[Total 2018]]-1,0)</f>
        <v>-1</v>
      </c>
      <c r="W53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36" s="48"/>
      <c r="Y536" s="19"/>
      <c r="Z536" s="68"/>
    </row>
    <row r="537" spans="3:26" x14ac:dyDescent="0.35">
      <c r="C537" s="11" t="s">
        <v>2702</v>
      </c>
      <c r="D537" s="12" t="s">
        <v>2698</v>
      </c>
      <c r="E537" s="12">
        <v>519</v>
      </c>
      <c r="F537" s="13" t="s">
        <v>1966</v>
      </c>
      <c r="G537" s="14">
        <v>3</v>
      </c>
      <c r="H537" s="14" t="s">
        <v>1372</v>
      </c>
      <c r="I537" s="13">
        <v>10</v>
      </c>
      <c r="J537" s="15" t="s">
        <v>1409</v>
      </c>
      <c r="K537" s="15" t="s">
        <v>2708</v>
      </c>
      <c r="L537" s="16">
        <v>2206.9165000000003</v>
      </c>
      <c r="M537" s="16">
        <v>1080.72</v>
      </c>
      <c r="N537" s="16"/>
      <c r="O537" s="16"/>
      <c r="P537" s="16"/>
      <c r="Q537" s="16">
        <f>SUM(Tabela1[[#This Row],[201805]:[201807]])</f>
        <v>3287.6365000000005</v>
      </c>
      <c r="R537" s="16">
        <f>SUM(Tabela1[[#This Row],[201905]:[201906]])</f>
        <v>0</v>
      </c>
      <c r="S537" s="16">
        <v>100000</v>
      </c>
      <c r="T537" s="16">
        <f>Tabela1[[#This Row],[Total 2019]]-Tabela1[[#This Row],[Total 2018]]</f>
        <v>-3287.6365000000005</v>
      </c>
      <c r="U537" s="40">
        <f>Tabela1[[#This Row],[Total 2019]]/Tabela1[[#This Row],[Meta]]</f>
        <v>0</v>
      </c>
      <c r="V537" s="17">
        <f>IFERROR(Tabela1[[#This Row],[Total 2019]]/Tabela1[[#This Row],[Total 2018]]-1,0)</f>
        <v>-1</v>
      </c>
      <c r="W53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37" s="48"/>
      <c r="Y537" s="19"/>
      <c r="Z537" s="68"/>
    </row>
    <row r="538" spans="3:26" x14ac:dyDescent="0.35">
      <c r="C538" s="11" t="s">
        <v>2702</v>
      </c>
      <c r="D538" s="12" t="s">
        <v>2700</v>
      </c>
      <c r="E538" s="12">
        <v>520</v>
      </c>
      <c r="F538" s="13" t="s">
        <v>1967</v>
      </c>
      <c r="G538" s="14">
        <v>1</v>
      </c>
      <c r="H538" s="14" t="s">
        <v>1372</v>
      </c>
      <c r="I538" s="13">
        <v>16</v>
      </c>
      <c r="J538" s="15" t="s">
        <v>1415</v>
      </c>
      <c r="K538" s="15" t="s">
        <v>2708</v>
      </c>
      <c r="L538" s="16">
        <v>1250.8175000000001</v>
      </c>
      <c r="M538" s="16">
        <v>5399.0400000000009</v>
      </c>
      <c r="N538" s="16">
        <v>1258.1895</v>
      </c>
      <c r="O538" s="16"/>
      <c r="P538" s="16"/>
      <c r="Q538" s="16">
        <f>SUM(Tabela1[[#This Row],[201805]:[201807]])</f>
        <v>7908.0470000000005</v>
      </c>
      <c r="R538" s="16">
        <f>SUM(Tabela1[[#This Row],[201905]:[201906]])</f>
        <v>0</v>
      </c>
      <c r="S538" s="16">
        <v>100000</v>
      </c>
      <c r="T538" s="16">
        <f>Tabela1[[#This Row],[Total 2019]]-Tabela1[[#This Row],[Total 2018]]</f>
        <v>-7908.0470000000005</v>
      </c>
      <c r="U538" s="40">
        <f>Tabela1[[#This Row],[Total 2019]]/Tabela1[[#This Row],[Meta]]</f>
        <v>0</v>
      </c>
      <c r="V538" s="17">
        <f>IFERROR(Tabela1[[#This Row],[Total 2019]]/Tabela1[[#This Row],[Total 2018]]-1,0)</f>
        <v>-1</v>
      </c>
      <c r="W53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38" s="48"/>
      <c r="Y538" s="19"/>
      <c r="Z538" s="68"/>
    </row>
    <row r="539" spans="3:26" x14ac:dyDescent="0.35">
      <c r="C539" s="11" t="s">
        <v>2703</v>
      </c>
      <c r="D539" s="12" t="s">
        <v>2699</v>
      </c>
      <c r="E539" s="12">
        <v>521</v>
      </c>
      <c r="F539" s="13" t="s">
        <v>1968</v>
      </c>
      <c r="G539" s="14">
        <v>3</v>
      </c>
      <c r="H539" s="14" t="s">
        <v>1372</v>
      </c>
      <c r="I539" s="13">
        <v>25</v>
      </c>
      <c r="J539" s="15" t="s">
        <v>1424</v>
      </c>
      <c r="K539" s="15" t="s">
        <v>2708</v>
      </c>
      <c r="L539" s="16">
        <v>3747.6644999999999</v>
      </c>
      <c r="M539" s="16">
        <v>17297.799499999997</v>
      </c>
      <c r="N539" s="16">
        <v>3426.7164999999995</v>
      </c>
      <c r="O539" s="16">
        <v>12792.766499999998</v>
      </c>
      <c r="P539" s="16">
        <v>6847.8659999999991</v>
      </c>
      <c r="Q539" s="16">
        <f>SUM(Tabela1[[#This Row],[201805]:[201807]])</f>
        <v>24472.180499999995</v>
      </c>
      <c r="R539" s="16">
        <f>SUM(Tabela1[[#This Row],[201905]:[201906]])</f>
        <v>19640.632499999996</v>
      </c>
      <c r="S539" s="16">
        <v>100000</v>
      </c>
      <c r="T539" s="16">
        <f>Tabela1[[#This Row],[Total 2019]]-Tabela1[[#This Row],[Total 2018]]</f>
        <v>-4831.5479999999989</v>
      </c>
      <c r="U539" s="40">
        <f>Tabela1[[#This Row],[Total 2019]]/Tabela1[[#This Row],[Meta]]</f>
        <v>0.19640632499999996</v>
      </c>
      <c r="V539" s="17">
        <f>IFERROR(Tabela1[[#This Row],[Total 2019]]/Tabela1[[#This Row],[Total 2018]]-1,0)</f>
        <v>-0.19743022081747064</v>
      </c>
      <c r="W53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539" s="48"/>
      <c r="Y539" s="19"/>
      <c r="Z539" s="68"/>
    </row>
    <row r="540" spans="3:26" x14ac:dyDescent="0.35">
      <c r="C540" s="11" t="s">
        <v>2702</v>
      </c>
      <c r="D540" s="12" t="s">
        <v>2698</v>
      </c>
      <c r="E540" s="12">
        <v>522</v>
      </c>
      <c r="F540" s="13" t="s">
        <v>1969</v>
      </c>
      <c r="G540" s="14">
        <v>2</v>
      </c>
      <c r="H540" s="14" t="s">
        <v>1372</v>
      </c>
      <c r="I540" s="13">
        <v>13</v>
      </c>
      <c r="J540" s="15" t="s">
        <v>1412</v>
      </c>
      <c r="K540" s="15" t="s">
        <v>2709</v>
      </c>
      <c r="L540" s="16">
        <v>2955.7159999999999</v>
      </c>
      <c r="M540" s="16">
        <v>500.00399999999996</v>
      </c>
      <c r="N540" s="16"/>
      <c r="O540" s="16"/>
      <c r="P540" s="16"/>
      <c r="Q540" s="16">
        <f>SUM(Tabela1[[#This Row],[201805]:[201807]])</f>
        <v>3455.72</v>
      </c>
      <c r="R540" s="16">
        <f>SUM(Tabela1[[#This Row],[201905]:[201906]])</f>
        <v>0</v>
      </c>
      <c r="S540" s="16">
        <v>100000</v>
      </c>
      <c r="T540" s="16">
        <f>Tabela1[[#This Row],[Total 2019]]-Tabela1[[#This Row],[Total 2018]]</f>
        <v>-3455.72</v>
      </c>
      <c r="U540" s="40">
        <f>Tabela1[[#This Row],[Total 2019]]/Tabela1[[#This Row],[Meta]]</f>
        <v>0</v>
      </c>
      <c r="V540" s="17">
        <f>IFERROR(Tabela1[[#This Row],[Total 2019]]/Tabela1[[#This Row],[Total 2018]]-1,0)</f>
        <v>-1</v>
      </c>
      <c r="W54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40" s="48"/>
      <c r="Y540" s="19"/>
      <c r="Z540" s="68"/>
    </row>
    <row r="541" spans="3:26" x14ac:dyDescent="0.35">
      <c r="C541" s="11" t="s">
        <v>2704</v>
      </c>
      <c r="D541" s="12" t="s">
        <v>2699</v>
      </c>
      <c r="E541" s="12">
        <v>523</v>
      </c>
      <c r="F541" s="13" t="s">
        <v>1970</v>
      </c>
      <c r="G541" s="14">
        <v>1</v>
      </c>
      <c r="H541" s="14" t="s">
        <v>1371</v>
      </c>
      <c r="I541" s="13">
        <v>5</v>
      </c>
      <c r="J541" s="15" t="s">
        <v>1404</v>
      </c>
      <c r="K541" s="15" t="s">
        <v>2707</v>
      </c>
      <c r="L541" s="16">
        <v>4369.0119999999997</v>
      </c>
      <c r="M541" s="16">
        <v>2844.9269999999997</v>
      </c>
      <c r="N541" s="16"/>
      <c r="O541" s="16"/>
      <c r="P541" s="16"/>
      <c r="Q541" s="16">
        <f>SUM(Tabela1[[#This Row],[201805]:[201807]])</f>
        <v>7213.9389999999994</v>
      </c>
      <c r="R541" s="16">
        <f>SUM(Tabela1[[#This Row],[201905]:[201906]])</f>
        <v>0</v>
      </c>
      <c r="S541" s="16">
        <v>100000</v>
      </c>
      <c r="T541" s="16">
        <f>Tabela1[[#This Row],[Total 2019]]-Tabela1[[#This Row],[Total 2018]]</f>
        <v>-7213.9389999999994</v>
      </c>
      <c r="U541" s="40">
        <f>Tabela1[[#This Row],[Total 2019]]/Tabela1[[#This Row],[Meta]]</f>
        <v>0</v>
      </c>
      <c r="V541" s="17">
        <f>IFERROR(Tabela1[[#This Row],[Total 2019]]/Tabela1[[#This Row],[Total 2018]]-1,0)</f>
        <v>-1</v>
      </c>
      <c r="W54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41" s="48"/>
      <c r="Y541" s="19"/>
      <c r="Z541" s="68"/>
    </row>
    <row r="542" spans="3:26" x14ac:dyDescent="0.35">
      <c r="C542" s="11" t="s">
        <v>2702</v>
      </c>
      <c r="D542" s="12" t="s">
        <v>2698</v>
      </c>
      <c r="E542" s="12">
        <v>524</v>
      </c>
      <c r="F542" s="13" t="s">
        <v>1971</v>
      </c>
      <c r="G542" s="14">
        <v>3</v>
      </c>
      <c r="H542" s="14" t="s">
        <v>1370</v>
      </c>
      <c r="I542" s="13">
        <v>8</v>
      </c>
      <c r="J542" s="15" t="s">
        <v>1407</v>
      </c>
      <c r="K542" s="15" t="s">
        <v>2706</v>
      </c>
      <c r="L542" s="16"/>
      <c r="M542" s="16">
        <v>2614.9984999999997</v>
      </c>
      <c r="N542" s="16"/>
      <c r="O542" s="16"/>
      <c r="P542" s="16"/>
      <c r="Q542" s="16">
        <f>SUM(Tabela1[[#This Row],[201805]:[201807]])</f>
        <v>2614.9984999999997</v>
      </c>
      <c r="R542" s="16">
        <f>SUM(Tabela1[[#This Row],[201905]:[201906]])</f>
        <v>0</v>
      </c>
      <c r="S542" s="16">
        <v>100000</v>
      </c>
      <c r="T542" s="16">
        <f>Tabela1[[#This Row],[Total 2019]]-Tabela1[[#This Row],[Total 2018]]</f>
        <v>-2614.9984999999997</v>
      </c>
      <c r="U542" s="40">
        <f>Tabela1[[#This Row],[Total 2019]]/Tabela1[[#This Row],[Meta]]</f>
        <v>0</v>
      </c>
      <c r="V542" s="17">
        <f>IFERROR(Tabela1[[#This Row],[Total 2019]]/Tabela1[[#This Row],[Total 2018]]-1,0)</f>
        <v>-1</v>
      </c>
      <c r="W54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42" s="48"/>
      <c r="Y542" s="19"/>
      <c r="Z542" s="68"/>
    </row>
    <row r="543" spans="3:26" x14ac:dyDescent="0.35">
      <c r="C543" s="11" t="s">
        <v>2704</v>
      </c>
      <c r="D543" s="12" t="s">
        <v>2698</v>
      </c>
      <c r="E543" s="12">
        <v>525</v>
      </c>
      <c r="F543" s="13" t="s">
        <v>1972</v>
      </c>
      <c r="G543" s="14">
        <v>3</v>
      </c>
      <c r="H543" s="14" t="s">
        <v>1371</v>
      </c>
      <c r="I543" s="13">
        <v>4</v>
      </c>
      <c r="J543" s="15" t="s">
        <v>1403</v>
      </c>
      <c r="K543" s="15" t="s">
        <v>2707</v>
      </c>
      <c r="L543" s="16"/>
      <c r="M543" s="16">
        <v>3196.9495000000002</v>
      </c>
      <c r="N543" s="16">
        <v>1601.8899999999999</v>
      </c>
      <c r="O543" s="16"/>
      <c r="P543" s="16"/>
      <c r="Q543" s="16">
        <f>SUM(Tabela1[[#This Row],[201805]:[201807]])</f>
        <v>4798.8395</v>
      </c>
      <c r="R543" s="16">
        <f>SUM(Tabela1[[#This Row],[201905]:[201906]])</f>
        <v>0</v>
      </c>
      <c r="S543" s="16">
        <v>100000</v>
      </c>
      <c r="T543" s="16">
        <f>Tabela1[[#This Row],[Total 2019]]-Tabela1[[#This Row],[Total 2018]]</f>
        <v>-4798.8395</v>
      </c>
      <c r="U543" s="40">
        <f>Tabela1[[#This Row],[Total 2019]]/Tabela1[[#This Row],[Meta]]</f>
        <v>0</v>
      </c>
      <c r="V543" s="17">
        <f>IFERROR(Tabela1[[#This Row],[Total 2019]]/Tabela1[[#This Row],[Total 2018]]-1,0)</f>
        <v>-1</v>
      </c>
      <c r="W54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43" s="48"/>
      <c r="Y543" s="19"/>
      <c r="Z543" s="68"/>
    </row>
    <row r="544" spans="3:26" x14ac:dyDescent="0.35">
      <c r="C544" s="11" t="s">
        <v>2704</v>
      </c>
      <c r="D544" s="12" t="s">
        <v>2699</v>
      </c>
      <c r="E544" s="12">
        <v>526</v>
      </c>
      <c r="F544" s="13" t="s">
        <v>1973</v>
      </c>
      <c r="G544" s="14">
        <v>3</v>
      </c>
      <c r="H544" s="14" t="s">
        <v>1372</v>
      </c>
      <c r="I544" s="13">
        <v>25</v>
      </c>
      <c r="J544" s="15" t="s">
        <v>1424</v>
      </c>
      <c r="K544" s="15" t="s">
        <v>2708</v>
      </c>
      <c r="L544" s="16">
        <v>1992.6914999999999</v>
      </c>
      <c r="M544" s="16">
        <v>4294</v>
      </c>
      <c r="N544" s="16"/>
      <c r="O544" s="16"/>
      <c r="P544" s="16"/>
      <c r="Q544" s="16">
        <f>SUM(Tabela1[[#This Row],[201805]:[201807]])</f>
        <v>6286.6914999999999</v>
      </c>
      <c r="R544" s="16">
        <f>SUM(Tabela1[[#This Row],[201905]:[201906]])</f>
        <v>0</v>
      </c>
      <c r="S544" s="16">
        <v>100000</v>
      </c>
      <c r="T544" s="16">
        <f>Tabela1[[#This Row],[Total 2019]]-Tabela1[[#This Row],[Total 2018]]</f>
        <v>-6286.6914999999999</v>
      </c>
      <c r="U544" s="40">
        <f>Tabela1[[#This Row],[Total 2019]]/Tabela1[[#This Row],[Meta]]</f>
        <v>0</v>
      </c>
      <c r="V544" s="17">
        <f>IFERROR(Tabela1[[#This Row],[Total 2019]]/Tabela1[[#This Row],[Total 2018]]-1,0)</f>
        <v>-1</v>
      </c>
      <c r="W54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44" s="48"/>
      <c r="Y544" s="19"/>
      <c r="Z544" s="68"/>
    </row>
    <row r="545" spans="3:26" x14ac:dyDescent="0.35">
      <c r="C545" s="11" t="s">
        <v>2702</v>
      </c>
      <c r="D545" s="12" t="s">
        <v>2698</v>
      </c>
      <c r="E545" s="12">
        <v>527</v>
      </c>
      <c r="F545" s="13" t="s">
        <v>1974</v>
      </c>
      <c r="G545" s="14">
        <v>3</v>
      </c>
      <c r="H545" s="14" t="s">
        <v>1370</v>
      </c>
      <c r="I545" s="13">
        <v>34</v>
      </c>
      <c r="J545" s="15" t="s">
        <v>1433</v>
      </c>
      <c r="K545" s="15" t="s">
        <v>2706</v>
      </c>
      <c r="L545" s="16"/>
      <c r="M545" s="16">
        <v>1405.2494999999999</v>
      </c>
      <c r="N545" s="16">
        <v>721.12599999999998</v>
      </c>
      <c r="O545" s="16"/>
      <c r="P545" s="16"/>
      <c r="Q545" s="16">
        <f>SUM(Tabela1[[#This Row],[201805]:[201807]])</f>
        <v>2126.3755000000001</v>
      </c>
      <c r="R545" s="16">
        <f>SUM(Tabela1[[#This Row],[201905]:[201906]])</f>
        <v>0</v>
      </c>
      <c r="S545" s="16">
        <v>100000</v>
      </c>
      <c r="T545" s="16">
        <f>Tabela1[[#This Row],[Total 2019]]-Tabela1[[#This Row],[Total 2018]]</f>
        <v>-2126.3755000000001</v>
      </c>
      <c r="U545" s="40">
        <f>Tabela1[[#This Row],[Total 2019]]/Tabela1[[#This Row],[Meta]]</f>
        <v>0</v>
      </c>
      <c r="V545" s="17">
        <f>IFERROR(Tabela1[[#This Row],[Total 2019]]/Tabela1[[#This Row],[Total 2018]]-1,0)</f>
        <v>-1</v>
      </c>
      <c r="W54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45" s="48"/>
      <c r="Y545" s="19"/>
      <c r="Z545" s="68"/>
    </row>
    <row r="546" spans="3:26" x14ac:dyDescent="0.35">
      <c r="C546" s="11" t="s">
        <v>2704</v>
      </c>
      <c r="D546" s="12" t="s">
        <v>2698</v>
      </c>
      <c r="E546" s="12">
        <v>528</v>
      </c>
      <c r="F546" s="13" t="s">
        <v>1975</v>
      </c>
      <c r="G546" s="14">
        <v>3</v>
      </c>
      <c r="H546" s="14" t="s">
        <v>1370</v>
      </c>
      <c r="I546" s="13">
        <v>1</v>
      </c>
      <c r="J546" s="15" t="s">
        <v>1400</v>
      </c>
      <c r="K546" s="15" t="s">
        <v>2706</v>
      </c>
      <c r="L546" s="16">
        <v>2177.9319999999998</v>
      </c>
      <c r="M546" s="16">
        <v>620.86299999999994</v>
      </c>
      <c r="N546" s="16"/>
      <c r="O546" s="16"/>
      <c r="P546" s="16"/>
      <c r="Q546" s="16">
        <f>SUM(Tabela1[[#This Row],[201805]:[201807]])</f>
        <v>2798.7949999999996</v>
      </c>
      <c r="R546" s="16">
        <f>SUM(Tabela1[[#This Row],[201905]:[201906]])</f>
        <v>0</v>
      </c>
      <c r="S546" s="16">
        <v>100000</v>
      </c>
      <c r="T546" s="16">
        <f>Tabela1[[#This Row],[Total 2019]]-Tabela1[[#This Row],[Total 2018]]</f>
        <v>-2798.7949999999996</v>
      </c>
      <c r="U546" s="40">
        <f>Tabela1[[#This Row],[Total 2019]]/Tabela1[[#This Row],[Meta]]</f>
        <v>0</v>
      </c>
      <c r="V546" s="17">
        <f>IFERROR(Tabela1[[#This Row],[Total 2019]]/Tabela1[[#This Row],[Total 2018]]-1,0)</f>
        <v>-1</v>
      </c>
      <c r="W54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46" s="48"/>
      <c r="Y546" s="19"/>
      <c r="Z546" s="68"/>
    </row>
    <row r="547" spans="3:26" x14ac:dyDescent="0.35">
      <c r="C547" s="11" t="s">
        <v>2702</v>
      </c>
      <c r="D547" s="12" t="s">
        <v>2698</v>
      </c>
      <c r="E547" s="12">
        <v>529</v>
      </c>
      <c r="F547" s="13" t="s">
        <v>1976</v>
      </c>
      <c r="G547" s="14">
        <v>2</v>
      </c>
      <c r="H547" s="14" t="s">
        <v>1370</v>
      </c>
      <c r="I547" s="13">
        <v>11</v>
      </c>
      <c r="J547" s="15" t="s">
        <v>1410</v>
      </c>
      <c r="K547" s="15" t="s">
        <v>2706</v>
      </c>
      <c r="L547" s="16"/>
      <c r="M547" s="16"/>
      <c r="N547" s="16"/>
      <c r="O547" s="16">
        <v>2954.6899999999996</v>
      </c>
      <c r="P547" s="16"/>
      <c r="Q547" s="16">
        <f>SUM(Tabela1[[#This Row],[201805]:[201807]])</f>
        <v>0</v>
      </c>
      <c r="R547" s="16">
        <f>SUM(Tabela1[[#This Row],[201905]:[201906]])</f>
        <v>2954.6899999999996</v>
      </c>
      <c r="S547" s="16">
        <v>100000</v>
      </c>
      <c r="T547" s="16">
        <f>Tabela1[[#This Row],[Total 2019]]-Tabela1[[#This Row],[Total 2018]]</f>
        <v>2954.6899999999996</v>
      </c>
      <c r="U547" s="40">
        <f>Tabela1[[#This Row],[Total 2019]]/Tabela1[[#This Row],[Meta]]</f>
        <v>2.9546899999999997E-2</v>
      </c>
      <c r="V547" s="17">
        <f>IFERROR(Tabela1[[#This Row],[Total 2019]]/Tabela1[[#This Row],[Total 2018]]-1,0)</f>
        <v>0</v>
      </c>
      <c r="W54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547" s="48"/>
      <c r="Y547" s="19"/>
      <c r="Z547" s="68"/>
    </row>
    <row r="548" spans="3:26" x14ac:dyDescent="0.35">
      <c r="C548" s="11" t="s">
        <v>2702</v>
      </c>
      <c r="D548" s="12" t="s">
        <v>2699</v>
      </c>
      <c r="E548" s="12">
        <v>530</v>
      </c>
      <c r="F548" s="13" t="s">
        <v>1977</v>
      </c>
      <c r="G548" s="14">
        <v>1</v>
      </c>
      <c r="H548" s="14" t="s">
        <v>1372</v>
      </c>
      <c r="I548" s="13">
        <v>20</v>
      </c>
      <c r="J548" s="15" t="s">
        <v>1419</v>
      </c>
      <c r="K548" s="15" t="s">
        <v>2708</v>
      </c>
      <c r="L548" s="16">
        <v>1402.7984999999999</v>
      </c>
      <c r="M548" s="16">
        <v>1665.3405</v>
      </c>
      <c r="N548" s="16"/>
      <c r="O548" s="16"/>
      <c r="P548" s="16"/>
      <c r="Q548" s="16">
        <f>SUM(Tabela1[[#This Row],[201805]:[201807]])</f>
        <v>3068.1390000000001</v>
      </c>
      <c r="R548" s="16">
        <f>SUM(Tabela1[[#This Row],[201905]:[201906]])</f>
        <v>0</v>
      </c>
      <c r="S548" s="16">
        <v>100000</v>
      </c>
      <c r="T548" s="16">
        <f>Tabela1[[#This Row],[Total 2019]]-Tabela1[[#This Row],[Total 2018]]</f>
        <v>-3068.1390000000001</v>
      </c>
      <c r="U548" s="40">
        <f>Tabela1[[#This Row],[Total 2019]]/Tabela1[[#This Row],[Meta]]</f>
        <v>0</v>
      </c>
      <c r="V548" s="17">
        <f>IFERROR(Tabela1[[#This Row],[Total 2019]]/Tabela1[[#This Row],[Total 2018]]-1,0)</f>
        <v>-1</v>
      </c>
      <c r="W54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48" s="48"/>
      <c r="Y548" s="19"/>
      <c r="Z548" s="68"/>
    </row>
    <row r="549" spans="3:26" x14ac:dyDescent="0.35">
      <c r="C549" s="11" t="s">
        <v>2704</v>
      </c>
      <c r="D549" s="12" t="s">
        <v>2698</v>
      </c>
      <c r="E549" s="12">
        <v>531</v>
      </c>
      <c r="F549" s="13" t="s">
        <v>1978</v>
      </c>
      <c r="G549" s="14">
        <v>2</v>
      </c>
      <c r="H549" s="14" t="s">
        <v>1372</v>
      </c>
      <c r="I549" s="13">
        <v>20</v>
      </c>
      <c r="J549" s="15" t="s">
        <v>1419</v>
      </c>
      <c r="K549" s="15" t="s">
        <v>2708</v>
      </c>
      <c r="L549" s="16">
        <v>1885.0374999999999</v>
      </c>
      <c r="M549" s="16">
        <v>4543.2704999999996</v>
      </c>
      <c r="N549" s="16">
        <v>2869.4370000000004</v>
      </c>
      <c r="O549" s="16">
        <v>6490.5424999999987</v>
      </c>
      <c r="P549" s="16">
        <v>1478.2284999999999</v>
      </c>
      <c r="Q549" s="16">
        <f>SUM(Tabela1[[#This Row],[201805]:[201807]])</f>
        <v>9297.744999999999</v>
      </c>
      <c r="R549" s="16">
        <f>SUM(Tabela1[[#This Row],[201905]:[201906]])</f>
        <v>7968.7709999999988</v>
      </c>
      <c r="S549" s="16">
        <v>100000</v>
      </c>
      <c r="T549" s="16">
        <f>Tabela1[[#This Row],[Total 2019]]-Tabela1[[#This Row],[Total 2018]]</f>
        <v>-1328.9740000000002</v>
      </c>
      <c r="U549" s="40">
        <f>Tabela1[[#This Row],[Total 2019]]/Tabela1[[#This Row],[Meta]]</f>
        <v>7.9687709999999995E-2</v>
      </c>
      <c r="V549" s="17">
        <f>IFERROR(Tabela1[[#This Row],[Total 2019]]/Tabela1[[#This Row],[Total 2018]]-1,0)</f>
        <v>-0.14293508802403165</v>
      </c>
      <c r="W54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549" s="48"/>
      <c r="Y549" s="19"/>
      <c r="Z549" s="68"/>
    </row>
    <row r="550" spans="3:26" x14ac:dyDescent="0.35">
      <c r="C550" s="11" t="s">
        <v>2702</v>
      </c>
      <c r="D550" s="12" t="s">
        <v>2700</v>
      </c>
      <c r="E550" s="12">
        <v>532</v>
      </c>
      <c r="F550" s="13" t="s">
        <v>1979</v>
      </c>
      <c r="G550" s="14">
        <v>2</v>
      </c>
      <c r="H550" s="14" t="s">
        <v>1372</v>
      </c>
      <c r="I550" s="13">
        <v>22</v>
      </c>
      <c r="J550" s="15" t="s">
        <v>1421</v>
      </c>
      <c r="K550" s="15" t="s">
        <v>2708</v>
      </c>
      <c r="L550" s="16"/>
      <c r="M550" s="16">
        <v>2127.0119999999997</v>
      </c>
      <c r="N550" s="16">
        <v>249.91649999999998</v>
      </c>
      <c r="O550" s="16"/>
      <c r="P550" s="16"/>
      <c r="Q550" s="16">
        <f>SUM(Tabela1[[#This Row],[201805]:[201807]])</f>
        <v>2376.9284999999995</v>
      </c>
      <c r="R550" s="16">
        <f>SUM(Tabela1[[#This Row],[201905]:[201906]])</f>
        <v>0</v>
      </c>
      <c r="S550" s="16">
        <v>100000</v>
      </c>
      <c r="T550" s="16">
        <f>Tabela1[[#This Row],[Total 2019]]-Tabela1[[#This Row],[Total 2018]]</f>
        <v>-2376.9284999999995</v>
      </c>
      <c r="U550" s="40">
        <f>Tabela1[[#This Row],[Total 2019]]/Tabela1[[#This Row],[Meta]]</f>
        <v>0</v>
      </c>
      <c r="V550" s="17">
        <f>IFERROR(Tabela1[[#This Row],[Total 2019]]/Tabela1[[#This Row],[Total 2018]]-1,0)</f>
        <v>-1</v>
      </c>
      <c r="W55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50" s="48"/>
      <c r="Y550" s="19"/>
      <c r="Z550" s="68"/>
    </row>
    <row r="551" spans="3:26" x14ac:dyDescent="0.35">
      <c r="C551" s="11" t="s">
        <v>2702</v>
      </c>
      <c r="D551" s="12" t="s">
        <v>2700</v>
      </c>
      <c r="E551" s="12">
        <v>533</v>
      </c>
      <c r="F551" s="13" t="s">
        <v>1980</v>
      </c>
      <c r="G551" s="14">
        <v>2</v>
      </c>
      <c r="H551" s="14" t="s">
        <v>1370</v>
      </c>
      <c r="I551" s="13">
        <v>1</v>
      </c>
      <c r="J551" s="15" t="s">
        <v>1400</v>
      </c>
      <c r="K551" s="15" t="s">
        <v>2706</v>
      </c>
      <c r="L551" s="16">
        <v>8073.0905000000002</v>
      </c>
      <c r="M551" s="16">
        <v>17379.9935</v>
      </c>
      <c r="N551" s="16">
        <v>1674.5840000000001</v>
      </c>
      <c r="O551" s="16"/>
      <c r="P551" s="16"/>
      <c r="Q551" s="16">
        <f>SUM(Tabela1[[#This Row],[201805]:[201807]])</f>
        <v>27127.668000000001</v>
      </c>
      <c r="R551" s="16">
        <f>SUM(Tabela1[[#This Row],[201905]:[201906]])</f>
        <v>0</v>
      </c>
      <c r="S551" s="16">
        <v>100000</v>
      </c>
      <c r="T551" s="16">
        <f>Tabela1[[#This Row],[Total 2019]]-Tabela1[[#This Row],[Total 2018]]</f>
        <v>-27127.668000000001</v>
      </c>
      <c r="U551" s="40">
        <f>Tabela1[[#This Row],[Total 2019]]/Tabela1[[#This Row],[Meta]]</f>
        <v>0</v>
      </c>
      <c r="V551" s="17">
        <f>IFERROR(Tabela1[[#This Row],[Total 2019]]/Tabela1[[#This Row],[Total 2018]]-1,0)</f>
        <v>-1</v>
      </c>
      <c r="W55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51" s="48"/>
      <c r="Y551" s="19"/>
      <c r="Z551" s="68"/>
    </row>
    <row r="552" spans="3:26" x14ac:dyDescent="0.35">
      <c r="C552" s="11" t="s">
        <v>2704</v>
      </c>
      <c r="D552" s="12" t="s">
        <v>2699</v>
      </c>
      <c r="E552" s="12">
        <v>534</v>
      </c>
      <c r="F552" s="13" t="s">
        <v>1981</v>
      </c>
      <c r="G552" s="14">
        <v>3</v>
      </c>
      <c r="H552" s="14" t="s">
        <v>1370</v>
      </c>
      <c r="I552" s="13">
        <v>29</v>
      </c>
      <c r="J552" s="15" t="s">
        <v>1428</v>
      </c>
      <c r="K552" s="15" t="s">
        <v>2706</v>
      </c>
      <c r="L552" s="16">
        <v>8893.0544999999984</v>
      </c>
      <c r="M552" s="16">
        <v>3825.5264999999999</v>
      </c>
      <c r="N552" s="16"/>
      <c r="O552" s="16"/>
      <c r="P552" s="16"/>
      <c r="Q552" s="16">
        <f>SUM(Tabela1[[#This Row],[201805]:[201807]])</f>
        <v>12718.580999999998</v>
      </c>
      <c r="R552" s="16">
        <f>SUM(Tabela1[[#This Row],[201905]:[201906]])</f>
        <v>0</v>
      </c>
      <c r="S552" s="16">
        <v>100000</v>
      </c>
      <c r="T552" s="16">
        <f>Tabela1[[#This Row],[Total 2019]]-Tabela1[[#This Row],[Total 2018]]</f>
        <v>-12718.580999999998</v>
      </c>
      <c r="U552" s="40">
        <f>Tabela1[[#This Row],[Total 2019]]/Tabela1[[#This Row],[Meta]]</f>
        <v>0</v>
      </c>
      <c r="V552" s="17">
        <f>IFERROR(Tabela1[[#This Row],[Total 2019]]/Tabela1[[#This Row],[Total 2018]]-1,0)</f>
        <v>-1</v>
      </c>
      <c r="W55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52" s="48"/>
      <c r="Y552" s="19"/>
      <c r="Z552" s="68"/>
    </row>
    <row r="553" spans="3:26" x14ac:dyDescent="0.35">
      <c r="C553" s="11" t="s">
        <v>2702</v>
      </c>
      <c r="D553" s="12" t="s">
        <v>2698</v>
      </c>
      <c r="E553" s="12">
        <v>535</v>
      </c>
      <c r="F553" s="13" t="s">
        <v>1982</v>
      </c>
      <c r="G553" s="14">
        <v>2</v>
      </c>
      <c r="H553" s="14" t="s">
        <v>1372</v>
      </c>
      <c r="I553" s="13">
        <v>20</v>
      </c>
      <c r="J553" s="15" t="s">
        <v>1419</v>
      </c>
      <c r="K553" s="15" t="s">
        <v>2708</v>
      </c>
      <c r="L553" s="16">
        <v>3724.4369999999999</v>
      </c>
      <c r="M553" s="16">
        <v>5658.285499999999</v>
      </c>
      <c r="N553" s="16">
        <v>3125.9369999999999</v>
      </c>
      <c r="O553" s="16">
        <v>14137.482</v>
      </c>
      <c r="P553" s="16">
        <v>2067.7224999999999</v>
      </c>
      <c r="Q553" s="16">
        <f>SUM(Tabela1[[#This Row],[201805]:[201807]])</f>
        <v>12508.6595</v>
      </c>
      <c r="R553" s="16">
        <f>SUM(Tabela1[[#This Row],[201905]:[201906]])</f>
        <v>16205.2045</v>
      </c>
      <c r="S553" s="16">
        <v>100000</v>
      </c>
      <c r="T553" s="16">
        <f>Tabela1[[#This Row],[Total 2019]]-Tabela1[[#This Row],[Total 2018]]</f>
        <v>3696.5450000000001</v>
      </c>
      <c r="U553" s="40">
        <f>Tabela1[[#This Row],[Total 2019]]/Tabela1[[#This Row],[Meta]]</f>
        <v>0.16205204500000001</v>
      </c>
      <c r="V553" s="17">
        <f>IFERROR(Tabela1[[#This Row],[Total 2019]]/Tabela1[[#This Row],[Total 2018]]-1,0)</f>
        <v>0.29551887634322438</v>
      </c>
      <c r="W55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553" s="48"/>
      <c r="Y553" s="19"/>
      <c r="Z553" s="68"/>
    </row>
    <row r="554" spans="3:26" x14ac:dyDescent="0.35">
      <c r="C554" s="11" t="s">
        <v>2702</v>
      </c>
      <c r="D554" s="12" t="s">
        <v>2700</v>
      </c>
      <c r="E554" s="12">
        <v>536</v>
      </c>
      <c r="F554" s="13" t="s">
        <v>1983</v>
      </c>
      <c r="G554" s="14">
        <v>1</v>
      </c>
      <c r="H554" s="14" t="s">
        <v>1370</v>
      </c>
      <c r="I554" s="13">
        <v>1</v>
      </c>
      <c r="J554" s="15" t="s">
        <v>1400</v>
      </c>
      <c r="K554" s="15" t="s">
        <v>2706</v>
      </c>
      <c r="L554" s="16">
        <v>2660.8929999999996</v>
      </c>
      <c r="M554" s="16">
        <v>651.29149999999993</v>
      </c>
      <c r="N554" s="16"/>
      <c r="O554" s="16">
        <v>1436.7514999999996</v>
      </c>
      <c r="P554" s="16">
        <v>2373.4704999999994</v>
      </c>
      <c r="Q554" s="16">
        <f>SUM(Tabela1[[#This Row],[201805]:[201807]])</f>
        <v>3312.1844999999994</v>
      </c>
      <c r="R554" s="16">
        <f>SUM(Tabela1[[#This Row],[201905]:[201906]])</f>
        <v>3810.2219999999988</v>
      </c>
      <c r="S554" s="16">
        <v>100000</v>
      </c>
      <c r="T554" s="16">
        <f>Tabela1[[#This Row],[Total 2019]]-Tabela1[[#This Row],[Total 2018]]</f>
        <v>498.03749999999945</v>
      </c>
      <c r="U554" s="40">
        <f>Tabela1[[#This Row],[Total 2019]]/Tabela1[[#This Row],[Meta]]</f>
        <v>3.8102219999999985E-2</v>
      </c>
      <c r="V554" s="17">
        <f>IFERROR(Tabela1[[#This Row],[Total 2019]]/Tabela1[[#This Row],[Total 2018]]-1,0)</f>
        <v>0.15036526497844527</v>
      </c>
      <c r="W55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554" s="48"/>
      <c r="Y554" s="19"/>
      <c r="Z554" s="68"/>
    </row>
    <row r="555" spans="3:26" x14ac:dyDescent="0.35">
      <c r="C555" s="11" t="s">
        <v>2702</v>
      </c>
      <c r="D555" s="12" t="s">
        <v>2698</v>
      </c>
      <c r="E555" s="12">
        <v>537</v>
      </c>
      <c r="F555" s="13" t="s">
        <v>1984</v>
      </c>
      <c r="G555" s="14">
        <v>1</v>
      </c>
      <c r="H555" s="14" t="s">
        <v>1371</v>
      </c>
      <c r="I555" s="13">
        <v>31</v>
      </c>
      <c r="J555" s="15" t="s">
        <v>1430</v>
      </c>
      <c r="K555" s="15" t="s">
        <v>2707</v>
      </c>
      <c r="L555" s="16"/>
      <c r="M555" s="16">
        <v>4128.9375</v>
      </c>
      <c r="N555" s="16">
        <v>8942.9579999999987</v>
      </c>
      <c r="O555" s="16"/>
      <c r="P555" s="16"/>
      <c r="Q555" s="16">
        <f>SUM(Tabela1[[#This Row],[201805]:[201807]])</f>
        <v>13071.895499999999</v>
      </c>
      <c r="R555" s="16">
        <f>SUM(Tabela1[[#This Row],[201905]:[201906]])</f>
        <v>0</v>
      </c>
      <c r="S555" s="16">
        <v>100000</v>
      </c>
      <c r="T555" s="16">
        <f>Tabela1[[#This Row],[Total 2019]]-Tabela1[[#This Row],[Total 2018]]</f>
        <v>-13071.895499999999</v>
      </c>
      <c r="U555" s="40">
        <f>Tabela1[[#This Row],[Total 2019]]/Tabela1[[#This Row],[Meta]]</f>
        <v>0</v>
      </c>
      <c r="V555" s="17">
        <f>IFERROR(Tabela1[[#This Row],[Total 2019]]/Tabela1[[#This Row],[Total 2018]]-1,0)</f>
        <v>-1</v>
      </c>
      <c r="W55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55" s="48"/>
      <c r="Y555" s="19"/>
      <c r="Z555" s="68"/>
    </row>
    <row r="556" spans="3:26" x14ac:dyDescent="0.35">
      <c r="C556" s="11" t="s">
        <v>2703</v>
      </c>
      <c r="D556" s="12" t="s">
        <v>2698</v>
      </c>
      <c r="E556" s="12">
        <v>538</v>
      </c>
      <c r="F556" s="13" t="s">
        <v>1985</v>
      </c>
      <c r="G556" s="14">
        <v>1</v>
      </c>
      <c r="H556" s="14" t="s">
        <v>1372</v>
      </c>
      <c r="I556" s="13">
        <v>10</v>
      </c>
      <c r="J556" s="15" t="s">
        <v>1409</v>
      </c>
      <c r="K556" s="15" t="s">
        <v>2708</v>
      </c>
      <c r="L556" s="16">
        <v>1825.425</v>
      </c>
      <c r="M556" s="16">
        <v>2283.3534999999997</v>
      </c>
      <c r="N556" s="16">
        <v>1339.9939999999999</v>
      </c>
      <c r="O556" s="16">
        <v>1167.3029999999999</v>
      </c>
      <c r="P556" s="16">
        <v>1540.8049999999998</v>
      </c>
      <c r="Q556" s="16">
        <f>SUM(Tabela1[[#This Row],[201805]:[201807]])</f>
        <v>5448.7724999999991</v>
      </c>
      <c r="R556" s="16">
        <f>SUM(Tabela1[[#This Row],[201905]:[201906]])</f>
        <v>2708.1079999999997</v>
      </c>
      <c r="S556" s="16">
        <v>100000</v>
      </c>
      <c r="T556" s="16">
        <f>Tabela1[[#This Row],[Total 2019]]-Tabela1[[#This Row],[Total 2018]]</f>
        <v>-2740.6644999999994</v>
      </c>
      <c r="U556" s="40">
        <f>Tabela1[[#This Row],[Total 2019]]/Tabela1[[#This Row],[Meta]]</f>
        <v>2.7081079999999997E-2</v>
      </c>
      <c r="V556" s="17">
        <f>IFERROR(Tabela1[[#This Row],[Total 2019]]/Tabela1[[#This Row],[Total 2018]]-1,0)</f>
        <v>-0.50298750773683421</v>
      </c>
      <c r="W55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556" s="48"/>
      <c r="Y556" s="19"/>
      <c r="Z556" s="68"/>
    </row>
    <row r="557" spans="3:26" x14ac:dyDescent="0.35">
      <c r="C557" s="11" t="s">
        <v>2703</v>
      </c>
      <c r="D557" s="12" t="s">
        <v>2699</v>
      </c>
      <c r="E557" s="12">
        <v>539</v>
      </c>
      <c r="F557" s="13" t="s">
        <v>1986</v>
      </c>
      <c r="G557" s="14">
        <v>1</v>
      </c>
      <c r="H557" s="14" t="s">
        <v>1371</v>
      </c>
      <c r="I557" s="13">
        <v>5</v>
      </c>
      <c r="J557" s="15" t="s">
        <v>1404</v>
      </c>
      <c r="K557" s="15" t="s">
        <v>2707</v>
      </c>
      <c r="L557" s="16">
        <v>5936.8540000000003</v>
      </c>
      <c r="M557" s="16">
        <v>2194.1770000000001</v>
      </c>
      <c r="N557" s="16"/>
      <c r="O557" s="16"/>
      <c r="P557" s="16"/>
      <c r="Q557" s="16">
        <f>SUM(Tabela1[[#This Row],[201805]:[201807]])</f>
        <v>8131.0310000000009</v>
      </c>
      <c r="R557" s="16">
        <f>SUM(Tabela1[[#This Row],[201905]:[201906]])</f>
        <v>0</v>
      </c>
      <c r="S557" s="16">
        <v>100000</v>
      </c>
      <c r="T557" s="16">
        <f>Tabela1[[#This Row],[Total 2019]]-Tabela1[[#This Row],[Total 2018]]</f>
        <v>-8131.0310000000009</v>
      </c>
      <c r="U557" s="40">
        <f>Tabela1[[#This Row],[Total 2019]]/Tabela1[[#This Row],[Meta]]</f>
        <v>0</v>
      </c>
      <c r="V557" s="17">
        <f>IFERROR(Tabela1[[#This Row],[Total 2019]]/Tabela1[[#This Row],[Total 2018]]-1,0)</f>
        <v>-1</v>
      </c>
      <c r="W55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57" s="48"/>
      <c r="Y557" s="19"/>
      <c r="Z557" s="68"/>
    </row>
    <row r="558" spans="3:26" x14ac:dyDescent="0.35">
      <c r="C558" s="11" t="s">
        <v>2703</v>
      </c>
      <c r="D558" s="12" t="s">
        <v>2698</v>
      </c>
      <c r="E558" s="12">
        <v>540</v>
      </c>
      <c r="F558" s="13" t="s">
        <v>1987</v>
      </c>
      <c r="G558" s="14">
        <v>3</v>
      </c>
      <c r="H558" s="14" t="s">
        <v>1372</v>
      </c>
      <c r="I558" s="13">
        <v>21</v>
      </c>
      <c r="J558" s="15" t="s">
        <v>1420</v>
      </c>
      <c r="K558" s="15" t="s">
        <v>2708</v>
      </c>
      <c r="L558" s="16">
        <v>2552.3744999999999</v>
      </c>
      <c r="M558" s="16">
        <v>3687.7004999999995</v>
      </c>
      <c r="N558" s="16">
        <v>2430.5940000000001</v>
      </c>
      <c r="O558" s="16"/>
      <c r="P558" s="16"/>
      <c r="Q558" s="16">
        <f>SUM(Tabela1[[#This Row],[201805]:[201807]])</f>
        <v>8670.6689999999981</v>
      </c>
      <c r="R558" s="16">
        <f>SUM(Tabela1[[#This Row],[201905]:[201906]])</f>
        <v>0</v>
      </c>
      <c r="S558" s="16">
        <v>100000</v>
      </c>
      <c r="T558" s="16">
        <f>Tabela1[[#This Row],[Total 2019]]-Tabela1[[#This Row],[Total 2018]]</f>
        <v>-8670.6689999999981</v>
      </c>
      <c r="U558" s="40">
        <f>Tabela1[[#This Row],[Total 2019]]/Tabela1[[#This Row],[Meta]]</f>
        <v>0</v>
      </c>
      <c r="V558" s="17">
        <f>IFERROR(Tabela1[[#This Row],[Total 2019]]/Tabela1[[#This Row],[Total 2018]]-1,0)</f>
        <v>-1</v>
      </c>
      <c r="W55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58" s="48"/>
      <c r="Y558" s="19"/>
      <c r="Z558" s="68"/>
    </row>
    <row r="559" spans="3:26" x14ac:dyDescent="0.35">
      <c r="C559" s="11" t="s">
        <v>2702</v>
      </c>
      <c r="D559" s="12" t="s">
        <v>2700</v>
      </c>
      <c r="E559" s="12">
        <v>541</v>
      </c>
      <c r="F559" s="13" t="s">
        <v>1988</v>
      </c>
      <c r="G559" s="14">
        <v>3</v>
      </c>
      <c r="H559" s="14" t="s">
        <v>1372</v>
      </c>
      <c r="I559" s="13">
        <v>23</v>
      </c>
      <c r="J559" s="15" t="s">
        <v>1422</v>
      </c>
      <c r="K559" s="15" t="s">
        <v>2708</v>
      </c>
      <c r="L559" s="16"/>
      <c r="M559" s="16">
        <v>1662.3955000000001</v>
      </c>
      <c r="N559" s="16"/>
      <c r="O559" s="16"/>
      <c r="P559" s="16"/>
      <c r="Q559" s="16">
        <f>SUM(Tabela1[[#This Row],[201805]:[201807]])</f>
        <v>1662.3955000000001</v>
      </c>
      <c r="R559" s="16">
        <f>SUM(Tabela1[[#This Row],[201905]:[201906]])</f>
        <v>0</v>
      </c>
      <c r="S559" s="16">
        <v>100000</v>
      </c>
      <c r="T559" s="16">
        <f>Tabela1[[#This Row],[Total 2019]]-Tabela1[[#This Row],[Total 2018]]</f>
        <v>-1662.3955000000001</v>
      </c>
      <c r="U559" s="40">
        <f>Tabela1[[#This Row],[Total 2019]]/Tabela1[[#This Row],[Meta]]</f>
        <v>0</v>
      </c>
      <c r="V559" s="17">
        <f>IFERROR(Tabela1[[#This Row],[Total 2019]]/Tabela1[[#This Row],[Total 2018]]-1,0)</f>
        <v>-1</v>
      </c>
      <c r="W55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59" s="48"/>
      <c r="Y559" s="19"/>
      <c r="Z559" s="68"/>
    </row>
    <row r="560" spans="3:26" x14ac:dyDescent="0.35">
      <c r="C560" s="11" t="s">
        <v>2703</v>
      </c>
      <c r="D560" s="12" t="s">
        <v>2699</v>
      </c>
      <c r="E560" s="12">
        <v>542</v>
      </c>
      <c r="F560" s="13" t="s">
        <v>1989</v>
      </c>
      <c r="G560" s="14">
        <v>3</v>
      </c>
      <c r="H560" s="14" t="s">
        <v>1370</v>
      </c>
      <c r="I560" s="13">
        <v>1</v>
      </c>
      <c r="J560" s="15" t="s">
        <v>1400</v>
      </c>
      <c r="K560" s="15" t="s">
        <v>2706</v>
      </c>
      <c r="L560" s="16">
        <v>1230.4209999999998</v>
      </c>
      <c r="M560" s="16">
        <v>5743.8615</v>
      </c>
      <c r="N560" s="16"/>
      <c r="O560" s="16"/>
      <c r="P560" s="16"/>
      <c r="Q560" s="16">
        <f>SUM(Tabela1[[#This Row],[201805]:[201807]])</f>
        <v>6974.2824999999993</v>
      </c>
      <c r="R560" s="16">
        <f>SUM(Tabela1[[#This Row],[201905]:[201906]])</f>
        <v>0</v>
      </c>
      <c r="S560" s="16">
        <v>100000</v>
      </c>
      <c r="T560" s="16">
        <f>Tabela1[[#This Row],[Total 2019]]-Tabela1[[#This Row],[Total 2018]]</f>
        <v>-6974.2824999999993</v>
      </c>
      <c r="U560" s="40">
        <f>Tabela1[[#This Row],[Total 2019]]/Tabela1[[#This Row],[Meta]]</f>
        <v>0</v>
      </c>
      <c r="V560" s="17">
        <f>IFERROR(Tabela1[[#This Row],[Total 2019]]/Tabela1[[#This Row],[Total 2018]]-1,0)</f>
        <v>-1</v>
      </c>
      <c r="W56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60" s="48"/>
      <c r="Y560" s="19"/>
      <c r="Z560" s="68"/>
    </row>
    <row r="561" spans="3:26" x14ac:dyDescent="0.35">
      <c r="C561" s="11" t="s">
        <v>2703</v>
      </c>
      <c r="D561" s="12" t="s">
        <v>2700</v>
      </c>
      <c r="E561" s="12">
        <v>543</v>
      </c>
      <c r="F561" s="13" t="s">
        <v>1990</v>
      </c>
      <c r="G561" s="14">
        <v>2</v>
      </c>
      <c r="H561" s="14" t="s">
        <v>1372</v>
      </c>
      <c r="I561" s="13">
        <v>21</v>
      </c>
      <c r="J561" s="15" t="s">
        <v>1420</v>
      </c>
      <c r="K561" s="15" t="s">
        <v>2708</v>
      </c>
      <c r="L561" s="16"/>
      <c r="M561" s="16">
        <v>2920.6229999999996</v>
      </c>
      <c r="N561" s="16">
        <v>1180.337</v>
      </c>
      <c r="O561" s="16"/>
      <c r="P561" s="16"/>
      <c r="Q561" s="16">
        <f>SUM(Tabela1[[#This Row],[201805]:[201807]])</f>
        <v>4100.9599999999991</v>
      </c>
      <c r="R561" s="16">
        <f>SUM(Tabela1[[#This Row],[201905]:[201906]])</f>
        <v>0</v>
      </c>
      <c r="S561" s="16">
        <v>100000</v>
      </c>
      <c r="T561" s="16">
        <f>Tabela1[[#This Row],[Total 2019]]-Tabela1[[#This Row],[Total 2018]]</f>
        <v>-4100.9599999999991</v>
      </c>
      <c r="U561" s="40">
        <f>Tabela1[[#This Row],[Total 2019]]/Tabela1[[#This Row],[Meta]]</f>
        <v>0</v>
      </c>
      <c r="V561" s="17">
        <f>IFERROR(Tabela1[[#This Row],[Total 2019]]/Tabela1[[#This Row],[Total 2018]]-1,0)</f>
        <v>-1</v>
      </c>
      <c r="W56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61" s="48"/>
      <c r="Y561" s="19"/>
      <c r="Z561" s="68"/>
    </row>
    <row r="562" spans="3:26" x14ac:dyDescent="0.35">
      <c r="C562" s="11" t="s">
        <v>2703</v>
      </c>
      <c r="D562" s="12" t="s">
        <v>2698</v>
      </c>
      <c r="E562" s="12">
        <v>544</v>
      </c>
      <c r="F562" s="13" t="s">
        <v>1991</v>
      </c>
      <c r="G562" s="14">
        <v>3</v>
      </c>
      <c r="H562" s="14" t="s">
        <v>1372</v>
      </c>
      <c r="I562" s="13">
        <v>25</v>
      </c>
      <c r="J562" s="15" t="s">
        <v>1424</v>
      </c>
      <c r="K562" s="15" t="s">
        <v>2708</v>
      </c>
      <c r="L562" s="16"/>
      <c r="M562" s="16"/>
      <c r="N562" s="16">
        <v>10614.625499999998</v>
      </c>
      <c r="O562" s="16"/>
      <c r="P562" s="16"/>
      <c r="Q562" s="16">
        <f>SUM(Tabela1[[#This Row],[201805]:[201807]])</f>
        <v>10614.625499999998</v>
      </c>
      <c r="R562" s="16">
        <f>SUM(Tabela1[[#This Row],[201905]:[201906]])</f>
        <v>0</v>
      </c>
      <c r="S562" s="16">
        <v>100000</v>
      </c>
      <c r="T562" s="16">
        <f>Tabela1[[#This Row],[Total 2019]]-Tabela1[[#This Row],[Total 2018]]</f>
        <v>-10614.625499999998</v>
      </c>
      <c r="U562" s="40">
        <f>Tabela1[[#This Row],[Total 2019]]/Tabela1[[#This Row],[Meta]]</f>
        <v>0</v>
      </c>
      <c r="V562" s="17">
        <f>IFERROR(Tabela1[[#This Row],[Total 2019]]/Tabela1[[#This Row],[Total 2018]]-1,0)</f>
        <v>-1</v>
      </c>
      <c r="W56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62" s="48"/>
      <c r="Y562" s="19"/>
      <c r="Z562" s="68"/>
    </row>
    <row r="563" spans="3:26" x14ac:dyDescent="0.35">
      <c r="C563" s="11" t="s">
        <v>2704</v>
      </c>
      <c r="D563" s="12" t="s">
        <v>2700</v>
      </c>
      <c r="E563" s="12">
        <v>545</v>
      </c>
      <c r="F563" s="13" t="s">
        <v>1992</v>
      </c>
      <c r="G563" s="14">
        <v>1</v>
      </c>
      <c r="H563" s="14" t="s">
        <v>1372</v>
      </c>
      <c r="I563" s="13">
        <v>21</v>
      </c>
      <c r="J563" s="15" t="s">
        <v>1420</v>
      </c>
      <c r="K563" s="15" t="s">
        <v>2708</v>
      </c>
      <c r="L563" s="16">
        <v>2038.2059999999999</v>
      </c>
      <c r="M563" s="16">
        <v>3790.5949999999998</v>
      </c>
      <c r="N563" s="16">
        <v>2583.81</v>
      </c>
      <c r="O563" s="16">
        <v>8781.0684999999994</v>
      </c>
      <c r="P563" s="16"/>
      <c r="Q563" s="16">
        <f>SUM(Tabela1[[#This Row],[201805]:[201807]])</f>
        <v>8412.610999999999</v>
      </c>
      <c r="R563" s="16">
        <f>SUM(Tabela1[[#This Row],[201905]:[201906]])</f>
        <v>8781.0684999999994</v>
      </c>
      <c r="S563" s="16">
        <v>100000</v>
      </c>
      <c r="T563" s="16">
        <f>Tabela1[[#This Row],[Total 2019]]-Tabela1[[#This Row],[Total 2018]]</f>
        <v>368.45750000000044</v>
      </c>
      <c r="U563" s="40">
        <f>Tabela1[[#This Row],[Total 2019]]/Tabela1[[#This Row],[Meta]]</f>
        <v>8.7810684999999999E-2</v>
      </c>
      <c r="V563" s="17">
        <f>IFERROR(Tabela1[[#This Row],[Total 2019]]/Tabela1[[#This Row],[Total 2018]]-1,0)</f>
        <v>4.3798233390323293E-2</v>
      </c>
      <c r="W56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563" s="48"/>
      <c r="Y563" s="19"/>
      <c r="Z563" s="68"/>
    </row>
    <row r="564" spans="3:26" x14ac:dyDescent="0.35">
      <c r="C564" s="11" t="s">
        <v>2703</v>
      </c>
      <c r="D564" s="12" t="s">
        <v>2700</v>
      </c>
      <c r="E564" s="12">
        <v>546</v>
      </c>
      <c r="F564" s="13" t="s">
        <v>1993</v>
      </c>
      <c r="G564" s="14">
        <v>2</v>
      </c>
      <c r="H564" s="14" t="s">
        <v>1370</v>
      </c>
      <c r="I564" s="13">
        <v>30</v>
      </c>
      <c r="J564" s="15" t="s">
        <v>1429</v>
      </c>
      <c r="K564" s="15" t="s">
        <v>2706</v>
      </c>
      <c r="L564" s="16"/>
      <c r="M564" s="16">
        <v>7129.1324999999988</v>
      </c>
      <c r="N564" s="16">
        <v>3124.5404999999996</v>
      </c>
      <c r="O564" s="16">
        <v>7619.2754999999988</v>
      </c>
      <c r="P564" s="16"/>
      <c r="Q564" s="16">
        <f>SUM(Tabela1[[#This Row],[201805]:[201807]])</f>
        <v>10253.672999999999</v>
      </c>
      <c r="R564" s="16">
        <f>SUM(Tabela1[[#This Row],[201905]:[201906]])</f>
        <v>7619.2754999999988</v>
      </c>
      <c r="S564" s="16">
        <v>100000</v>
      </c>
      <c r="T564" s="16">
        <f>Tabela1[[#This Row],[Total 2019]]-Tabela1[[#This Row],[Total 2018]]</f>
        <v>-2634.3975</v>
      </c>
      <c r="U564" s="40">
        <f>Tabela1[[#This Row],[Total 2019]]/Tabela1[[#This Row],[Meta]]</f>
        <v>7.6192754999999987E-2</v>
      </c>
      <c r="V564" s="17">
        <f>IFERROR(Tabela1[[#This Row],[Total 2019]]/Tabela1[[#This Row],[Total 2018]]-1,0)</f>
        <v>-0.25692232432222095</v>
      </c>
      <c r="W56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564" s="48"/>
      <c r="Y564" s="19"/>
      <c r="Z564" s="68"/>
    </row>
    <row r="565" spans="3:26" x14ac:dyDescent="0.35">
      <c r="C565" s="11" t="s">
        <v>2702</v>
      </c>
      <c r="D565" s="12" t="s">
        <v>2700</v>
      </c>
      <c r="E565" s="12">
        <v>547</v>
      </c>
      <c r="F565" s="13" t="s">
        <v>1994</v>
      </c>
      <c r="G565" s="14">
        <v>3</v>
      </c>
      <c r="H565" s="14" t="s">
        <v>1371</v>
      </c>
      <c r="I565" s="13">
        <v>7</v>
      </c>
      <c r="J565" s="15" t="s">
        <v>1406</v>
      </c>
      <c r="K565" s="15" t="s">
        <v>2707</v>
      </c>
      <c r="L565" s="16"/>
      <c r="M565" s="16">
        <v>2338.596</v>
      </c>
      <c r="N565" s="16">
        <v>1463.2375</v>
      </c>
      <c r="O565" s="16"/>
      <c r="P565" s="16"/>
      <c r="Q565" s="16">
        <f>SUM(Tabela1[[#This Row],[201805]:[201807]])</f>
        <v>3801.8334999999997</v>
      </c>
      <c r="R565" s="16">
        <f>SUM(Tabela1[[#This Row],[201905]:[201906]])</f>
        <v>0</v>
      </c>
      <c r="S565" s="16">
        <v>100000</v>
      </c>
      <c r="T565" s="16">
        <f>Tabela1[[#This Row],[Total 2019]]-Tabela1[[#This Row],[Total 2018]]</f>
        <v>-3801.8334999999997</v>
      </c>
      <c r="U565" s="40">
        <f>Tabela1[[#This Row],[Total 2019]]/Tabela1[[#This Row],[Meta]]</f>
        <v>0</v>
      </c>
      <c r="V565" s="17">
        <f>IFERROR(Tabela1[[#This Row],[Total 2019]]/Tabela1[[#This Row],[Total 2018]]-1,0)</f>
        <v>-1</v>
      </c>
      <c r="W56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65" s="48"/>
      <c r="Y565" s="19"/>
      <c r="Z565" s="68"/>
    </row>
    <row r="566" spans="3:26" x14ac:dyDescent="0.35">
      <c r="C566" s="11" t="s">
        <v>2704</v>
      </c>
      <c r="D566" s="12" t="s">
        <v>2700</v>
      </c>
      <c r="E566" s="12">
        <v>548</v>
      </c>
      <c r="F566" s="13" t="s">
        <v>1995</v>
      </c>
      <c r="G566" s="14">
        <v>2</v>
      </c>
      <c r="H566" s="14" t="s">
        <v>1372</v>
      </c>
      <c r="I566" s="13">
        <v>22</v>
      </c>
      <c r="J566" s="15" t="s">
        <v>1421</v>
      </c>
      <c r="K566" s="15" t="s">
        <v>2708</v>
      </c>
      <c r="L566" s="16"/>
      <c r="M566" s="16">
        <v>4256.6935000000003</v>
      </c>
      <c r="N566" s="16"/>
      <c r="O566" s="16"/>
      <c r="P566" s="16"/>
      <c r="Q566" s="16">
        <f>SUM(Tabela1[[#This Row],[201805]:[201807]])</f>
        <v>4256.6935000000003</v>
      </c>
      <c r="R566" s="16">
        <f>SUM(Tabela1[[#This Row],[201905]:[201906]])</f>
        <v>0</v>
      </c>
      <c r="S566" s="16">
        <v>100000</v>
      </c>
      <c r="T566" s="16">
        <f>Tabela1[[#This Row],[Total 2019]]-Tabela1[[#This Row],[Total 2018]]</f>
        <v>-4256.6935000000003</v>
      </c>
      <c r="U566" s="40">
        <f>Tabela1[[#This Row],[Total 2019]]/Tabela1[[#This Row],[Meta]]</f>
        <v>0</v>
      </c>
      <c r="V566" s="17">
        <f>IFERROR(Tabela1[[#This Row],[Total 2019]]/Tabela1[[#This Row],[Total 2018]]-1,0)</f>
        <v>-1</v>
      </c>
      <c r="W56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66" s="48"/>
      <c r="Y566" s="19"/>
      <c r="Z566" s="68"/>
    </row>
    <row r="567" spans="3:26" x14ac:dyDescent="0.35">
      <c r="C567" s="11" t="s">
        <v>2703</v>
      </c>
      <c r="D567" s="12" t="s">
        <v>2698</v>
      </c>
      <c r="E567" s="12">
        <v>549</v>
      </c>
      <c r="F567" s="13" t="s">
        <v>1996</v>
      </c>
      <c r="G567" s="14">
        <v>1</v>
      </c>
      <c r="H567" s="14" t="s">
        <v>1372</v>
      </c>
      <c r="I567" s="13">
        <v>25</v>
      </c>
      <c r="J567" s="15" t="s">
        <v>1424</v>
      </c>
      <c r="K567" s="15" t="s">
        <v>2708</v>
      </c>
      <c r="L567" s="16">
        <v>3122.9254999999998</v>
      </c>
      <c r="M567" s="16">
        <v>3188.4659999999999</v>
      </c>
      <c r="N567" s="16">
        <v>7637.3919999999998</v>
      </c>
      <c r="O567" s="16"/>
      <c r="P567" s="16"/>
      <c r="Q567" s="16">
        <f>SUM(Tabela1[[#This Row],[201805]:[201807]])</f>
        <v>13948.7835</v>
      </c>
      <c r="R567" s="16">
        <f>SUM(Tabela1[[#This Row],[201905]:[201906]])</f>
        <v>0</v>
      </c>
      <c r="S567" s="16">
        <v>100000</v>
      </c>
      <c r="T567" s="16">
        <f>Tabela1[[#This Row],[Total 2019]]-Tabela1[[#This Row],[Total 2018]]</f>
        <v>-13948.7835</v>
      </c>
      <c r="U567" s="40">
        <f>Tabela1[[#This Row],[Total 2019]]/Tabela1[[#This Row],[Meta]]</f>
        <v>0</v>
      </c>
      <c r="V567" s="17">
        <f>IFERROR(Tabela1[[#This Row],[Total 2019]]/Tabela1[[#This Row],[Total 2018]]-1,0)</f>
        <v>-1</v>
      </c>
      <c r="W56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67" s="48"/>
      <c r="Y567" s="19"/>
      <c r="Z567" s="68"/>
    </row>
    <row r="568" spans="3:26" x14ac:dyDescent="0.35">
      <c r="C568" s="11" t="s">
        <v>2703</v>
      </c>
      <c r="D568" s="12" t="s">
        <v>2699</v>
      </c>
      <c r="E568" s="12">
        <v>550</v>
      </c>
      <c r="F568" s="13" t="s">
        <v>1997</v>
      </c>
      <c r="G568" s="14">
        <v>2</v>
      </c>
      <c r="H568" s="14" t="s">
        <v>1372</v>
      </c>
      <c r="I568" s="13">
        <v>22</v>
      </c>
      <c r="J568" s="15" t="s">
        <v>1421</v>
      </c>
      <c r="K568" s="15" t="s">
        <v>2708</v>
      </c>
      <c r="L568" s="16"/>
      <c r="M568" s="16">
        <v>1913.6704999999997</v>
      </c>
      <c r="N568" s="16"/>
      <c r="O568" s="16"/>
      <c r="P568" s="16"/>
      <c r="Q568" s="16">
        <f>SUM(Tabela1[[#This Row],[201805]:[201807]])</f>
        <v>1913.6704999999997</v>
      </c>
      <c r="R568" s="16">
        <f>SUM(Tabela1[[#This Row],[201905]:[201906]])</f>
        <v>0</v>
      </c>
      <c r="S568" s="16">
        <v>100000</v>
      </c>
      <c r="T568" s="16">
        <f>Tabela1[[#This Row],[Total 2019]]-Tabela1[[#This Row],[Total 2018]]</f>
        <v>-1913.6704999999997</v>
      </c>
      <c r="U568" s="40">
        <f>Tabela1[[#This Row],[Total 2019]]/Tabela1[[#This Row],[Meta]]</f>
        <v>0</v>
      </c>
      <c r="V568" s="17">
        <f>IFERROR(Tabela1[[#This Row],[Total 2019]]/Tabela1[[#This Row],[Total 2018]]-1,0)</f>
        <v>-1</v>
      </c>
      <c r="W56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68" s="48"/>
      <c r="Y568" s="19"/>
      <c r="Z568" s="68"/>
    </row>
    <row r="569" spans="3:26" x14ac:dyDescent="0.35">
      <c r="C569" s="11" t="s">
        <v>2702</v>
      </c>
      <c r="D569" s="12" t="s">
        <v>2698</v>
      </c>
      <c r="E569" s="12">
        <v>551</v>
      </c>
      <c r="F569" s="13" t="s">
        <v>1998</v>
      </c>
      <c r="G569" s="14">
        <v>2</v>
      </c>
      <c r="H569" s="14" t="s">
        <v>1371</v>
      </c>
      <c r="I569" s="13">
        <v>4</v>
      </c>
      <c r="J569" s="15" t="s">
        <v>1403</v>
      </c>
      <c r="K569" s="15" t="s">
        <v>2707</v>
      </c>
      <c r="L569" s="16">
        <v>2359.7335000000003</v>
      </c>
      <c r="M569" s="16">
        <v>1767.3799999999999</v>
      </c>
      <c r="N569" s="16"/>
      <c r="O569" s="16">
        <v>3758.6655000000001</v>
      </c>
      <c r="P569" s="16"/>
      <c r="Q569" s="16">
        <f>SUM(Tabela1[[#This Row],[201805]:[201807]])</f>
        <v>4127.1135000000004</v>
      </c>
      <c r="R569" s="16">
        <f>SUM(Tabela1[[#This Row],[201905]:[201906]])</f>
        <v>3758.6655000000001</v>
      </c>
      <c r="S569" s="16">
        <v>100000</v>
      </c>
      <c r="T569" s="16">
        <f>Tabela1[[#This Row],[Total 2019]]-Tabela1[[#This Row],[Total 2018]]</f>
        <v>-368.44800000000032</v>
      </c>
      <c r="U569" s="40">
        <f>Tabela1[[#This Row],[Total 2019]]/Tabela1[[#This Row],[Meta]]</f>
        <v>3.7586655000000004E-2</v>
      </c>
      <c r="V569" s="17">
        <f>IFERROR(Tabela1[[#This Row],[Total 2019]]/Tabela1[[#This Row],[Total 2018]]-1,0)</f>
        <v>-8.927498601625572E-2</v>
      </c>
      <c r="W56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569" s="48"/>
      <c r="Y569" s="19"/>
      <c r="Z569" s="68"/>
    </row>
    <row r="570" spans="3:26" x14ac:dyDescent="0.35">
      <c r="C570" s="11" t="s">
        <v>2703</v>
      </c>
      <c r="D570" s="12" t="s">
        <v>2698</v>
      </c>
      <c r="E570" s="12">
        <v>552</v>
      </c>
      <c r="F570" s="13" t="s">
        <v>1999</v>
      </c>
      <c r="G570" s="14">
        <v>3</v>
      </c>
      <c r="H570" s="14" t="s">
        <v>1371</v>
      </c>
      <c r="I570" s="13">
        <v>26</v>
      </c>
      <c r="J570" s="15" t="s">
        <v>1425</v>
      </c>
      <c r="K570" s="15" t="s">
        <v>2707</v>
      </c>
      <c r="L570" s="16">
        <v>3470.16</v>
      </c>
      <c r="M570" s="16">
        <v>2672.7964999999999</v>
      </c>
      <c r="N570" s="16"/>
      <c r="O570" s="16"/>
      <c r="P570" s="16"/>
      <c r="Q570" s="16">
        <f>SUM(Tabela1[[#This Row],[201805]:[201807]])</f>
        <v>6142.9565000000002</v>
      </c>
      <c r="R570" s="16">
        <f>SUM(Tabela1[[#This Row],[201905]:[201906]])</f>
        <v>0</v>
      </c>
      <c r="S570" s="16">
        <v>100000</v>
      </c>
      <c r="T570" s="16">
        <f>Tabela1[[#This Row],[Total 2019]]-Tabela1[[#This Row],[Total 2018]]</f>
        <v>-6142.9565000000002</v>
      </c>
      <c r="U570" s="40">
        <f>Tabela1[[#This Row],[Total 2019]]/Tabela1[[#This Row],[Meta]]</f>
        <v>0</v>
      </c>
      <c r="V570" s="17">
        <f>IFERROR(Tabela1[[#This Row],[Total 2019]]/Tabela1[[#This Row],[Total 2018]]-1,0)</f>
        <v>-1</v>
      </c>
      <c r="W57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70" s="48"/>
      <c r="Y570" s="19"/>
      <c r="Z570" s="68"/>
    </row>
    <row r="571" spans="3:26" x14ac:dyDescent="0.35">
      <c r="C571" s="11" t="s">
        <v>2702</v>
      </c>
      <c r="D571" s="12" t="s">
        <v>2699</v>
      </c>
      <c r="E571" s="12">
        <v>553</v>
      </c>
      <c r="F571" s="13" t="s">
        <v>2000</v>
      </c>
      <c r="G571" s="14">
        <v>2</v>
      </c>
      <c r="H571" s="14" t="s">
        <v>1372</v>
      </c>
      <c r="I571" s="13">
        <v>25</v>
      </c>
      <c r="J571" s="15" t="s">
        <v>1424</v>
      </c>
      <c r="K571" s="15" t="s">
        <v>2708</v>
      </c>
      <c r="L571" s="16">
        <v>1302.374</v>
      </c>
      <c r="M571" s="16">
        <v>4307.7465000000002</v>
      </c>
      <c r="N571" s="16">
        <v>1149.7469999999998</v>
      </c>
      <c r="O571" s="16"/>
      <c r="P571" s="16"/>
      <c r="Q571" s="16">
        <f>SUM(Tabela1[[#This Row],[201805]:[201807]])</f>
        <v>6759.8675000000003</v>
      </c>
      <c r="R571" s="16">
        <f>SUM(Tabela1[[#This Row],[201905]:[201906]])</f>
        <v>0</v>
      </c>
      <c r="S571" s="16">
        <v>100000</v>
      </c>
      <c r="T571" s="16">
        <f>Tabela1[[#This Row],[Total 2019]]-Tabela1[[#This Row],[Total 2018]]</f>
        <v>-6759.8675000000003</v>
      </c>
      <c r="U571" s="40">
        <f>Tabela1[[#This Row],[Total 2019]]/Tabela1[[#This Row],[Meta]]</f>
        <v>0</v>
      </c>
      <c r="V571" s="17">
        <f>IFERROR(Tabela1[[#This Row],[Total 2019]]/Tabela1[[#This Row],[Total 2018]]-1,0)</f>
        <v>-1</v>
      </c>
      <c r="W57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71" s="48"/>
      <c r="Y571" s="19"/>
      <c r="Z571" s="68"/>
    </row>
    <row r="572" spans="3:26" x14ac:dyDescent="0.35">
      <c r="C572" s="11" t="s">
        <v>2704</v>
      </c>
      <c r="D572" s="12" t="s">
        <v>2698</v>
      </c>
      <c r="E572" s="12">
        <v>554</v>
      </c>
      <c r="F572" s="13" t="s">
        <v>2001</v>
      </c>
      <c r="G572" s="14">
        <v>3</v>
      </c>
      <c r="H572" s="14" t="s">
        <v>1370</v>
      </c>
      <c r="I572" s="13">
        <v>15</v>
      </c>
      <c r="J572" s="15" t="s">
        <v>1414</v>
      </c>
      <c r="K572" s="15" t="s">
        <v>2706</v>
      </c>
      <c r="L572" s="16">
        <v>9149.915500000001</v>
      </c>
      <c r="M572" s="16">
        <v>5587.5579999999991</v>
      </c>
      <c r="N572" s="16">
        <v>3268.7884999999997</v>
      </c>
      <c r="O572" s="16">
        <v>14665.244999999999</v>
      </c>
      <c r="P572" s="16">
        <v>6936.5959999999995</v>
      </c>
      <c r="Q572" s="16">
        <f>SUM(Tabela1[[#This Row],[201805]:[201807]])</f>
        <v>18006.261999999999</v>
      </c>
      <c r="R572" s="16">
        <f>SUM(Tabela1[[#This Row],[201905]:[201906]])</f>
        <v>21601.841</v>
      </c>
      <c r="S572" s="16">
        <v>100000</v>
      </c>
      <c r="T572" s="16">
        <f>Tabela1[[#This Row],[Total 2019]]-Tabela1[[#This Row],[Total 2018]]</f>
        <v>3595.5790000000015</v>
      </c>
      <c r="U572" s="40">
        <f>Tabela1[[#This Row],[Total 2019]]/Tabela1[[#This Row],[Meta]]</f>
        <v>0.21601840999999999</v>
      </c>
      <c r="V572" s="17">
        <f>IFERROR(Tabela1[[#This Row],[Total 2019]]/Tabela1[[#This Row],[Total 2018]]-1,0)</f>
        <v>0.1996849207236906</v>
      </c>
      <c r="W57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572" s="48"/>
      <c r="Y572" s="19"/>
      <c r="Z572" s="68"/>
    </row>
    <row r="573" spans="3:26" x14ac:dyDescent="0.35">
      <c r="C573" s="11" t="s">
        <v>2703</v>
      </c>
      <c r="D573" s="12" t="s">
        <v>2700</v>
      </c>
      <c r="E573" s="12">
        <v>555</v>
      </c>
      <c r="F573" s="13" t="s">
        <v>2002</v>
      </c>
      <c r="G573" s="14">
        <v>3</v>
      </c>
      <c r="H573" s="14" t="s">
        <v>1372</v>
      </c>
      <c r="I573" s="13">
        <v>20</v>
      </c>
      <c r="J573" s="15" t="s">
        <v>1419</v>
      </c>
      <c r="K573" s="15" t="s">
        <v>2708</v>
      </c>
      <c r="L573" s="16"/>
      <c r="M573" s="16">
        <v>2022.8919999999998</v>
      </c>
      <c r="N573" s="16">
        <v>789.26</v>
      </c>
      <c r="O573" s="16"/>
      <c r="P573" s="16"/>
      <c r="Q573" s="16">
        <f>SUM(Tabela1[[#This Row],[201805]:[201807]])</f>
        <v>2812.152</v>
      </c>
      <c r="R573" s="16">
        <f>SUM(Tabela1[[#This Row],[201905]:[201906]])</f>
        <v>0</v>
      </c>
      <c r="S573" s="16">
        <v>100000</v>
      </c>
      <c r="T573" s="16">
        <f>Tabela1[[#This Row],[Total 2019]]-Tabela1[[#This Row],[Total 2018]]</f>
        <v>-2812.152</v>
      </c>
      <c r="U573" s="40">
        <f>Tabela1[[#This Row],[Total 2019]]/Tabela1[[#This Row],[Meta]]</f>
        <v>0</v>
      </c>
      <c r="V573" s="17">
        <f>IFERROR(Tabela1[[#This Row],[Total 2019]]/Tabela1[[#This Row],[Total 2018]]-1,0)</f>
        <v>-1</v>
      </c>
      <c r="W57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73" s="48"/>
      <c r="Y573" s="19"/>
      <c r="Z573" s="68"/>
    </row>
    <row r="574" spans="3:26" x14ac:dyDescent="0.35">
      <c r="C574" s="11" t="s">
        <v>2703</v>
      </c>
      <c r="D574" s="12" t="s">
        <v>2699</v>
      </c>
      <c r="E574" s="12">
        <v>556</v>
      </c>
      <c r="F574" s="13" t="s">
        <v>2003</v>
      </c>
      <c r="G574" s="14">
        <v>1</v>
      </c>
      <c r="H574" s="14" t="s">
        <v>1372</v>
      </c>
      <c r="I574" s="13">
        <v>18</v>
      </c>
      <c r="J574" s="15" t="s">
        <v>1417</v>
      </c>
      <c r="K574" s="15" t="s">
        <v>2708</v>
      </c>
      <c r="L574" s="16">
        <v>3654.27</v>
      </c>
      <c r="M574" s="16">
        <v>6312.6739999999991</v>
      </c>
      <c r="N574" s="16">
        <v>6829.0084999999999</v>
      </c>
      <c r="O574" s="16">
        <v>20241.298500000001</v>
      </c>
      <c r="P574" s="16"/>
      <c r="Q574" s="16">
        <f>SUM(Tabela1[[#This Row],[201805]:[201807]])</f>
        <v>16795.952499999999</v>
      </c>
      <c r="R574" s="16">
        <f>SUM(Tabela1[[#This Row],[201905]:[201906]])</f>
        <v>20241.298500000001</v>
      </c>
      <c r="S574" s="16">
        <v>100000</v>
      </c>
      <c r="T574" s="16">
        <f>Tabela1[[#This Row],[Total 2019]]-Tabela1[[#This Row],[Total 2018]]</f>
        <v>3445.3460000000014</v>
      </c>
      <c r="U574" s="40">
        <f>Tabela1[[#This Row],[Total 2019]]/Tabela1[[#This Row],[Meta]]</f>
        <v>0.20241298500000002</v>
      </c>
      <c r="V574" s="17">
        <f>IFERROR(Tabela1[[#This Row],[Total 2019]]/Tabela1[[#This Row],[Total 2018]]-1,0)</f>
        <v>0.20512953939349376</v>
      </c>
      <c r="W57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574" s="48"/>
      <c r="Y574" s="19"/>
      <c r="Z574" s="68"/>
    </row>
    <row r="575" spans="3:26" x14ac:dyDescent="0.35">
      <c r="C575" s="11" t="s">
        <v>2704</v>
      </c>
      <c r="D575" s="12" t="s">
        <v>2698</v>
      </c>
      <c r="E575" s="12">
        <v>557</v>
      </c>
      <c r="F575" s="13" t="s">
        <v>2004</v>
      </c>
      <c r="G575" s="14">
        <v>2</v>
      </c>
      <c r="H575" s="14" t="s">
        <v>1371</v>
      </c>
      <c r="I575" s="13">
        <v>31</v>
      </c>
      <c r="J575" s="15" t="s">
        <v>1430</v>
      </c>
      <c r="K575" s="15" t="s">
        <v>2707</v>
      </c>
      <c r="L575" s="16"/>
      <c r="M575" s="16"/>
      <c r="N575" s="16">
        <v>3586.0790000000002</v>
      </c>
      <c r="O575" s="16"/>
      <c r="P575" s="16"/>
      <c r="Q575" s="16">
        <f>SUM(Tabela1[[#This Row],[201805]:[201807]])</f>
        <v>3586.0790000000002</v>
      </c>
      <c r="R575" s="16">
        <f>SUM(Tabela1[[#This Row],[201905]:[201906]])</f>
        <v>0</v>
      </c>
      <c r="S575" s="16">
        <v>100000</v>
      </c>
      <c r="T575" s="16">
        <f>Tabela1[[#This Row],[Total 2019]]-Tabela1[[#This Row],[Total 2018]]</f>
        <v>-3586.0790000000002</v>
      </c>
      <c r="U575" s="40">
        <f>Tabela1[[#This Row],[Total 2019]]/Tabela1[[#This Row],[Meta]]</f>
        <v>0</v>
      </c>
      <c r="V575" s="17">
        <f>IFERROR(Tabela1[[#This Row],[Total 2019]]/Tabela1[[#This Row],[Total 2018]]-1,0)</f>
        <v>-1</v>
      </c>
      <c r="W57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75" s="48"/>
      <c r="Y575" s="19"/>
      <c r="Z575" s="68"/>
    </row>
    <row r="576" spans="3:26" x14ac:dyDescent="0.35">
      <c r="C576" s="11" t="s">
        <v>2702</v>
      </c>
      <c r="D576" s="12" t="s">
        <v>2698</v>
      </c>
      <c r="E576" s="12">
        <v>558</v>
      </c>
      <c r="F576" s="13" t="s">
        <v>2005</v>
      </c>
      <c r="G576" s="14">
        <v>3</v>
      </c>
      <c r="H576" s="14" t="s">
        <v>1372</v>
      </c>
      <c r="I576" s="13">
        <v>25</v>
      </c>
      <c r="J576" s="15" t="s">
        <v>1424</v>
      </c>
      <c r="K576" s="15" t="s">
        <v>2708</v>
      </c>
      <c r="L576" s="16">
        <v>15304.31</v>
      </c>
      <c r="M576" s="16">
        <v>43282.056999999993</v>
      </c>
      <c r="N576" s="16">
        <v>20313.232499999998</v>
      </c>
      <c r="O576" s="16"/>
      <c r="P576" s="16"/>
      <c r="Q576" s="16">
        <f>SUM(Tabela1[[#This Row],[201805]:[201807]])</f>
        <v>78899.599499999982</v>
      </c>
      <c r="R576" s="16">
        <f>SUM(Tabela1[[#This Row],[201905]:[201906]])</f>
        <v>0</v>
      </c>
      <c r="S576" s="16">
        <v>100000</v>
      </c>
      <c r="T576" s="16">
        <f>Tabela1[[#This Row],[Total 2019]]-Tabela1[[#This Row],[Total 2018]]</f>
        <v>-78899.599499999982</v>
      </c>
      <c r="U576" s="40">
        <f>Tabela1[[#This Row],[Total 2019]]/Tabela1[[#This Row],[Meta]]</f>
        <v>0</v>
      </c>
      <c r="V576" s="17">
        <f>IFERROR(Tabela1[[#This Row],[Total 2019]]/Tabela1[[#This Row],[Total 2018]]-1,0)</f>
        <v>-1</v>
      </c>
      <c r="W57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76" s="48"/>
      <c r="Y576" s="19"/>
      <c r="Z576" s="68"/>
    </row>
    <row r="577" spans="3:26" x14ac:dyDescent="0.35">
      <c r="C577" s="11" t="s">
        <v>2703</v>
      </c>
      <c r="D577" s="12" t="s">
        <v>2699</v>
      </c>
      <c r="E577" s="12">
        <v>559</v>
      </c>
      <c r="F577" s="13" t="s">
        <v>2006</v>
      </c>
      <c r="G577" s="14">
        <v>1</v>
      </c>
      <c r="H577" s="14" t="s">
        <v>1370</v>
      </c>
      <c r="I577" s="13">
        <v>33</v>
      </c>
      <c r="J577" s="15" t="s">
        <v>1432</v>
      </c>
      <c r="K577" s="15" t="s">
        <v>2706</v>
      </c>
      <c r="L577" s="16"/>
      <c r="M577" s="16">
        <v>13882.112500000003</v>
      </c>
      <c r="N577" s="16">
        <v>5268.8614999999991</v>
      </c>
      <c r="O577" s="16">
        <v>1679.1154999999999</v>
      </c>
      <c r="P577" s="16">
        <v>4996.695999999999</v>
      </c>
      <c r="Q577" s="16">
        <f>SUM(Tabela1[[#This Row],[201805]:[201807]])</f>
        <v>19150.974000000002</v>
      </c>
      <c r="R577" s="16">
        <f>SUM(Tabela1[[#This Row],[201905]:[201906]])</f>
        <v>6675.8114999999989</v>
      </c>
      <c r="S577" s="16">
        <v>100000</v>
      </c>
      <c r="T577" s="16">
        <f>Tabela1[[#This Row],[Total 2019]]-Tabela1[[#This Row],[Total 2018]]</f>
        <v>-12475.162500000002</v>
      </c>
      <c r="U577" s="40">
        <f>Tabela1[[#This Row],[Total 2019]]/Tabela1[[#This Row],[Meta]]</f>
        <v>6.6758114999999993E-2</v>
      </c>
      <c r="V577" s="17">
        <f>IFERROR(Tabela1[[#This Row],[Total 2019]]/Tabela1[[#This Row],[Total 2018]]-1,0)</f>
        <v>-0.65141138513372754</v>
      </c>
      <c r="W57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577" s="48"/>
      <c r="Y577" s="19"/>
      <c r="Z577" s="68"/>
    </row>
    <row r="578" spans="3:26" x14ac:dyDescent="0.35">
      <c r="C578" s="11" t="s">
        <v>2704</v>
      </c>
      <c r="D578" s="12" t="s">
        <v>2698</v>
      </c>
      <c r="E578" s="12">
        <v>560</v>
      </c>
      <c r="F578" s="13" t="s">
        <v>2007</v>
      </c>
      <c r="G578" s="14">
        <v>2</v>
      </c>
      <c r="H578" s="14" t="s">
        <v>1372</v>
      </c>
      <c r="I578" s="13">
        <v>16</v>
      </c>
      <c r="J578" s="15" t="s">
        <v>1415</v>
      </c>
      <c r="K578" s="15" t="s">
        <v>2708</v>
      </c>
      <c r="L578" s="16">
        <v>2607.4744999999998</v>
      </c>
      <c r="M578" s="16">
        <v>5251.1724999999997</v>
      </c>
      <c r="N578" s="16">
        <v>2316.8599999999997</v>
      </c>
      <c r="O578" s="16"/>
      <c r="P578" s="16"/>
      <c r="Q578" s="16">
        <f>SUM(Tabela1[[#This Row],[201805]:[201807]])</f>
        <v>10175.506999999998</v>
      </c>
      <c r="R578" s="16">
        <f>SUM(Tabela1[[#This Row],[201905]:[201906]])</f>
        <v>0</v>
      </c>
      <c r="S578" s="16">
        <v>100000</v>
      </c>
      <c r="T578" s="16">
        <f>Tabela1[[#This Row],[Total 2019]]-Tabela1[[#This Row],[Total 2018]]</f>
        <v>-10175.506999999998</v>
      </c>
      <c r="U578" s="40">
        <f>Tabela1[[#This Row],[Total 2019]]/Tabela1[[#This Row],[Meta]]</f>
        <v>0</v>
      </c>
      <c r="V578" s="17">
        <f>IFERROR(Tabela1[[#This Row],[Total 2019]]/Tabela1[[#This Row],[Total 2018]]-1,0)</f>
        <v>-1</v>
      </c>
      <c r="W57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78" s="48"/>
      <c r="Y578" s="19"/>
      <c r="Z578" s="68"/>
    </row>
    <row r="579" spans="3:26" x14ac:dyDescent="0.35">
      <c r="C579" s="11" t="s">
        <v>2702</v>
      </c>
      <c r="D579" s="12" t="s">
        <v>2700</v>
      </c>
      <c r="E579" s="12">
        <v>561</v>
      </c>
      <c r="F579" s="13" t="s">
        <v>2008</v>
      </c>
      <c r="G579" s="14">
        <v>3</v>
      </c>
      <c r="H579" s="14" t="s">
        <v>1371</v>
      </c>
      <c r="I579" s="13">
        <v>12</v>
      </c>
      <c r="J579" s="15" t="s">
        <v>1411</v>
      </c>
      <c r="K579" s="15" t="s">
        <v>2707</v>
      </c>
      <c r="L579" s="16"/>
      <c r="M579" s="16"/>
      <c r="N579" s="16">
        <v>4418.2505000000001</v>
      </c>
      <c r="O579" s="16"/>
      <c r="P579" s="16"/>
      <c r="Q579" s="16">
        <f>SUM(Tabela1[[#This Row],[201805]:[201807]])</f>
        <v>4418.2505000000001</v>
      </c>
      <c r="R579" s="16">
        <f>SUM(Tabela1[[#This Row],[201905]:[201906]])</f>
        <v>0</v>
      </c>
      <c r="S579" s="16">
        <v>100000</v>
      </c>
      <c r="T579" s="16">
        <f>Tabela1[[#This Row],[Total 2019]]-Tabela1[[#This Row],[Total 2018]]</f>
        <v>-4418.2505000000001</v>
      </c>
      <c r="U579" s="40">
        <f>Tabela1[[#This Row],[Total 2019]]/Tabela1[[#This Row],[Meta]]</f>
        <v>0</v>
      </c>
      <c r="V579" s="17">
        <f>IFERROR(Tabela1[[#This Row],[Total 2019]]/Tabela1[[#This Row],[Total 2018]]-1,0)</f>
        <v>-1</v>
      </c>
      <c r="W57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79" s="48"/>
      <c r="Y579" s="19"/>
      <c r="Z579" s="68"/>
    </row>
    <row r="580" spans="3:26" x14ac:dyDescent="0.35">
      <c r="C580" s="11" t="s">
        <v>2704</v>
      </c>
      <c r="D580" s="12" t="s">
        <v>2699</v>
      </c>
      <c r="E580" s="12">
        <v>562</v>
      </c>
      <c r="F580" s="13" t="s">
        <v>2009</v>
      </c>
      <c r="G580" s="14">
        <v>1</v>
      </c>
      <c r="H580" s="14" t="s">
        <v>1372</v>
      </c>
      <c r="I580" s="13">
        <v>25</v>
      </c>
      <c r="J580" s="15" t="s">
        <v>1424</v>
      </c>
      <c r="K580" s="15" t="s">
        <v>2708</v>
      </c>
      <c r="L580" s="16">
        <v>3756.8795</v>
      </c>
      <c r="M580" s="16"/>
      <c r="N580" s="16">
        <v>3483.7734999999998</v>
      </c>
      <c r="O580" s="16">
        <v>1238.6765</v>
      </c>
      <c r="P580" s="16">
        <v>1203.4694999999999</v>
      </c>
      <c r="Q580" s="16">
        <f>SUM(Tabela1[[#This Row],[201805]:[201807]])</f>
        <v>7240.6530000000002</v>
      </c>
      <c r="R580" s="16">
        <f>SUM(Tabela1[[#This Row],[201905]:[201906]])</f>
        <v>2442.1459999999997</v>
      </c>
      <c r="S580" s="16">
        <v>100000</v>
      </c>
      <c r="T580" s="16">
        <f>Tabela1[[#This Row],[Total 2019]]-Tabela1[[#This Row],[Total 2018]]</f>
        <v>-4798.5070000000005</v>
      </c>
      <c r="U580" s="40">
        <f>Tabela1[[#This Row],[Total 2019]]/Tabela1[[#This Row],[Meta]]</f>
        <v>2.4421459999999999E-2</v>
      </c>
      <c r="V580" s="17">
        <f>IFERROR(Tabela1[[#This Row],[Total 2019]]/Tabela1[[#This Row],[Total 2018]]-1,0)</f>
        <v>-0.66271743722562038</v>
      </c>
      <c r="W58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580" s="48"/>
      <c r="Y580" s="19"/>
      <c r="Z580" s="68"/>
    </row>
    <row r="581" spans="3:26" x14ac:dyDescent="0.35">
      <c r="C581" s="11" t="s">
        <v>2704</v>
      </c>
      <c r="D581" s="12" t="s">
        <v>2700</v>
      </c>
      <c r="E581" s="12">
        <v>563</v>
      </c>
      <c r="F581" s="13" t="s">
        <v>2010</v>
      </c>
      <c r="G581" s="14">
        <v>2</v>
      </c>
      <c r="H581" s="14" t="s">
        <v>1371</v>
      </c>
      <c r="I581" s="13">
        <v>12</v>
      </c>
      <c r="J581" s="15" t="s">
        <v>1411</v>
      </c>
      <c r="K581" s="15" t="s">
        <v>2707</v>
      </c>
      <c r="L581" s="16">
        <v>1850.8944999999999</v>
      </c>
      <c r="M581" s="16">
        <v>2157.6019999999999</v>
      </c>
      <c r="N581" s="16">
        <v>1428.078</v>
      </c>
      <c r="O581" s="16"/>
      <c r="P581" s="16"/>
      <c r="Q581" s="16">
        <f>SUM(Tabela1[[#This Row],[201805]:[201807]])</f>
        <v>5436.5744999999997</v>
      </c>
      <c r="R581" s="16">
        <f>SUM(Tabela1[[#This Row],[201905]:[201906]])</f>
        <v>0</v>
      </c>
      <c r="S581" s="16">
        <v>100000</v>
      </c>
      <c r="T581" s="16">
        <f>Tabela1[[#This Row],[Total 2019]]-Tabela1[[#This Row],[Total 2018]]</f>
        <v>-5436.5744999999997</v>
      </c>
      <c r="U581" s="40">
        <f>Tabela1[[#This Row],[Total 2019]]/Tabela1[[#This Row],[Meta]]</f>
        <v>0</v>
      </c>
      <c r="V581" s="17">
        <f>IFERROR(Tabela1[[#This Row],[Total 2019]]/Tabela1[[#This Row],[Total 2018]]-1,0)</f>
        <v>-1</v>
      </c>
      <c r="W58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81" s="48"/>
      <c r="Y581" s="19"/>
      <c r="Z581" s="68"/>
    </row>
    <row r="582" spans="3:26" x14ac:dyDescent="0.35">
      <c r="C582" s="11" t="s">
        <v>2704</v>
      </c>
      <c r="D582" s="12" t="s">
        <v>2698</v>
      </c>
      <c r="E582" s="12">
        <v>564</v>
      </c>
      <c r="F582" s="13" t="s">
        <v>2011</v>
      </c>
      <c r="G582" s="14">
        <v>3</v>
      </c>
      <c r="H582" s="14" t="s">
        <v>1370</v>
      </c>
      <c r="I582" s="13">
        <v>1</v>
      </c>
      <c r="J582" s="15" t="s">
        <v>1400</v>
      </c>
      <c r="K582" s="15" t="s">
        <v>2706</v>
      </c>
      <c r="L582" s="16"/>
      <c r="M582" s="16"/>
      <c r="N582" s="16"/>
      <c r="O582" s="16">
        <v>1613.7364999999998</v>
      </c>
      <c r="P582" s="16">
        <v>3823.3985000000002</v>
      </c>
      <c r="Q582" s="16">
        <f>SUM(Tabela1[[#This Row],[201805]:[201807]])</f>
        <v>0</v>
      </c>
      <c r="R582" s="16">
        <f>SUM(Tabela1[[#This Row],[201905]:[201906]])</f>
        <v>5437.1350000000002</v>
      </c>
      <c r="S582" s="16">
        <v>100000</v>
      </c>
      <c r="T582" s="16">
        <f>Tabela1[[#This Row],[Total 2019]]-Tabela1[[#This Row],[Total 2018]]</f>
        <v>5437.1350000000002</v>
      </c>
      <c r="U582" s="40">
        <f>Tabela1[[#This Row],[Total 2019]]/Tabela1[[#This Row],[Meta]]</f>
        <v>5.4371349999999999E-2</v>
      </c>
      <c r="V582" s="17">
        <f>IFERROR(Tabela1[[#This Row],[Total 2019]]/Tabela1[[#This Row],[Total 2018]]-1,0)</f>
        <v>0</v>
      </c>
      <c r="W58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582" s="48"/>
      <c r="Y582" s="19"/>
      <c r="Z582" s="68"/>
    </row>
    <row r="583" spans="3:26" x14ac:dyDescent="0.35">
      <c r="C583" s="11" t="s">
        <v>2704</v>
      </c>
      <c r="D583" s="12" t="s">
        <v>2699</v>
      </c>
      <c r="E583" s="12">
        <v>565</v>
      </c>
      <c r="F583" s="13" t="s">
        <v>2012</v>
      </c>
      <c r="G583" s="14">
        <v>3</v>
      </c>
      <c r="H583" s="14" t="s">
        <v>1371</v>
      </c>
      <c r="I583" s="13">
        <v>5</v>
      </c>
      <c r="J583" s="15" t="s">
        <v>1404</v>
      </c>
      <c r="K583" s="15" t="s">
        <v>2707</v>
      </c>
      <c r="L583" s="16">
        <v>8022.009</v>
      </c>
      <c r="M583" s="16">
        <v>3010.9109999999996</v>
      </c>
      <c r="N583" s="16"/>
      <c r="O583" s="16"/>
      <c r="P583" s="16"/>
      <c r="Q583" s="16">
        <f>SUM(Tabela1[[#This Row],[201805]:[201807]])</f>
        <v>11032.92</v>
      </c>
      <c r="R583" s="16">
        <f>SUM(Tabela1[[#This Row],[201905]:[201906]])</f>
        <v>0</v>
      </c>
      <c r="S583" s="16">
        <v>100000</v>
      </c>
      <c r="T583" s="16">
        <f>Tabela1[[#This Row],[Total 2019]]-Tabela1[[#This Row],[Total 2018]]</f>
        <v>-11032.92</v>
      </c>
      <c r="U583" s="40">
        <f>Tabela1[[#This Row],[Total 2019]]/Tabela1[[#This Row],[Meta]]</f>
        <v>0</v>
      </c>
      <c r="V583" s="17">
        <f>IFERROR(Tabela1[[#This Row],[Total 2019]]/Tabela1[[#This Row],[Total 2018]]-1,0)</f>
        <v>-1</v>
      </c>
      <c r="W58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83" s="48"/>
      <c r="Y583" s="19"/>
      <c r="Z583" s="68"/>
    </row>
    <row r="584" spans="3:26" x14ac:dyDescent="0.35">
      <c r="C584" s="11" t="s">
        <v>2704</v>
      </c>
      <c r="D584" s="12" t="s">
        <v>2700</v>
      </c>
      <c r="E584" s="12">
        <v>566</v>
      </c>
      <c r="F584" s="13" t="s">
        <v>2013</v>
      </c>
      <c r="G584" s="14">
        <v>3</v>
      </c>
      <c r="H584" s="14" t="s">
        <v>1372</v>
      </c>
      <c r="I584" s="13">
        <v>17</v>
      </c>
      <c r="J584" s="15" t="s">
        <v>1416</v>
      </c>
      <c r="K584" s="15" t="s">
        <v>2708</v>
      </c>
      <c r="L584" s="16">
        <v>8807.6400000000012</v>
      </c>
      <c r="M584" s="16">
        <v>4573.3949999999995</v>
      </c>
      <c r="N584" s="16">
        <v>3964.35</v>
      </c>
      <c r="O584" s="16">
        <v>1989.5945000000002</v>
      </c>
      <c r="P584" s="16">
        <v>10215.425999999999</v>
      </c>
      <c r="Q584" s="16">
        <f>SUM(Tabela1[[#This Row],[201805]:[201807]])</f>
        <v>17345.384999999998</v>
      </c>
      <c r="R584" s="16">
        <f>SUM(Tabela1[[#This Row],[201905]:[201906]])</f>
        <v>12205.020499999999</v>
      </c>
      <c r="S584" s="16">
        <v>100000</v>
      </c>
      <c r="T584" s="16">
        <f>Tabela1[[#This Row],[Total 2019]]-Tabela1[[#This Row],[Total 2018]]</f>
        <v>-5140.3644999999997</v>
      </c>
      <c r="U584" s="40">
        <f>Tabela1[[#This Row],[Total 2019]]/Tabela1[[#This Row],[Meta]]</f>
        <v>0.12205020499999998</v>
      </c>
      <c r="V584" s="17">
        <f>IFERROR(Tabela1[[#This Row],[Total 2019]]/Tabela1[[#This Row],[Total 2018]]-1,0)</f>
        <v>-0.29635343925776225</v>
      </c>
      <c r="W58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584" s="48"/>
      <c r="Y584" s="19"/>
      <c r="Z584" s="68"/>
    </row>
    <row r="585" spans="3:26" x14ac:dyDescent="0.35">
      <c r="C585" s="11" t="s">
        <v>2703</v>
      </c>
      <c r="D585" s="12" t="s">
        <v>2698</v>
      </c>
      <c r="E585" s="12">
        <v>567</v>
      </c>
      <c r="F585" s="13" t="s">
        <v>2014</v>
      </c>
      <c r="G585" s="14">
        <v>2</v>
      </c>
      <c r="H585" s="14" t="s">
        <v>1372</v>
      </c>
      <c r="I585" s="13">
        <v>17</v>
      </c>
      <c r="J585" s="15" t="s">
        <v>1416</v>
      </c>
      <c r="K585" s="15" t="s">
        <v>2708</v>
      </c>
      <c r="L585" s="16">
        <v>312.64499999999998</v>
      </c>
      <c r="M585" s="16">
        <v>17710.394</v>
      </c>
      <c r="N585" s="16">
        <v>1327.9099999999999</v>
      </c>
      <c r="O585" s="16"/>
      <c r="P585" s="16"/>
      <c r="Q585" s="16">
        <f>SUM(Tabela1[[#This Row],[201805]:[201807]])</f>
        <v>19350.949000000001</v>
      </c>
      <c r="R585" s="16">
        <f>SUM(Tabela1[[#This Row],[201905]:[201906]])</f>
        <v>0</v>
      </c>
      <c r="S585" s="16">
        <v>100000</v>
      </c>
      <c r="T585" s="16">
        <f>Tabela1[[#This Row],[Total 2019]]-Tabela1[[#This Row],[Total 2018]]</f>
        <v>-19350.949000000001</v>
      </c>
      <c r="U585" s="40">
        <f>Tabela1[[#This Row],[Total 2019]]/Tabela1[[#This Row],[Meta]]</f>
        <v>0</v>
      </c>
      <c r="V585" s="17">
        <f>IFERROR(Tabela1[[#This Row],[Total 2019]]/Tabela1[[#This Row],[Total 2018]]-1,0)</f>
        <v>-1</v>
      </c>
      <c r="W58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85" s="48"/>
      <c r="Y585" s="19"/>
      <c r="Z585" s="68"/>
    </row>
    <row r="586" spans="3:26" x14ac:dyDescent="0.35">
      <c r="C586" s="11" t="s">
        <v>2704</v>
      </c>
      <c r="D586" s="12" t="s">
        <v>2700</v>
      </c>
      <c r="E586" s="12">
        <v>568</v>
      </c>
      <c r="F586" s="13" t="s">
        <v>2015</v>
      </c>
      <c r="G586" s="14">
        <v>2</v>
      </c>
      <c r="H586" s="14" t="s">
        <v>1372</v>
      </c>
      <c r="I586" s="13">
        <v>16</v>
      </c>
      <c r="J586" s="15" t="s">
        <v>1415</v>
      </c>
      <c r="K586" s="15" t="s">
        <v>2708</v>
      </c>
      <c r="L586" s="16">
        <v>1366.1665</v>
      </c>
      <c r="M586" s="16">
        <v>4943.6385</v>
      </c>
      <c r="N586" s="16">
        <v>1346.4254999999998</v>
      </c>
      <c r="O586" s="16"/>
      <c r="P586" s="16"/>
      <c r="Q586" s="16">
        <f>SUM(Tabela1[[#This Row],[201805]:[201807]])</f>
        <v>7656.2304999999997</v>
      </c>
      <c r="R586" s="16">
        <f>SUM(Tabela1[[#This Row],[201905]:[201906]])</f>
        <v>0</v>
      </c>
      <c r="S586" s="16">
        <v>100000</v>
      </c>
      <c r="T586" s="16">
        <f>Tabela1[[#This Row],[Total 2019]]-Tabela1[[#This Row],[Total 2018]]</f>
        <v>-7656.2304999999997</v>
      </c>
      <c r="U586" s="40">
        <f>Tabela1[[#This Row],[Total 2019]]/Tabela1[[#This Row],[Meta]]</f>
        <v>0</v>
      </c>
      <c r="V586" s="17">
        <f>IFERROR(Tabela1[[#This Row],[Total 2019]]/Tabela1[[#This Row],[Total 2018]]-1,0)</f>
        <v>-1</v>
      </c>
      <c r="W58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86" s="48"/>
      <c r="Y586" s="19"/>
      <c r="Z586" s="68"/>
    </row>
    <row r="587" spans="3:26" x14ac:dyDescent="0.35">
      <c r="C587" s="11" t="s">
        <v>2704</v>
      </c>
      <c r="D587" s="12" t="s">
        <v>2699</v>
      </c>
      <c r="E587" s="12">
        <v>569</v>
      </c>
      <c r="F587" s="13" t="s">
        <v>2016</v>
      </c>
      <c r="G587" s="14">
        <v>3</v>
      </c>
      <c r="H587" s="14" t="s">
        <v>1373</v>
      </c>
      <c r="I587" s="13">
        <v>28</v>
      </c>
      <c r="J587" s="15" t="s">
        <v>1427</v>
      </c>
      <c r="K587" s="15" t="s">
        <v>2710</v>
      </c>
      <c r="L587" s="16"/>
      <c r="M587" s="16">
        <v>5852.38</v>
      </c>
      <c r="N587" s="16"/>
      <c r="O587" s="16">
        <v>1246.9415000000001</v>
      </c>
      <c r="P587" s="16">
        <v>2535.7019999999998</v>
      </c>
      <c r="Q587" s="16">
        <f>SUM(Tabela1[[#This Row],[201805]:[201807]])</f>
        <v>5852.38</v>
      </c>
      <c r="R587" s="16">
        <f>SUM(Tabela1[[#This Row],[201905]:[201906]])</f>
        <v>3782.6435000000001</v>
      </c>
      <c r="S587" s="16">
        <v>100000</v>
      </c>
      <c r="T587" s="16">
        <f>Tabela1[[#This Row],[Total 2019]]-Tabela1[[#This Row],[Total 2018]]</f>
        <v>-2069.7365</v>
      </c>
      <c r="U587" s="40">
        <f>Tabela1[[#This Row],[Total 2019]]/Tabela1[[#This Row],[Meta]]</f>
        <v>3.7826434999999999E-2</v>
      </c>
      <c r="V587" s="17">
        <f>IFERROR(Tabela1[[#This Row],[Total 2019]]/Tabela1[[#This Row],[Total 2018]]-1,0)</f>
        <v>-0.35365723004999672</v>
      </c>
      <c r="W58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587" s="48"/>
      <c r="Y587" s="19"/>
      <c r="Z587" s="68"/>
    </row>
    <row r="588" spans="3:26" x14ac:dyDescent="0.35">
      <c r="C588" s="11" t="s">
        <v>2703</v>
      </c>
      <c r="D588" s="12" t="s">
        <v>2699</v>
      </c>
      <c r="E588" s="12">
        <v>570</v>
      </c>
      <c r="F588" s="13" t="s">
        <v>2017</v>
      </c>
      <c r="G588" s="14">
        <v>1</v>
      </c>
      <c r="H588" s="14" t="s">
        <v>1372</v>
      </c>
      <c r="I588" s="13">
        <v>17</v>
      </c>
      <c r="J588" s="15" t="s">
        <v>1416</v>
      </c>
      <c r="K588" s="15" t="s">
        <v>2708</v>
      </c>
      <c r="L588" s="16">
        <v>4549.8160000000007</v>
      </c>
      <c r="M588" s="16">
        <v>986.92650000000003</v>
      </c>
      <c r="N588" s="16">
        <v>1731.1755000000001</v>
      </c>
      <c r="O588" s="16"/>
      <c r="P588" s="16"/>
      <c r="Q588" s="16">
        <f>SUM(Tabela1[[#This Row],[201805]:[201807]])</f>
        <v>7267.9180000000006</v>
      </c>
      <c r="R588" s="16">
        <f>SUM(Tabela1[[#This Row],[201905]:[201906]])</f>
        <v>0</v>
      </c>
      <c r="S588" s="16">
        <v>100000</v>
      </c>
      <c r="T588" s="16">
        <f>Tabela1[[#This Row],[Total 2019]]-Tabela1[[#This Row],[Total 2018]]</f>
        <v>-7267.9180000000006</v>
      </c>
      <c r="U588" s="40">
        <f>Tabela1[[#This Row],[Total 2019]]/Tabela1[[#This Row],[Meta]]</f>
        <v>0</v>
      </c>
      <c r="V588" s="17">
        <f>IFERROR(Tabela1[[#This Row],[Total 2019]]/Tabela1[[#This Row],[Total 2018]]-1,0)</f>
        <v>-1</v>
      </c>
      <c r="W58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88" s="48"/>
      <c r="Y588" s="19"/>
      <c r="Z588" s="68"/>
    </row>
    <row r="589" spans="3:26" x14ac:dyDescent="0.35">
      <c r="C589" s="11" t="s">
        <v>2703</v>
      </c>
      <c r="D589" s="12" t="s">
        <v>2698</v>
      </c>
      <c r="E589" s="12">
        <v>571</v>
      </c>
      <c r="F589" s="13" t="s">
        <v>2018</v>
      </c>
      <c r="G589" s="14">
        <v>3</v>
      </c>
      <c r="H589" s="14" t="s">
        <v>1372</v>
      </c>
      <c r="I589" s="13">
        <v>17</v>
      </c>
      <c r="J589" s="15" t="s">
        <v>1416</v>
      </c>
      <c r="K589" s="15" t="s">
        <v>2708</v>
      </c>
      <c r="L589" s="16"/>
      <c r="M589" s="16"/>
      <c r="N589" s="16"/>
      <c r="O589" s="16">
        <v>2852.2705000000001</v>
      </c>
      <c r="P589" s="16">
        <v>662.04549999999995</v>
      </c>
      <c r="Q589" s="16">
        <f>SUM(Tabela1[[#This Row],[201805]:[201807]])</f>
        <v>0</v>
      </c>
      <c r="R589" s="16">
        <f>SUM(Tabela1[[#This Row],[201905]:[201906]])</f>
        <v>3514.3159999999998</v>
      </c>
      <c r="S589" s="16">
        <v>100000</v>
      </c>
      <c r="T589" s="16">
        <f>Tabela1[[#This Row],[Total 2019]]-Tabela1[[#This Row],[Total 2018]]</f>
        <v>3514.3159999999998</v>
      </c>
      <c r="U589" s="40">
        <f>Tabela1[[#This Row],[Total 2019]]/Tabela1[[#This Row],[Meta]]</f>
        <v>3.514316E-2</v>
      </c>
      <c r="V589" s="17">
        <f>IFERROR(Tabela1[[#This Row],[Total 2019]]/Tabela1[[#This Row],[Total 2018]]-1,0)</f>
        <v>0</v>
      </c>
      <c r="W58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589" s="48"/>
      <c r="Y589" s="19"/>
      <c r="Z589" s="68"/>
    </row>
    <row r="590" spans="3:26" x14ac:dyDescent="0.35">
      <c r="C590" s="11" t="s">
        <v>2703</v>
      </c>
      <c r="D590" s="12" t="s">
        <v>2700</v>
      </c>
      <c r="E590" s="12">
        <v>572</v>
      </c>
      <c r="F590" s="13" t="s">
        <v>2019</v>
      </c>
      <c r="G590" s="14">
        <v>1</v>
      </c>
      <c r="H590" s="14" t="s">
        <v>1372</v>
      </c>
      <c r="I590" s="13">
        <v>25</v>
      </c>
      <c r="J590" s="15" t="s">
        <v>1424</v>
      </c>
      <c r="K590" s="15" t="s">
        <v>2708</v>
      </c>
      <c r="L590" s="16">
        <v>1241.0609999999999</v>
      </c>
      <c r="M590" s="16">
        <v>4981.1255000000001</v>
      </c>
      <c r="N590" s="16">
        <v>2148.5769999999998</v>
      </c>
      <c r="O590" s="16"/>
      <c r="P590" s="16"/>
      <c r="Q590" s="16">
        <f>SUM(Tabela1[[#This Row],[201805]:[201807]])</f>
        <v>8370.7634999999991</v>
      </c>
      <c r="R590" s="16">
        <f>SUM(Tabela1[[#This Row],[201905]:[201906]])</f>
        <v>0</v>
      </c>
      <c r="S590" s="16">
        <v>100000</v>
      </c>
      <c r="T590" s="16">
        <f>Tabela1[[#This Row],[Total 2019]]-Tabela1[[#This Row],[Total 2018]]</f>
        <v>-8370.7634999999991</v>
      </c>
      <c r="U590" s="40">
        <f>Tabela1[[#This Row],[Total 2019]]/Tabela1[[#This Row],[Meta]]</f>
        <v>0</v>
      </c>
      <c r="V590" s="17">
        <f>IFERROR(Tabela1[[#This Row],[Total 2019]]/Tabela1[[#This Row],[Total 2018]]-1,0)</f>
        <v>-1</v>
      </c>
      <c r="W59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90" s="48"/>
      <c r="Y590" s="19"/>
      <c r="Z590" s="68"/>
    </row>
    <row r="591" spans="3:26" x14ac:dyDescent="0.35">
      <c r="C591" s="11" t="s">
        <v>2703</v>
      </c>
      <c r="D591" s="12" t="s">
        <v>2699</v>
      </c>
      <c r="E591" s="12">
        <v>573</v>
      </c>
      <c r="F591" s="13" t="s">
        <v>2020</v>
      </c>
      <c r="G591" s="14">
        <v>2</v>
      </c>
      <c r="H591" s="14" t="s">
        <v>1370</v>
      </c>
      <c r="I591" s="13">
        <v>29</v>
      </c>
      <c r="J591" s="15" t="s">
        <v>1428</v>
      </c>
      <c r="K591" s="15" t="s">
        <v>2706</v>
      </c>
      <c r="L591" s="16"/>
      <c r="M591" s="16"/>
      <c r="N591" s="16">
        <v>2713.0384999999997</v>
      </c>
      <c r="O591" s="16"/>
      <c r="P591" s="16"/>
      <c r="Q591" s="16">
        <f>SUM(Tabela1[[#This Row],[201805]:[201807]])</f>
        <v>2713.0384999999997</v>
      </c>
      <c r="R591" s="16">
        <f>SUM(Tabela1[[#This Row],[201905]:[201906]])</f>
        <v>0</v>
      </c>
      <c r="S591" s="16">
        <v>100000</v>
      </c>
      <c r="T591" s="16">
        <f>Tabela1[[#This Row],[Total 2019]]-Tabela1[[#This Row],[Total 2018]]</f>
        <v>-2713.0384999999997</v>
      </c>
      <c r="U591" s="40">
        <f>Tabela1[[#This Row],[Total 2019]]/Tabela1[[#This Row],[Meta]]</f>
        <v>0</v>
      </c>
      <c r="V591" s="17">
        <f>IFERROR(Tabela1[[#This Row],[Total 2019]]/Tabela1[[#This Row],[Total 2018]]-1,0)</f>
        <v>-1</v>
      </c>
      <c r="W59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91" s="48"/>
      <c r="Y591" s="19"/>
      <c r="Z591" s="68"/>
    </row>
    <row r="592" spans="3:26" x14ac:dyDescent="0.35">
      <c r="C592" s="11" t="s">
        <v>2703</v>
      </c>
      <c r="D592" s="12" t="s">
        <v>2700</v>
      </c>
      <c r="E592" s="12">
        <v>574</v>
      </c>
      <c r="F592" s="13" t="s">
        <v>2021</v>
      </c>
      <c r="G592" s="14">
        <v>1</v>
      </c>
      <c r="H592" s="14" t="s">
        <v>1372</v>
      </c>
      <c r="I592" s="13">
        <v>20</v>
      </c>
      <c r="J592" s="15" t="s">
        <v>1419</v>
      </c>
      <c r="K592" s="15" t="s">
        <v>2708</v>
      </c>
      <c r="L592" s="16">
        <v>2074.5909999999999</v>
      </c>
      <c r="M592" s="16">
        <v>2801.8540000000003</v>
      </c>
      <c r="N592" s="16"/>
      <c r="O592" s="16"/>
      <c r="P592" s="16"/>
      <c r="Q592" s="16">
        <f>SUM(Tabela1[[#This Row],[201805]:[201807]])</f>
        <v>4876.4449999999997</v>
      </c>
      <c r="R592" s="16">
        <f>SUM(Tabela1[[#This Row],[201905]:[201906]])</f>
        <v>0</v>
      </c>
      <c r="S592" s="16">
        <v>100000</v>
      </c>
      <c r="T592" s="16">
        <f>Tabela1[[#This Row],[Total 2019]]-Tabela1[[#This Row],[Total 2018]]</f>
        <v>-4876.4449999999997</v>
      </c>
      <c r="U592" s="40">
        <f>Tabela1[[#This Row],[Total 2019]]/Tabela1[[#This Row],[Meta]]</f>
        <v>0</v>
      </c>
      <c r="V592" s="17">
        <f>IFERROR(Tabela1[[#This Row],[Total 2019]]/Tabela1[[#This Row],[Total 2018]]-1,0)</f>
        <v>-1</v>
      </c>
      <c r="W59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92" s="48"/>
      <c r="Y592" s="19"/>
      <c r="Z592" s="68"/>
    </row>
    <row r="593" spans="3:26" x14ac:dyDescent="0.35">
      <c r="C593" s="11" t="s">
        <v>2702</v>
      </c>
      <c r="D593" s="12" t="s">
        <v>2698</v>
      </c>
      <c r="E593" s="12">
        <v>575</v>
      </c>
      <c r="F593" s="13" t="s">
        <v>2022</v>
      </c>
      <c r="G593" s="14">
        <v>3</v>
      </c>
      <c r="H593" s="14" t="s">
        <v>1372</v>
      </c>
      <c r="I593" s="13">
        <v>23</v>
      </c>
      <c r="J593" s="15" t="s">
        <v>1422</v>
      </c>
      <c r="K593" s="15" t="s">
        <v>2708</v>
      </c>
      <c r="L593" s="16">
        <v>1515.1929999999998</v>
      </c>
      <c r="M593" s="16">
        <v>1312.748</v>
      </c>
      <c r="N593" s="16">
        <v>1237.1754999999998</v>
      </c>
      <c r="O593" s="16"/>
      <c r="P593" s="16"/>
      <c r="Q593" s="16">
        <f>SUM(Tabela1[[#This Row],[201805]:[201807]])</f>
        <v>4065.1164999999996</v>
      </c>
      <c r="R593" s="16">
        <f>SUM(Tabela1[[#This Row],[201905]:[201906]])</f>
        <v>0</v>
      </c>
      <c r="S593" s="16">
        <v>100000</v>
      </c>
      <c r="T593" s="16">
        <f>Tabela1[[#This Row],[Total 2019]]-Tabela1[[#This Row],[Total 2018]]</f>
        <v>-4065.1164999999996</v>
      </c>
      <c r="U593" s="40">
        <f>Tabela1[[#This Row],[Total 2019]]/Tabela1[[#This Row],[Meta]]</f>
        <v>0</v>
      </c>
      <c r="V593" s="17">
        <f>IFERROR(Tabela1[[#This Row],[Total 2019]]/Tabela1[[#This Row],[Total 2018]]-1,0)</f>
        <v>-1</v>
      </c>
      <c r="W59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93" s="48"/>
      <c r="Y593" s="19"/>
      <c r="Z593" s="68"/>
    </row>
    <row r="594" spans="3:26" x14ac:dyDescent="0.35">
      <c r="C594" s="11" t="s">
        <v>2703</v>
      </c>
      <c r="D594" s="12" t="s">
        <v>2698</v>
      </c>
      <c r="E594" s="12">
        <v>576</v>
      </c>
      <c r="F594" s="13" t="s">
        <v>2023</v>
      </c>
      <c r="G594" s="14">
        <v>3</v>
      </c>
      <c r="H594" s="14" t="s">
        <v>1370</v>
      </c>
      <c r="I594" s="13">
        <v>19</v>
      </c>
      <c r="J594" s="15" t="s">
        <v>1418</v>
      </c>
      <c r="K594" s="15" t="s">
        <v>2706</v>
      </c>
      <c r="L594" s="16">
        <v>11414.8295</v>
      </c>
      <c r="M594" s="16">
        <v>20330.940499999997</v>
      </c>
      <c r="N594" s="16"/>
      <c r="O594" s="16">
        <v>9144.9470000000001</v>
      </c>
      <c r="P594" s="16">
        <v>36223.585500000001</v>
      </c>
      <c r="Q594" s="16">
        <f>SUM(Tabela1[[#This Row],[201805]:[201807]])</f>
        <v>31745.769999999997</v>
      </c>
      <c r="R594" s="16">
        <f>SUM(Tabela1[[#This Row],[201905]:[201906]])</f>
        <v>45368.532500000001</v>
      </c>
      <c r="S594" s="16">
        <v>100000</v>
      </c>
      <c r="T594" s="16">
        <f>Tabela1[[#This Row],[Total 2019]]-Tabela1[[#This Row],[Total 2018]]</f>
        <v>13622.762500000004</v>
      </c>
      <c r="U594" s="40">
        <f>Tabela1[[#This Row],[Total 2019]]/Tabela1[[#This Row],[Meta]]</f>
        <v>0.45368532500000003</v>
      </c>
      <c r="V594" s="17">
        <f>IFERROR(Tabela1[[#This Row],[Total 2019]]/Tabela1[[#This Row],[Total 2018]]-1,0)</f>
        <v>0.42912055684899131</v>
      </c>
      <c r="W59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594" s="48"/>
      <c r="Y594" s="19"/>
      <c r="Z594" s="68"/>
    </row>
    <row r="595" spans="3:26" x14ac:dyDescent="0.35">
      <c r="C595" s="11" t="s">
        <v>2702</v>
      </c>
      <c r="D595" s="12" t="s">
        <v>2700</v>
      </c>
      <c r="E595" s="12">
        <v>577</v>
      </c>
      <c r="F595" s="13" t="s">
        <v>2024</v>
      </c>
      <c r="G595" s="14">
        <v>2</v>
      </c>
      <c r="H595" s="14" t="s">
        <v>1370</v>
      </c>
      <c r="I595" s="13">
        <v>15</v>
      </c>
      <c r="J595" s="15" t="s">
        <v>1414</v>
      </c>
      <c r="K595" s="15" t="s">
        <v>2706</v>
      </c>
      <c r="L595" s="16">
        <v>3870.0625</v>
      </c>
      <c r="M595" s="16">
        <v>1939.539</v>
      </c>
      <c r="N595" s="16">
        <v>1866.655</v>
      </c>
      <c r="O595" s="16"/>
      <c r="P595" s="16"/>
      <c r="Q595" s="16">
        <f>SUM(Tabela1[[#This Row],[201805]:[201807]])</f>
        <v>7676.2564999999995</v>
      </c>
      <c r="R595" s="16">
        <f>SUM(Tabela1[[#This Row],[201905]:[201906]])</f>
        <v>0</v>
      </c>
      <c r="S595" s="16">
        <v>100000</v>
      </c>
      <c r="T595" s="16">
        <f>Tabela1[[#This Row],[Total 2019]]-Tabela1[[#This Row],[Total 2018]]</f>
        <v>-7676.2564999999995</v>
      </c>
      <c r="U595" s="40">
        <f>Tabela1[[#This Row],[Total 2019]]/Tabela1[[#This Row],[Meta]]</f>
        <v>0</v>
      </c>
      <c r="V595" s="17">
        <f>IFERROR(Tabela1[[#This Row],[Total 2019]]/Tabela1[[#This Row],[Total 2018]]-1,0)</f>
        <v>-1</v>
      </c>
      <c r="W59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95" s="48"/>
      <c r="Y595" s="19"/>
      <c r="Z595" s="68"/>
    </row>
    <row r="596" spans="3:26" x14ac:dyDescent="0.35">
      <c r="C596" s="11" t="s">
        <v>2703</v>
      </c>
      <c r="D596" s="12" t="s">
        <v>2699</v>
      </c>
      <c r="E596" s="12">
        <v>578</v>
      </c>
      <c r="F596" s="13" t="s">
        <v>2025</v>
      </c>
      <c r="G596" s="14">
        <v>1</v>
      </c>
      <c r="H596" s="14" t="s">
        <v>1370</v>
      </c>
      <c r="I596" s="13">
        <v>19</v>
      </c>
      <c r="J596" s="15" t="s">
        <v>1418</v>
      </c>
      <c r="K596" s="15" t="s">
        <v>2706</v>
      </c>
      <c r="L596" s="16">
        <v>10002.872999999998</v>
      </c>
      <c r="M596" s="16">
        <v>6452.1625000000004</v>
      </c>
      <c r="N596" s="16"/>
      <c r="O596" s="16">
        <v>10281.8215</v>
      </c>
      <c r="P596" s="16"/>
      <c r="Q596" s="16">
        <f>SUM(Tabela1[[#This Row],[201805]:[201807]])</f>
        <v>16455.035499999998</v>
      </c>
      <c r="R596" s="16">
        <f>SUM(Tabela1[[#This Row],[201905]:[201906]])</f>
        <v>10281.8215</v>
      </c>
      <c r="S596" s="16">
        <v>100000</v>
      </c>
      <c r="T596" s="16">
        <f>Tabela1[[#This Row],[Total 2019]]-Tabela1[[#This Row],[Total 2018]]</f>
        <v>-6173.2139999999981</v>
      </c>
      <c r="U596" s="40">
        <f>Tabela1[[#This Row],[Total 2019]]/Tabela1[[#This Row],[Meta]]</f>
        <v>0.102818215</v>
      </c>
      <c r="V596" s="17">
        <f>IFERROR(Tabela1[[#This Row],[Total 2019]]/Tabela1[[#This Row],[Total 2018]]-1,0)</f>
        <v>-0.37515652883276973</v>
      </c>
      <c r="W59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596" s="48"/>
      <c r="Y596" s="19"/>
      <c r="Z596" s="68"/>
    </row>
    <row r="597" spans="3:26" x14ac:dyDescent="0.35">
      <c r="C597" s="11" t="s">
        <v>2702</v>
      </c>
      <c r="D597" s="12" t="s">
        <v>2700</v>
      </c>
      <c r="E597" s="12">
        <v>579</v>
      </c>
      <c r="F597" s="13" t="s">
        <v>2026</v>
      </c>
      <c r="G597" s="14">
        <v>3</v>
      </c>
      <c r="H597" s="14" t="s">
        <v>1370</v>
      </c>
      <c r="I597" s="13">
        <v>29</v>
      </c>
      <c r="J597" s="15" t="s">
        <v>1428</v>
      </c>
      <c r="K597" s="15" t="s">
        <v>2706</v>
      </c>
      <c r="L597" s="16"/>
      <c r="M597" s="16">
        <v>3384.0424999999996</v>
      </c>
      <c r="N597" s="16"/>
      <c r="O597" s="16"/>
      <c r="P597" s="16"/>
      <c r="Q597" s="16">
        <f>SUM(Tabela1[[#This Row],[201805]:[201807]])</f>
        <v>3384.0424999999996</v>
      </c>
      <c r="R597" s="16">
        <f>SUM(Tabela1[[#This Row],[201905]:[201906]])</f>
        <v>0</v>
      </c>
      <c r="S597" s="16">
        <v>100000</v>
      </c>
      <c r="T597" s="16">
        <f>Tabela1[[#This Row],[Total 2019]]-Tabela1[[#This Row],[Total 2018]]</f>
        <v>-3384.0424999999996</v>
      </c>
      <c r="U597" s="40">
        <f>Tabela1[[#This Row],[Total 2019]]/Tabela1[[#This Row],[Meta]]</f>
        <v>0</v>
      </c>
      <c r="V597" s="17">
        <f>IFERROR(Tabela1[[#This Row],[Total 2019]]/Tabela1[[#This Row],[Total 2018]]-1,0)</f>
        <v>-1</v>
      </c>
      <c r="W59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97" s="48"/>
      <c r="Y597" s="19"/>
      <c r="Z597" s="68"/>
    </row>
    <row r="598" spans="3:26" x14ac:dyDescent="0.35">
      <c r="C598" s="11" t="s">
        <v>2704</v>
      </c>
      <c r="D598" s="12" t="s">
        <v>2700</v>
      </c>
      <c r="E598" s="12">
        <v>580</v>
      </c>
      <c r="F598" s="13" t="s">
        <v>2027</v>
      </c>
      <c r="G598" s="14">
        <v>2</v>
      </c>
      <c r="H598" s="14" t="s">
        <v>1370</v>
      </c>
      <c r="I598" s="13">
        <v>8</v>
      </c>
      <c r="J598" s="15" t="s">
        <v>1407</v>
      </c>
      <c r="K598" s="15" t="s">
        <v>2706</v>
      </c>
      <c r="L598" s="16"/>
      <c r="M598" s="16">
        <v>4046.1165000000001</v>
      </c>
      <c r="N598" s="16"/>
      <c r="O598" s="16">
        <v>6532.6464999999998</v>
      </c>
      <c r="P598" s="16">
        <v>4572.2264999999998</v>
      </c>
      <c r="Q598" s="16">
        <f>SUM(Tabela1[[#This Row],[201805]:[201807]])</f>
        <v>4046.1165000000001</v>
      </c>
      <c r="R598" s="16">
        <f>SUM(Tabela1[[#This Row],[201905]:[201906]])</f>
        <v>11104.873</v>
      </c>
      <c r="S598" s="16">
        <v>100000</v>
      </c>
      <c r="T598" s="16">
        <f>Tabela1[[#This Row],[Total 2019]]-Tabela1[[#This Row],[Total 2018]]</f>
        <v>7058.7564999999995</v>
      </c>
      <c r="U598" s="40">
        <f>Tabela1[[#This Row],[Total 2019]]/Tabela1[[#This Row],[Meta]]</f>
        <v>0.11104873</v>
      </c>
      <c r="V598" s="17">
        <f>IFERROR(Tabela1[[#This Row],[Total 2019]]/Tabela1[[#This Row],[Total 2018]]-1,0)</f>
        <v>1.7445756937547396</v>
      </c>
      <c r="W59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598" s="48"/>
      <c r="Y598" s="19"/>
      <c r="Z598" s="68"/>
    </row>
    <row r="599" spans="3:26" x14ac:dyDescent="0.35">
      <c r="C599" s="11" t="s">
        <v>2702</v>
      </c>
      <c r="D599" s="12" t="s">
        <v>2698</v>
      </c>
      <c r="E599" s="12">
        <v>581</v>
      </c>
      <c r="F599" s="13" t="s">
        <v>2028</v>
      </c>
      <c r="G599" s="14">
        <v>2</v>
      </c>
      <c r="H599" s="14" t="s">
        <v>1370</v>
      </c>
      <c r="I599" s="13">
        <v>11</v>
      </c>
      <c r="J599" s="15" t="s">
        <v>1410</v>
      </c>
      <c r="K599" s="15" t="s">
        <v>2706</v>
      </c>
      <c r="L599" s="16">
        <v>1024.6320000000001</v>
      </c>
      <c r="M599" s="16"/>
      <c r="N599" s="16"/>
      <c r="O599" s="16"/>
      <c r="P599" s="16"/>
      <c r="Q599" s="16">
        <f>SUM(Tabela1[[#This Row],[201805]:[201807]])</f>
        <v>1024.6320000000001</v>
      </c>
      <c r="R599" s="16">
        <f>SUM(Tabela1[[#This Row],[201905]:[201906]])</f>
        <v>0</v>
      </c>
      <c r="S599" s="16">
        <v>100000</v>
      </c>
      <c r="T599" s="16">
        <f>Tabela1[[#This Row],[Total 2019]]-Tabela1[[#This Row],[Total 2018]]</f>
        <v>-1024.6320000000001</v>
      </c>
      <c r="U599" s="40">
        <f>Tabela1[[#This Row],[Total 2019]]/Tabela1[[#This Row],[Meta]]</f>
        <v>0</v>
      </c>
      <c r="V599" s="17">
        <f>IFERROR(Tabela1[[#This Row],[Total 2019]]/Tabela1[[#This Row],[Total 2018]]-1,0)</f>
        <v>-1</v>
      </c>
      <c r="W59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599" s="48"/>
      <c r="Y599" s="19"/>
      <c r="Z599" s="68"/>
    </row>
    <row r="600" spans="3:26" x14ac:dyDescent="0.35">
      <c r="C600" s="11" t="s">
        <v>2704</v>
      </c>
      <c r="D600" s="12" t="s">
        <v>2700</v>
      </c>
      <c r="E600" s="12">
        <v>582</v>
      </c>
      <c r="F600" s="13" t="s">
        <v>2029</v>
      </c>
      <c r="G600" s="14">
        <v>1</v>
      </c>
      <c r="H600" s="14" t="s">
        <v>1370</v>
      </c>
      <c r="I600" s="13">
        <v>11</v>
      </c>
      <c r="J600" s="15" t="s">
        <v>1410</v>
      </c>
      <c r="K600" s="15" t="s">
        <v>2706</v>
      </c>
      <c r="L600" s="16"/>
      <c r="M600" s="16">
        <v>2230.049</v>
      </c>
      <c r="N600" s="16"/>
      <c r="O600" s="16"/>
      <c r="P600" s="16"/>
      <c r="Q600" s="16">
        <f>SUM(Tabela1[[#This Row],[201805]:[201807]])</f>
        <v>2230.049</v>
      </c>
      <c r="R600" s="16">
        <f>SUM(Tabela1[[#This Row],[201905]:[201906]])</f>
        <v>0</v>
      </c>
      <c r="S600" s="16">
        <v>100000</v>
      </c>
      <c r="T600" s="16">
        <f>Tabela1[[#This Row],[Total 2019]]-Tabela1[[#This Row],[Total 2018]]</f>
        <v>-2230.049</v>
      </c>
      <c r="U600" s="40">
        <f>Tabela1[[#This Row],[Total 2019]]/Tabela1[[#This Row],[Meta]]</f>
        <v>0</v>
      </c>
      <c r="V600" s="17">
        <f>IFERROR(Tabela1[[#This Row],[Total 2019]]/Tabela1[[#This Row],[Total 2018]]-1,0)</f>
        <v>-1</v>
      </c>
      <c r="W60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00" s="48"/>
      <c r="Y600" s="19"/>
      <c r="Z600" s="68"/>
    </row>
    <row r="601" spans="3:26" x14ac:dyDescent="0.35">
      <c r="C601" s="11" t="s">
        <v>2703</v>
      </c>
      <c r="D601" s="12" t="s">
        <v>2700</v>
      </c>
      <c r="E601" s="12">
        <v>583</v>
      </c>
      <c r="F601" s="13" t="s">
        <v>2030</v>
      </c>
      <c r="G601" s="14">
        <v>3</v>
      </c>
      <c r="H601" s="14" t="s">
        <v>1370</v>
      </c>
      <c r="I601" s="13">
        <v>29</v>
      </c>
      <c r="J601" s="15" t="s">
        <v>1428</v>
      </c>
      <c r="K601" s="15" t="s">
        <v>2706</v>
      </c>
      <c r="L601" s="16">
        <v>3827.4264999999996</v>
      </c>
      <c r="M601" s="16">
        <v>4587.9965000000002</v>
      </c>
      <c r="N601" s="16"/>
      <c r="O601" s="16"/>
      <c r="P601" s="16"/>
      <c r="Q601" s="16">
        <f>SUM(Tabela1[[#This Row],[201805]:[201807]])</f>
        <v>8415.4229999999989</v>
      </c>
      <c r="R601" s="16">
        <f>SUM(Tabela1[[#This Row],[201905]:[201906]])</f>
        <v>0</v>
      </c>
      <c r="S601" s="16">
        <v>100000</v>
      </c>
      <c r="T601" s="16">
        <f>Tabela1[[#This Row],[Total 2019]]-Tabela1[[#This Row],[Total 2018]]</f>
        <v>-8415.4229999999989</v>
      </c>
      <c r="U601" s="40">
        <f>Tabela1[[#This Row],[Total 2019]]/Tabela1[[#This Row],[Meta]]</f>
        <v>0</v>
      </c>
      <c r="V601" s="17">
        <f>IFERROR(Tabela1[[#This Row],[Total 2019]]/Tabela1[[#This Row],[Total 2018]]-1,0)</f>
        <v>-1</v>
      </c>
      <c r="W60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01" s="48"/>
      <c r="Y601" s="19"/>
      <c r="Z601" s="68"/>
    </row>
    <row r="602" spans="3:26" x14ac:dyDescent="0.35">
      <c r="C602" s="11" t="s">
        <v>2703</v>
      </c>
      <c r="D602" s="12" t="s">
        <v>2700</v>
      </c>
      <c r="E602" s="12">
        <v>584</v>
      </c>
      <c r="F602" s="13" t="s">
        <v>2031</v>
      </c>
      <c r="G602" s="14">
        <v>1</v>
      </c>
      <c r="H602" s="14" t="s">
        <v>1370</v>
      </c>
      <c r="I602" s="13">
        <v>8</v>
      </c>
      <c r="J602" s="15" t="s">
        <v>1407</v>
      </c>
      <c r="K602" s="15" t="s">
        <v>2706</v>
      </c>
      <c r="L602" s="16">
        <v>1322.096</v>
      </c>
      <c r="M602" s="16">
        <v>6987.8104999999987</v>
      </c>
      <c r="N602" s="16"/>
      <c r="O602" s="16">
        <v>3472.5920000000001</v>
      </c>
      <c r="P602" s="16">
        <v>10000.602500000001</v>
      </c>
      <c r="Q602" s="16">
        <f>SUM(Tabela1[[#This Row],[201805]:[201807]])</f>
        <v>8309.9064999999991</v>
      </c>
      <c r="R602" s="16">
        <f>SUM(Tabela1[[#This Row],[201905]:[201906]])</f>
        <v>13473.194500000001</v>
      </c>
      <c r="S602" s="16">
        <v>100000</v>
      </c>
      <c r="T602" s="16">
        <f>Tabela1[[#This Row],[Total 2019]]-Tabela1[[#This Row],[Total 2018]]</f>
        <v>5163.2880000000023</v>
      </c>
      <c r="U602" s="40">
        <f>Tabela1[[#This Row],[Total 2019]]/Tabela1[[#This Row],[Meta]]</f>
        <v>0.13473194500000002</v>
      </c>
      <c r="V602" s="17">
        <f>IFERROR(Tabela1[[#This Row],[Total 2019]]/Tabela1[[#This Row],[Total 2018]]-1,0)</f>
        <v>0.62134128705298952</v>
      </c>
      <c r="W60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602" s="48"/>
      <c r="Y602" s="19"/>
      <c r="Z602" s="68"/>
    </row>
    <row r="603" spans="3:26" x14ac:dyDescent="0.35">
      <c r="C603" s="11" t="s">
        <v>2703</v>
      </c>
      <c r="D603" s="12" t="s">
        <v>2700</v>
      </c>
      <c r="E603" s="12">
        <v>585</v>
      </c>
      <c r="F603" s="13" t="s">
        <v>2032</v>
      </c>
      <c r="G603" s="14">
        <v>2</v>
      </c>
      <c r="H603" s="14" t="s">
        <v>1370</v>
      </c>
      <c r="I603" s="13">
        <v>11</v>
      </c>
      <c r="J603" s="15" t="s">
        <v>1410</v>
      </c>
      <c r="K603" s="15" t="s">
        <v>2706</v>
      </c>
      <c r="L603" s="16">
        <v>1721.5804999999998</v>
      </c>
      <c r="M603" s="16">
        <v>6026.2205000000004</v>
      </c>
      <c r="N603" s="16">
        <v>7066.3944999999994</v>
      </c>
      <c r="O603" s="16">
        <v>4086.5199999999995</v>
      </c>
      <c r="P603" s="16">
        <v>4712.9880000000003</v>
      </c>
      <c r="Q603" s="16">
        <f>SUM(Tabela1[[#This Row],[201805]:[201807]])</f>
        <v>14814.1955</v>
      </c>
      <c r="R603" s="16">
        <f>SUM(Tabela1[[#This Row],[201905]:[201906]])</f>
        <v>8799.5079999999998</v>
      </c>
      <c r="S603" s="16">
        <v>100000</v>
      </c>
      <c r="T603" s="16">
        <f>Tabela1[[#This Row],[Total 2019]]-Tabela1[[#This Row],[Total 2018]]</f>
        <v>-6014.6875</v>
      </c>
      <c r="U603" s="40">
        <f>Tabela1[[#This Row],[Total 2019]]/Tabela1[[#This Row],[Meta]]</f>
        <v>8.7995080000000003E-2</v>
      </c>
      <c r="V603" s="17">
        <f>IFERROR(Tabela1[[#This Row],[Total 2019]]/Tabela1[[#This Row],[Total 2018]]-1,0)</f>
        <v>-0.40600837892277042</v>
      </c>
      <c r="W60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603" s="48"/>
      <c r="Y603" s="19"/>
      <c r="Z603" s="68"/>
    </row>
    <row r="604" spans="3:26" x14ac:dyDescent="0.35">
      <c r="C604" s="11" t="s">
        <v>2703</v>
      </c>
      <c r="D604" s="12" t="s">
        <v>2700</v>
      </c>
      <c r="E604" s="12">
        <v>586</v>
      </c>
      <c r="F604" s="13" t="s">
        <v>2033</v>
      </c>
      <c r="G604" s="14">
        <v>2</v>
      </c>
      <c r="H604" s="14" t="s">
        <v>1370</v>
      </c>
      <c r="I604" s="13">
        <v>29</v>
      </c>
      <c r="J604" s="15" t="s">
        <v>1428</v>
      </c>
      <c r="K604" s="15" t="s">
        <v>2706</v>
      </c>
      <c r="L604" s="16">
        <v>1720.1934999999999</v>
      </c>
      <c r="M604" s="16">
        <v>1018.913</v>
      </c>
      <c r="N604" s="16"/>
      <c r="O604" s="16"/>
      <c r="P604" s="16"/>
      <c r="Q604" s="16">
        <f>SUM(Tabela1[[#This Row],[201805]:[201807]])</f>
        <v>2739.1064999999999</v>
      </c>
      <c r="R604" s="16">
        <f>SUM(Tabela1[[#This Row],[201905]:[201906]])</f>
        <v>0</v>
      </c>
      <c r="S604" s="16">
        <v>100000</v>
      </c>
      <c r="T604" s="16">
        <f>Tabela1[[#This Row],[Total 2019]]-Tabela1[[#This Row],[Total 2018]]</f>
        <v>-2739.1064999999999</v>
      </c>
      <c r="U604" s="40">
        <f>Tabela1[[#This Row],[Total 2019]]/Tabela1[[#This Row],[Meta]]</f>
        <v>0</v>
      </c>
      <c r="V604" s="17">
        <f>IFERROR(Tabela1[[#This Row],[Total 2019]]/Tabela1[[#This Row],[Total 2018]]-1,0)</f>
        <v>-1</v>
      </c>
      <c r="W60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04" s="48"/>
      <c r="Y604" s="19"/>
      <c r="Z604" s="68"/>
    </row>
    <row r="605" spans="3:26" x14ac:dyDescent="0.35">
      <c r="C605" s="11" t="s">
        <v>2702</v>
      </c>
      <c r="D605" s="12" t="s">
        <v>2699</v>
      </c>
      <c r="E605" s="12">
        <v>587</v>
      </c>
      <c r="F605" s="13" t="s">
        <v>2034</v>
      </c>
      <c r="G605" s="14">
        <v>1</v>
      </c>
      <c r="H605" s="14" t="s">
        <v>1370</v>
      </c>
      <c r="I605" s="13">
        <v>8</v>
      </c>
      <c r="J605" s="15" t="s">
        <v>1407</v>
      </c>
      <c r="K605" s="15" t="s">
        <v>2706</v>
      </c>
      <c r="L605" s="16"/>
      <c r="M605" s="16">
        <v>3319.5469999999996</v>
      </c>
      <c r="N605" s="16">
        <v>1571.0529999999999</v>
      </c>
      <c r="O605" s="16"/>
      <c r="P605" s="16"/>
      <c r="Q605" s="16">
        <f>SUM(Tabela1[[#This Row],[201805]:[201807]])</f>
        <v>4890.5999999999995</v>
      </c>
      <c r="R605" s="16">
        <f>SUM(Tabela1[[#This Row],[201905]:[201906]])</f>
        <v>0</v>
      </c>
      <c r="S605" s="16">
        <v>100000</v>
      </c>
      <c r="T605" s="16">
        <f>Tabela1[[#This Row],[Total 2019]]-Tabela1[[#This Row],[Total 2018]]</f>
        <v>-4890.5999999999995</v>
      </c>
      <c r="U605" s="40">
        <f>Tabela1[[#This Row],[Total 2019]]/Tabela1[[#This Row],[Meta]]</f>
        <v>0</v>
      </c>
      <c r="V605" s="17">
        <f>IFERROR(Tabela1[[#This Row],[Total 2019]]/Tabela1[[#This Row],[Total 2018]]-1,0)</f>
        <v>-1</v>
      </c>
      <c r="W60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05" s="48"/>
      <c r="Y605" s="19"/>
      <c r="Z605" s="68"/>
    </row>
    <row r="606" spans="3:26" x14ac:dyDescent="0.35">
      <c r="C606" s="11" t="s">
        <v>2704</v>
      </c>
      <c r="D606" s="12" t="s">
        <v>2698</v>
      </c>
      <c r="E606" s="12">
        <v>588</v>
      </c>
      <c r="F606" s="13" t="s">
        <v>2035</v>
      </c>
      <c r="G606" s="14">
        <v>2</v>
      </c>
      <c r="H606" s="14" t="s">
        <v>1370</v>
      </c>
      <c r="I606" s="13">
        <v>19</v>
      </c>
      <c r="J606" s="15" t="s">
        <v>1418</v>
      </c>
      <c r="K606" s="15" t="s">
        <v>2706</v>
      </c>
      <c r="L606" s="16">
        <v>1021.5539999999999</v>
      </c>
      <c r="M606" s="16">
        <v>1362.7370000000001</v>
      </c>
      <c r="N606" s="16"/>
      <c r="O606" s="16"/>
      <c r="P606" s="16"/>
      <c r="Q606" s="16">
        <f>SUM(Tabela1[[#This Row],[201805]:[201807]])</f>
        <v>2384.2910000000002</v>
      </c>
      <c r="R606" s="16">
        <f>SUM(Tabela1[[#This Row],[201905]:[201906]])</f>
        <v>0</v>
      </c>
      <c r="S606" s="16">
        <v>100000</v>
      </c>
      <c r="T606" s="16">
        <f>Tabela1[[#This Row],[Total 2019]]-Tabela1[[#This Row],[Total 2018]]</f>
        <v>-2384.2910000000002</v>
      </c>
      <c r="U606" s="40">
        <f>Tabela1[[#This Row],[Total 2019]]/Tabela1[[#This Row],[Meta]]</f>
        <v>0</v>
      </c>
      <c r="V606" s="17">
        <f>IFERROR(Tabela1[[#This Row],[Total 2019]]/Tabela1[[#This Row],[Total 2018]]-1,0)</f>
        <v>-1</v>
      </c>
      <c r="W60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06" s="48"/>
      <c r="Y606" s="19"/>
      <c r="Z606" s="68"/>
    </row>
    <row r="607" spans="3:26" x14ac:dyDescent="0.35">
      <c r="C607" s="11" t="s">
        <v>2703</v>
      </c>
      <c r="D607" s="12" t="s">
        <v>2699</v>
      </c>
      <c r="E607" s="12">
        <v>589</v>
      </c>
      <c r="F607" s="13" t="s">
        <v>2036</v>
      </c>
      <c r="G607" s="14">
        <v>2</v>
      </c>
      <c r="H607" s="14" t="s">
        <v>1370</v>
      </c>
      <c r="I607" s="13">
        <v>8</v>
      </c>
      <c r="J607" s="15" t="s">
        <v>1407</v>
      </c>
      <c r="K607" s="15" t="s">
        <v>2706</v>
      </c>
      <c r="L607" s="16">
        <v>9720.1910000000007</v>
      </c>
      <c r="M607" s="16"/>
      <c r="N607" s="16">
        <v>13959.670499999998</v>
      </c>
      <c r="O607" s="16"/>
      <c r="P607" s="16"/>
      <c r="Q607" s="16">
        <f>SUM(Tabela1[[#This Row],[201805]:[201807]])</f>
        <v>23679.861499999999</v>
      </c>
      <c r="R607" s="16">
        <f>SUM(Tabela1[[#This Row],[201905]:[201906]])</f>
        <v>0</v>
      </c>
      <c r="S607" s="16">
        <v>100000</v>
      </c>
      <c r="T607" s="16">
        <f>Tabela1[[#This Row],[Total 2019]]-Tabela1[[#This Row],[Total 2018]]</f>
        <v>-23679.861499999999</v>
      </c>
      <c r="U607" s="40">
        <f>Tabela1[[#This Row],[Total 2019]]/Tabela1[[#This Row],[Meta]]</f>
        <v>0</v>
      </c>
      <c r="V607" s="17">
        <f>IFERROR(Tabela1[[#This Row],[Total 2019]]/Tabela1[[#This Row],[Total 2018]]-1,0)</f>
        <v>-1</v>
      </c>
      <c r="W60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07" s="48"/>
      <c r="Y607" s="19"/>
      <c r="Z607" s="68"/>
    </row>
    <row r="608" spans="3:26" x14ac:dyDescent="0.35">
      <c r="C608" s="11" t="s">
        <v>2703</v>
      </c>
      <c r="D608" s="12" t="s">
        <v>2698</v>
      </c>
      <c r="E608" s="12">
        <v>590</v>
      </c>
      <c r="F608" s="13" t="s">
        <v>2037</v>
      </c>
      <c r="G608" s="14">
        <v>2</v>
      </c>
      <c r="H608" s="14" t="s">
        <v>1370</v>
      </c>
      <c r="I608" s="13">
        <v>3</v>
      </c>
      <c r="J608" s="15" t="s">
        <v>1402</v>
      </c>
      <c r="K608" s="15" t="s">
        <v>2706</v>
      </c>
      <c r="L608" s="16">
        <v>2353.587</v>
      </c>
      <c r="M608" s="16">
        <v>1341.723</v>
      </c>
      <c r="N608" s="16"/>
      <c r="O608" s="16">
        <v>5299.4514999999992</v>
      </c>
      <c r="P608" s="16"/>
      <c r="Q608" s="16">
        <f>SUM(Tabela1[[#This Row],[201805]:[201807]])</f>
        <v>3695.31</v>
      </c>
      <c r="R608" s="16">
        <f>SUM(Tabela1[[#This Row],[201905]:[201906]])</f>
        <v>5299.4514999999992</v>
      </c>
      <c r="S608" s="16">
        <v>100000</v>
      </c>
      <c r="T608" s="16">
        <f>Tabela1[[#This Row],[Total 2019]]-Tabela1[[#This Row],[Total 2018]]</f>
        <v>1604.1414999999993</v>
      </c>
      <c r="U608" s="40">
        <f>Tabela1[[#This Row],[Total 2019]]/Tabela1[[#This Row],[Meta]]</f>
        <v>5.2994514999999992E-2</v>
      </c>
      <c r="V608" s="17">
        <f>IFERROR(Tabela1[[#This Row],[Total 2019]]/Tabela1[[#This Row],[Total 2018]]-1,0)</f>
        <v>0.43410201038613794</v>
      </c>
      <c r="W60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608" s="48"/>
      <c r="Y608" s="19"/>
      <c r="Z608" s="68"/>
    </row>
    <row r="609" spans="3:26" x14ac:dyDescent="0.35">
      <c r="C609" s="11" t="s">
        <v>2703</v>
      </c>
      <c r="D609" s="12" t="s">
        <v>2699</v>
      </c>
      <c r="E609" s="12">
        <v>591</v>
      </c>
      <c r="F609" s="13" t="s">
        <v>2038</v>
      </c>
      <c r="G609" s="14">
        <v>1</v>
      </c>
      <c r="H609" s="14" t="s">
        <v>1370</v>
      </c>
      <c r="I609" s="13">
        <v>11</v>
      </c>
      <c r="J609" s="15" t="s">
        <v>1410</v>
      </c>
      <c r="K609" s="15" t="s">
        <v>2706</v>
      </c>
      <c r="L609" s="16">
        <v>1816.3809999999999</v>
      </c>
      <c r="M609" s="16">
        <v>5306.8424999999997</v>
      </c>
      <c r="N609" s="16">
        <v>1392.586</v>
      </c>
      <c r="O609" s="16"/>
      <c r="P609" s="16"/>
      <c r="Q609" s="16">
        <f>SUM(Tabela1[[#This Row],[201805]:[201807]])</f>
        <v>8515.8094999999994</v>
      </c>
      <c r="R609" s="16">
        <f>SUM(Tabela1[[#This Row],[201905]:[201906]])</f>
        <v>0</v>
      </c>
      <c r="S609" s="16">
        <v>100000</v>
      </c>
      <c r="T609" s="16">
        <f>Tabela1[[#This Row],[Total 2019]]-Tabela1[[#This Row],[Total 2018]]</f>
        <v>-8515.8094999999994</v>
      </c>
      <c r="U609" s="40">
        <f>Tabela1[[#This Row],[Total 2019]]/Tabela1[[#This Row],[Meta]]</f>
        <v>0</v>
      </c>
      <c r="V609" s="17">
        <f>IFERROR(Tabela1[[#This Row],[Total 2019]]/Tabela1[[#This Row],[Total 2018]]-1,0)</f>
        <v>-1</v>
      </c>
      <c r="W60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09" s="48"/>
      <c r="Y609" s="19"/>
      <c r="Z609" s="68"/>
    </row>
    <row r="610" spans="3:26" x14ac:dyDescent="0.35">
      <c r="C610" s="11" t="s">
        <v>2703</v>
      </c>
      <c r="D610" s="12" t="s">
        <v>2699</v>
      </c>
      <c r="E610" s="12">
        <v>592</v>
      </c>
      <c r="F610" s="13" t="s">
        <v>2039</v>
      </c>
      <c r="G610" s="14">
        <v>1</v>
      </c>
      <c r="H610" s="14" t="s">
        <v>1370</v>
      </c>
      <c r="I610" s="13">
        <v>11</v>
      </c>
      <c r="J610" s="15" t="s">
        <v>1410</v>
      </c>
      <c r="K610" s="15" t="s">
        <v>2706</v>
      </c>
      <c r="L610" s="16">
        <v>2211.8564999999999</v>
      </c>
      <c r="M610" s="16">
        <v>1192.934</v>
      </c>
      <c r="N610" s="16">
        <v>1857.2215000000001</v>
      </c>
      <c r="O610" s="16"/>
      <c r="P610" s="16"/>
      <c r="Q610" s="16">
        <f>SUM(Tabela1[[#This Row],[201805]:[201807]])</f>
        <v>5262.0120000000006</v>
      </c>
      <c r="R610" s="16">
        <f>SUM(Tabela1[[#This Row],[201905]:[201906]])</f>
        <v>0</v>
      </c>
      <c r="S610" s="16">
        <v>100000</v>
      </c>
      <c r="T610" s="16">
        <f>Tabela1[[#This Row],[Total 2019]]-Tabela1[[#This Row],[Total 2018]]</f>
        <v>-5262.0120000000006</v>
      </c>
      <c r="U610" s="40">
        <f>Tabela1[[#This Row],[Total 2019]]/Tabela1[[#This Row],[Meta]]</f>
        <v>0</v>
      </c>
      <c r="V610" s="17">
        <f>IFERROR(Tabela1[[#This Row],[Total 2019]]/Tabela1[[#This Row],[Total 2018]]-1,0)</f>
        <v>-1</v>
      </c>
      <c r="W61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10" s="48"/>
      <c r="Y610" s="19"/>
      <c r="Z610" s="68"/>
    </row>
    <row r="611" spans="3:26" x14ac:dyDescent="0.35">
      <c r="C611" s="11" t="s">
        <v>2703</v>
      </c>
      <c r="D611" s="12" t="s">
        <v>2700</v>
      </c>
      <c r="E611" s="12">
        <v>593</v>
      </c>
      <c r="F611" s="13" t="s">
        <v>2040</v>
      </c>
      <c r="G611" s="14">
        <v>1</v>
      </c>
      <c r="H611" s="14" t="s">
        <v>1370</v>
      </c>
      <c r="I611" s="13">
        <v>11</v>
      </c>
      <c r="J611" s="15" t="s">
        <v>1410</v>
      </c>
      <c r="K611" s="15" t="s">
        <v>2706</v>
      </c>
      <c r="L611" s="16"/>
      <c r="M611" s="16"/>
      <c r="N611" s="16">
        <v>2234.1055000000001</v>
      </c>
      <c r="O611" s="16"/>
      <c r="P611" s="16"/>
      <c r="Q611" s="16">
        <f>SUM(Tabela1[[#This Row],[201805]:[201807]])</f>
        <v>2234.1055000000001</v>
      </c>
      <c r="R611" s="16">
        <f>SUM(Tabela1[[#This Row],[201905]:[201906]])</f>
        <v>0</v>
      </c>
      <c r="S611" s="16">
        <v>100000</v>
      </c>
      <c r="T611" s="16">
        <f>Tabela1[[#This Row],[Total 2019]]-Tabela1[[#This Row],[Total 2018]]</f>
        <v>-2234.1055000000001</v>
      </c>
      <c r="U611" s="40">
        <f>Tabela1[[#This Row],[Total 2019]]/Tabela1[[#This Row],[Meta]]</f>
        <v>0</v>
      </c>
      <c r="V611" s="17">
        <f>IFERROR(Tabela1[[#This Row],[Total 2019]]/Tabela1[[#This Row],[Total 2018]]-1,0)</f>
        <v>-1</v>
      </c>
      <c r="W61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11" s="48"/>
      <c r="Y611" s="19"/>
      <c r="Z611" s="68"/>
    </row>
    <row r="612" spans="3:26" x14ac:dyDescent="0.35">
      <c r="C612" s="11" t="s">
        <v>2702</v>
      </c>
      <c r="D612" s="12" t="s">
        <v>2700</v>
      </c>
      <c r="E612" s="12">
        <v>594</v>
      </c>
      <c r="F612" s="13" t="s">
        <v>2041</v>
      </c>
      <c r="G612" s="14">
        <v>1</v>
      </c>
      <c r="H612" s="14" t="s">
        <v>1370</v>
      </c>
      <c r="I612" s="13">
        <v>3</v>
      </c>
      <c r="J612" s="15" t="s">
        <v>1402</v>
      </c>
      <c r="K612" s="15" t="s">
        <v>2706</v>
      </c>
      <c r="L612" s="16">
        <v>6308.2849999999989</v>
      </c>
      <c r="M612" s="16">
        <v>3797.0645</v>
      </c>
      <c r="N612" s="16"/>
      <c r="O612" s="16"/>
      <c r="P612" s="16"/>
      <c r="Q612" s="16">
        <f>SUM(Tabela1[[#This Row],[201805]:[201807]])</f>
        <v>10105.349499999998</v>
      </c>
      <c r="R612" s="16">
        <f>SUM(Tabela1[[#This Row],[201905]:[201906]])</f>
        <v>0</v>
      </c>
      <c r="S612" s="16">
        <v>100000</v>
      </c>
      <c r="T612" s="16">
        <f>Tabela1[[#This Row],[Total 2019]]-Tabela1[[#This Row],[Total 2018]]</f>
        <v>-10105.349499999998</v>
      </c>
      <c r="U612" s="40">
        <f>Tabela1[[#This Row],[Total 2019]]/Tabela1[[#This Row],[Meta]]</f>
        <v>0</v>
      </c>
      <c r="V612" s="17">
        <f>IFERROR(Tabela1[[#This Row],[Total 2019]]/Tabela1[[#This Row],[Total 2018]]-1,0)</f>
        <v>-1</v>
      </c>
      <c r="W61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12" s="48"/>
      <c r="Y612" s="19"/>
      <c r="Z612" s="68"/>
    </row>
    <row r="613" spans="3:26" x14ac:dyDescent="0.35">
      <c r="C613" s="11" t="s">
        <v>2704</v>
      </c>
      <c r="D613" s="12" t="s">
        <v>2700</v>
      </c>
      <c r="E613" s="12">
        <v>594</v>
      </c>
      <c r="F613" s="13" t="s">
        <v>2041</v>
      </c>
      <c r="G613" s="14">
        <v>2</v>
      </c>
      <c r="H613" s="14" t="s">
        <v>1370</v>
      </c>
      <c r="I613" s="13">
        <v>3</v>
      </c>
      <c r="J613" s="15" t="s">
        <v>1402</v>
      </c>
      <c r="K613" s="15" t="s">
        <v>2706</v>
      </c>
      <c r="L613" s="16"/>
      <c r="M613" s="16"/>
      <c r="N613" s="16"/>
      <c r="O613" s="16">
        <v>8291.2294999999995</v>
      </c>
      <c r="P613" s="16"/>
      <c r="Q613" s="16">
        <f>SUM(Tabela1[[#This Row],[201805]:[201807]])</f>
        <v>0</v>
      </c>
      <c r="R613" s="16">
        <f>SUM(Tabela1[[#This Row],[201905]:[201906]])</f>
        <v>8291.2294999999995</v>
      </c>
      <c r="S613" s="16">
        <v>100000</v>
      </c>
      <c r="T613" s="16">
        <f>Tabela1[[#This Row],[Total 2019]]-Tabela1[[#This Row],[Total 2018]]</f>
        <v>8291.2294999999995</v>
      </c>
      <c r="U613" s="40">
        <f>Tabela1[[#This Row],[Total 2019]]/Tabela1[[#This Row],[Meta]]</f>
        <v>8.2912294999999997E-2</v>
      </c>
      <c r="V613" s="17">
        <f>IFERROR(Tabela1[[#This Row],[Total 2019]]/Tabela1[[#This Row],[Total 2018]]-1,0)</f>
        <v>0</v>
      </c>
      <c r="W61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613" s="48"/>
      <c r="Y613" s="19"/>
      <c r="Z613" s="68"/>
    </row>
    <row r="614" spans="3:26" x14ac:dyDescent="0.35">
      <c r="C614" s="11" t="s">
        <v>2702</v>
      </c>
      <c r="D614" s="12" t="s">
        <v>2700</v>
      </c>
      <c r="E614" s="12">
        <v>595</v>
      </c>
      <c r="F614" s="13" t="s">
        <v>2042</v>
      </c>
      <c r="G614" s="14">
        <v>1</v>
      </c>
      <c r="H614" s="14" t="s">
        <v>1370</v>
      </c>
      <c r="I614" s="13">
        <v>3</v>
      </c>
      <c r="J614" s="15" t="s">
        <v>1402</v>
      </c>
      <c r="K614" s="15" t="s">
        <v>2706</v>
      </c>
      <c r="L614" s="16">
        <v>3818.8194999999996</v>
      </c>
      <c r="M614" s="16">
        <v>2443.4569999999999</v>
      </c>
      <c r="N614" s="16"/>
      <c r="O614" s="16">
        <v>5797.4604999999992</v>
      </c>
      <c r="P614" s="16"/>
      <c r="Q614" s="16">
        <f>SUM(Tabela1[[#This Row],[201805]:[201807]])</f>
        <v>6262.2764999999999</v>
      </c>
      <c r="R614" s="16">
        <f>SUM(Tabela1[[#This Row],[201905]:[201906]])</f>
        <v>5797.4604999999992</v>
      </c>
      <c r="S614" s="16">
        <v>100000</v>
      </c>
      <c r="T614" s="16">
        <f>Tabela1[[#This Row],[Total 2019]]-Tabela1[[#This Row],[Total 2018]]</f>
        <v>-464.81600000000071</v>
      </c>
      <c r="U614" s="40">
        <f>Tabela1[[#This Row],[Total 2019]]/Tabela1[[#This Row],[Meta]]</f>
        <v>5.7974604999999992E-2</v>
      </c>
      <c r="V614" s="17">
        <f>IFERROR(Tabela1[[#This Row],[Total 2019]]/Tabela1[[#This Row],[Total 2018]]-1,0)</f>
        <v>-7.4224764748091365E-2</v>
      </c>
      <c r="W61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614" s="48"/>
      <c r="Y614" s="19"/>
      <c r="Z614" s="68"/>
    </row>
    <row r="615" spans="3:26" x14ac:dyDescent="0.35">
      <c r="C615" s="11" t="s">
        <v>2704</v>
      </c>
      <c r="D615" s="12" t="s">
        <v>2698</v>
      </c>
      <c r="E615" s="12">
        <v>596</v>
      </c>
      <c r="F615" s="13" t="s">
        <v>2043</v>
      </c>
      <c r="G615" s="14">
        <v>2</v>
      </c>
      <c r="H615" s="14" t="s">
        <v>1370</v>
      </c>
      <c r="I615" s="13">
        <v>1</v>
      </c>
      <c r="J615" s="15" t="s">
        <v>1400</v>
      </c>
      <c r="K615" s="15" t="s">
        <v>2706</v>
      </c>
      <c r="L615" s="16"/>
      <c r="M615" s="16"/>
      <c r="N615" s="16"/>
      <c r="O615" s="16">
        <v>9194.2139999999999</v>
      </c>
      <c r="P615" s="16">
        <v>5898.9775</v>
      </c>
      <c r="Q615" s="16">
        <f>SUM(Tabela1[[#This Row],[201805]:[201807]])</f>
        <v>0</v>
      </c>
      <c r="R615" s="16">
        <f>SUM(Tabela1[[#This Row],[201905]:[201906]])</f>
        <v>15093.191500000001</v>
      </c>
      <c r="S615" s="16">
        <v>100000</v>
      </c>
      <c r="T615" s="16">
        <f>Tabela1[[#This Row],[Total 2019]]-Tabela1[[#This Row],[Total 2018]]</f>
        <v>15093.191500000001</v>
      </c>
      <c r="U615" s="40">
        <f>Tabela1[[#This Row],[Total 2019]]/Tabela1[[#This Row],[Meta]]</f>
        <v>0.150931915</v>
      </c>
      <c r="V615" s="17">
        <f>IFERROR(Tabela1[[#This Row],[Total 2019]]/Tabela1[[#This Row],[Total 2018]]-1,0)</f>
        <v>0</v>
      </c>
      <c r="W61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615" s="48"/>
      <c r="Y615" s="19"/>
      <c r="Z615" s="68"/>
    </row>
    <row r="616" spans="3:26" x14ac:dyDescent="0.35">
      <c r="C616" s="11" t="s">
        <v>2702</v>
      </c>
      <c r="D616" s="12" t="s">
        <v>2700</v>
      </c>
      <c r="E616" s="12">
        <v>597</v>
      </c>
      <c r="F616" s="13" t="s">
        <v>2044</v>
      </c>
      <c r="G616" s="14">
        <v>2</v>
      </c>
      <c r="H616" s="14" t="s">
        <v>1370</v>
      </c>
      <c r="I616" s="13">
        <v>11</v>
      </c>
      <c r="J616" s="15" t="s">
        <v>1410</v>
      </c>
      <c r="K616" s="15" t="s">
        <v>2706</v>
      </c>
      <c r="L616" s="16">
        <v>9316.4219999999987</v>
      </c>
      <c r="M616" s="16">
        <v>8759.9975000000013</v>
      </c>
      <c r="N616" s="16"/>
      <c r="O616" s="16"/>
      <c r="P616" s="16"/>
      <c r="Q616" s="16">
        <f>SUM(Tabela1[[#This Row],[201805]:[201807]])</f>
        <v>18076.4195</v>
      </c>
      <c r="R616" s="16">
        <f>SUM(Tabela1[[#This Row],[201905]:[201906]])</f>
        <v>0</v>
      </c>
      <c r="S616" s="16">
        <v>100000</v>
      </c>
      <c r="T616" s="16">
        <f>Tabela1[[#This Row],[Total 2019]]-Tabela1[[#This Row],[Total 2018]]</f>
        <v>-18076.4195</v>
      </c>
      <c r="U616" s="40">
        <f>Tabela1[[#This Row],[Total 2019]]/Tabela1[[#This Row],[Meta]]</f>
        <v>0</v>
      </c>
      <c r="V616" s="17">
        <f>IFERROR(Tabela1[[#This Row],[Total 2019]]/Tabela1[[#This Row],[Total 2018]]-1,0)</f>
        <v>-1</v>
      </c>
      <c r="W61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16" s="48"/>
      <c r="Y616" s="19"/>
      <c r="Z616" s="68"/>
    </row>
    <row r="617" spans="3:26" x14ac:dyDescent="0.35">
      <c r="C617" s="11" t="s">
        <v>2702</v>
      </c>
      <c r="D617" s="12" t="s">
        <v>2700</v>
      </c>
      <c r="E617" s="12">
        <v>597</v>
      </c>
      <c r="F617" s="13" t="s">
        <v>2044</v>
      </c>
      <c r="G617" s="14">
        <v>1</v>
      </c>
      <c r="H617" s="14" t="s">
        <v>1370</v>
      </c>
      <c r="I617" s="13">
        <v>11</v>
      </c>
      <c r="J617" s="15" t="s">
        <v>1410</v>
      </c>
      <c r="K617" s="15" t="s">
        <v>2706</v>
      </c>
      <c r="L617" s="16"/>
      <c r="M617" s="16"/>
      <c r="N617" s="16"/>
      <c r="O617" s="16">
        <v>13128.629500000001</v>
      </c>
      <c r="P617" s="16">
        <v>11039.1235</v>
      </c>
      <c r="Q617" s="16">
        <f>SUM(Tabela1[[#This Row],[201805]:[201807]])</f>
        <v>0</v>
      </c>
      <c r="R617" s="16">
        <f>SUM(Tabela1[[#This Row],[201905]:[201906]])</f>
        <v>24167.753000000001</v>
      </c>
      <c r="S617" s="16">
        <v>100000</v>
      </c>
      <c r="T617" s="16">
        <f>Tabela1[[#This Row],[Total 2019]]-Tabela1[[#This Row],[Total 2018]]</f>
        <v>24167.753000000001</v>
      </c>
      <c r="U617" s="40">
        <f>Tabela1[[#This Row],[Total 2019]]/Tabela1[[#This Row],[Meta]]</f>
        <v>0.24167753</v>
      </c>
      <c r="V617" s="17">
        <f>IFERROR(Tabela1[[#This Row],[Total 2019]]/Tabela1[[#This Row],[Total 2018]]-1,0)</f>
        <v>0</v>
      </c>
      <c r="W61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617" s="48"/>
      <c r="Y617" s="19"/>
      <c r="Z617" s="68"/>
    </row>
    <row r="618" spans="3:26" x14ac:dyDescent="0.35">
      <c r="C618" s="11" t="s">
        <v>2702</v>
      </c>
      <c r="D618" s="12" t="s">
        <v>2700</v>
      </c>
      <c r="E618" s="12">
        <v>598</v>
      </c>
      <c r="F618" s="13" t="s">
        <v>2045</v>
      </c>
      <c r="G618" s="14">
        <v>2</v>
      </c>
      <c r="H618" s="14" t="s">
        <v>1370</v>
      </c>
      <c r="I618" s="13">
        <v>15</v>
      </c>
      <c r="J618" s="15" t="s">
        <v>1414</v>
      </c>
      <c r="K618" s="15" t="s">
        <v>2706</v>
      </c>
      <c r="L618" s="16">
        <v>6735.4144999999999</v>
      </c>
      <c r="M618" s="16">
        <v>2834.1634999999997</v>
      </c>
      <c r="N618" s="16">
        <v>2660.8074999999999</v>
      </c>
      <c r="O618" s="16">
        <v>8913.213499999998</v>
      </c>
      <c r="P618" s="16">
        <v>7986.8874999999998</v>
      </c>
      <c r="Q618" s="16">
        <f>SUM(Tabela1[[#This Row],[201805]:[201807]])</f>
        <v>12230.3855</v>
      </c>
      <c r="R618" s="16">
        <f>SUM(Tabela1[[#This Row],[201905]:[201906]])</f>
        <v>16900.100999999999</v>
      </c>
      <c r="S618" s="16">
        <v>100000</v>
      </c>
      <c r="T618" s="16">
        <f>Tabela1[[#This Row],[Total 2019]]-Tabela1[[#This Row],[Total 2018]]</f>
        <v>4669.7154999999984</v>
      </c>
      <c r="U618" s="40">
        <f>Tabela1[[#This Row],[Total 2019]]/Tabela1[[#This Row],[Meta]]</f>
        <v>0.16900100999999998</v>
      </c>
      <c r="V618" s="17">
        <f>IFERROR(Tabela1[[#This Row],[Total 2019]]/Tabela1[[#This Row],[Total 2018]]-1,0)</f>
        <v>0.38181261743548456</v>
      </c>
      <c r="W61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618" s="48"/>
      <c r="Y618" s="19"/>
      <c r="Z618" s="68"/>
    </row>
    <row r="619" spans="3:26" x14ac:dyDescent="0.35">
      <c r="C619" s="11" t="s">
        <v>2702</v>
      </c>
      <c r="D619" s="12" t="s">
        <v>2698</v>
      </c>
      <c r="E619" s="12">
        <v>599</v>
      </c>
      <c r="F619" s="13" t="s">
        <v>2046</v>
      </c>
      <c r="G619" s="14">
        <v>1</v>
      </c>
      <c r="H619" s="14" t="s">
        <v>1370</v>
      </c>
      <c r="I619" s="13">
        <v>29</v>
      </c>
      <c r="J619" s="15" t="s">
        <v>1428</v>
      </c>
      <c r="K619" s="15" t="s">
        <v>2706</v>
      </c>
      <c r="L619" s="16">
        <v>12380.513999999999</v>
      </c>
      <c r="M619" s="16">
        <v>3153.9429999999998</v>
      </c>
      <c r="N619" s="16"/>
      <c r="O619" s="16">
        <v>10848.173500000001</v>
      </c>
      <c r="P619" s="16">
        <v>6483.3605000000007</v>
      </c>
      <c r="Q619" s="16">
        <f>SUM(Tabela1[[#This Row],[201805]:[201807]])</f>
        <v>15534.456999999999</v>
      </c>
      <c r="R619" s="16">
        <f>SUM(Tabela1[[#This Row],[201905]:[201906]])</f>
        <v>17331.534</v>
      </c>
      <c r="S619" s="16">
        <v>100000</v>
      </c>
      <c r="T619" s="16">
        <f>Tabela1[[#This Row],[Total 2019]]-Tabela1[[#This Row],[Total 2018]]</f>
        <v>1797.0770000000011</v>
      </c>
      <c r="U619" s="40">
        <f>Tabela1[[#This Row],[Total 2019]]/Tabela1[[#This Row],[Meta]]</f>
        <v>0.17331533999999998</v>
      </c>
      <c r="V619" s="17">
        <f>IFERROR(Tabela1[[#This Row],[Total 2019]]/Tabela1[[#This Row],[Total 2018]]-1,0)</f>
        <v>0.11568328394098359</v>
      </c>
      <c r="W61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619" s="48"/>
      <c r="Y619" s="19"/>
      <c r="Z619" s="68"/>
    </row>
    <row r="620" spans="3:26" x14ac:dyDescent="0.35">
      <c r="C620" s="11" t="s">
        <v>2702</v>
      </c>
      <c r="D620" s="12" t="s">
        <v>2700</v>
      </c>
      <c r="E620" s="12">
        <v>600</v>
      </c>
      <c r="F620" s="13" t="s">
        <v>2047</v>
      </c>
      <c r="G620" s="14">
        <v>2</v>
      </c>
      <c r="H620" s="14" t="s">
        <v>1370</v>
      </c>
      <c r="I620" s="13">
        <v>11</v>
      </c>
      <c r="J620" s="15" t="s">
        <v>1410</v>
      </c>
      <c r="K620" s="15" t="s">
        <v>2706</v>
      </c>
      <c r="L620" s="16">
        <v>1739.9629999999997</v>
      </c>
      <c r="M620" s="16">
        <v>966.06449999999995</v>
      </c>
      <c r="N620" s="16">
        <v>1807.9449999999997</v>
      </c>
      <c r="O620" s="16">
        <v>5859.7614999999987</v>
      </c>
      <c r="P620" s="16"/>
      <c r="Q620" s="16">
        <f>SUM(Tabela1[[#This Row],[201805]:[201807]])</f>
        <v>4513.9724999999999</v>
      </c>
      <c r="R620" s="16">
        <f>SUM(Tabela1[[#This Row],[201905]:[201906]])</f>
        <v>5859.7614999999987</v>
      </c>
      <c r="S620" s="16">
        <v>100000</v>
      </c>
      <c r="T620" s="16">
        <f>Tabela1[[#This Row],[Total 2019]]-Tabela1[[#This Row],[Total 2018]]</f>
        <v>1345.7889999999989</v>
      </c>
      <c r="U620" s="40">
        <f>Tabela1[[#This Row],[Total 2019]]/Tabela1[[#This Row],[Meta]]</f>
        <v>5.8597614999999985E-2</v>
      </c>
      <c r="V620" s="17">
        <f>IFERROR(Tabela1[[#This Row],[Total 2019]]/Tabela1[[#This Row],[Total 2018]]-1,0)</f>
        <v>0.298138502172975</v>
      </c>
      <c r="W62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620" s="48"/>
      <c r="Y620" s="19"/>
      <c r="Z620" s="68"/>
    </row>
    <row r="621" spans="3:26" x14ac:dyDescent="0.35">
      <c r="C621" s="11" t="s">
        <v>2703</v>
      </c>
      <c r="D621" s="12" t="s">
        <v>2698</v>
      </c>
      <c r="E621" s="12">
        <v>601</v>
      </c>
      <c r="F621" s="13" t="s">
        <v>2048</v>
      </c>
      <c r="G621" s="14">
        <v>1</v>
      </c>
      <c r="H621" s="14" t="s">
        <v>1370</v>
      </c>
      <c r="I621" s="13">
        <v>19</v>
      </c>
      <c r="J621" s="15" t="s">
        <v>1418</v>
      </c>
      <c r="K621" s="15" t="s">
        <v>2706</v>
      </c>
      <c r="L621" s="16">
        <v>15260.8475</v>
      </c>
      <c r="M621" s="16">
        <v>10037.861499999999</v>
      </c>
      <c r="N621" s="16"/>
      <c r="O621" s="16"/>
      <c r="P621" s="16"/>
      <c r="Q621" s="16">
        <f>SUM(Tabela1[[#This Row],[201805]:[201807]])</f>
        <v>25298.708999999999</v>
      </c>
      <c r="R621" s="16">
        <f>SUM(Tabela1[[#This Row],[201905]:[201906]])</f>
        <v>0</v>
      </c>
      <c r="S621" s="16">
        <v>100000</v>
      </c>
      <c r="T621" s="16">
        <f>Tabela1[[#This Row],[Total 2019]]-Tabela1[[#This Row],[Total 2018]]</f>
        <v>-25298.708999999999</v>
      </c>
      <c r="U621" s="40">
        <f>Tabela1[[#This Row],[Total 2019]]/Tabela1[[#This Row],[Meta]]</f>
        <v>0</v>
      </c>
      <c r="V621" s="17">
        <f>IFERROR(Tabela1[[#This Row],[Total 2019]]/Tabela1[[#This Row],[Total 2018]]-1,0)</f>
        <v>-1</v>
      </c>
      <c r="W62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21" s="48"/>
      <c r="Y621" s="19"/>
      <c r="Z621" s="68"/>
    </row>
    <row r="622" spans="3:26" x14ac:dyDescent="0.35">
      <c r="C622" s="11" t="s">
        <v>2703</v>
      </c>
      <c r="D622" s="12" t="s">
        <v>2699</v>
      </c>
      <c r="E622" s="12">
        <v>602</v>
      </c>
      <c r="F622" s="13" t="s">
        <v>2049</v>
      </c>
      <c r="G622" s="14">
        <v>1</v>
      </c>
      <c r="H622" s="14" t="s">
        <v>1370</v>
      </c>
      <c r="I622" s="13">
        <v>15</v>
      </c>
      <c r="J622" s="15" t="s">
        <v>1414</v>
      </c>
      <c r="K622" s="15" t="s">
        <v>2706</v>
      </c>
      <c r="L622" s="16">
        <v>6478.107</v>
      </c>
      <c r="M622" s="16">
        <v>2817.1965</v>
      </c>
      <c r="N622" s="16">
        <v>6992.0379999999986</v>
      </c>
      <c r="O622" s="16">
        <v>9715.8020000000015</v>
      </c>
      <c r="P622" s="16">
        <v>8924.6419999999998</v>
      </c>
      <c r="Q622" s="16">
        <f>SUM(Tabela1[[#This Row],[201805]:[201807]])</f>
        <v>16287.341499999999</v>
      </c>
      <c r="R622" s="16">
        <f>SUM(Tabela1[[#This Row],[201905]:[201906]])</f>
        <v>18640.444000000003</v>
      </c>
      <c r="S622" s="16">
        <v>100000</v>
      </c>
      <c r="T622" s="16">
        <f>Tabela1[[#This Row],[Total 2019]]-Tabela1[[#This Row],[Total 2018]]</f>
        <v>2353.1025000000045</v>
      </c>
      <c r="U622" s="40">
        <f>Tabela1[[#This Row],[Total 2019]]/Tabela1[[#This Row],[Meta]]</f>
        <v>0.18640444000000003</v>
      </c>
      <c r="V622" s="17">
        <f>IFERROR(Tabela1[[#This Row],[Total 2019]]/Tabela1[[#This Row],[Total 2018]]-1,0)</f>
        <v>0.14447431460806559</v>
      </c>
      <c r="W62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622" s="48"/>
      <c r="Y622" s="19"/>
      <c r="Z622" s="68"/>
    </row>
    <row r="623" spans="3:26" x14ac:dyDescent="0.35">
      <c r="C623" s="11" t="s">
        <v>2703</v>
      </c>
      <c r="D623" s="12" t="s">
        <v>2699</v>
      </c>
      <c r="E623" s="12">
        <v>603</v>
      </c>
      <c r="F623" s="13" t="s">
        <v>2050</v>
      </c>
      <c r="G623" s="14">
        <v>1</v>
      </c>
      <c r="H623" s="14" t="s">
        <v>1370</v>
      </c>
      <c r="I623" s="13">
        <v>29</v>
      </c>
      <c r="J623" s="15" t="s">
        <v>1428</v>
      </c>
      <c r="K623" s="15" t="s">
        <v>2706</v>
      </c>
      <c r="L623" s="16"/>
      <c r="M623" s="16">
        <v>3001.24</v>
      </c>
      <c r="N623" s="16"/>
      <c r="O623" s="16"/>
      <c r="P623" s="16"/>
      <c r="Q623" s="16">
        <f>SUM(Tabela1[[#This Row],[201805]:[201807]])</f>
        <v>3001.24</v>
      </c>
      <c r="R623" s="16">
        <f>SUM(Tabela1[[#This Row],[201905]:[201906]])</f>
        <v>0</v>
      </c>
      <c r="S623" s="16">
        <v>100000</v>
      </c>
      <c r="T623" s="16">
        <f>Tabela1[[#This Row],[Total 2019]]-Tabela1[[#This Row],[Total 2018]]</f>
        <v>-3001.24</v>
      </c>
      <c r="U623" s="40">
        <f>Tabela1[[#This Row],[Total 2019]]/Tabela1[[#This Row],[Meta]]</f>
        <v>0</v>
      </c>
      <c r="V623" s="17">
        <f>IFERROR(Tabela1[[#This Row],[Total 2019]]/Tabela1[[#This Row],[Total 2018]]-1,0)</f>
        <v>-1</v>
      </c>
      <c r="W62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23" s="48"/>
      <c r="Y623" s="19"/>
      <c r="Z623" s="68"/>
    </row>
    <row r="624" spans="3:26" x14ac:dyDescent="0.35">
      <c r="C624" s="11" t="s">
        <v>2704</v>
      </c>
      <c r="D624" s="12" t="s">
        <v>2700</v>
      </c>
      <c r="E624" s="12">
        <v>604</v>
      </c>
      <c r="F624" s="13" t="s">
        <v>2051</v>
      </c>
      <c r="G624" s="14">
        <v>1</v>
      </c>
      <c r="H624" s="14" t="s">
        <v>1370</v>
      </c>
      <c r="I624" s="13">
        <v>29</v>
      </c>
      <c r="J624" s="15" t="s">
        <v>1428</v>
      </c>
      <c r="K624" s="15" t="s">
        <v>2706</v>
      </c>
      <c r="L624" s="16"/>
      <c r="M624" s="16">
        <v>2796.9994999999999</v>
      </c>
      <c r="N624" s="16"/>
      <c r="O624" s="16"/>
      <c r="P624" s="16"/>
      <c r="Q624" s="16">
        <f>SUM(Tabela1[[#This Row],[201805]:[201807]])</f>
        <v>2796.9994999999999</v>
      </c>
      <c r="R624" s="16">
        <f>SUM(Tabela1[[#This Row],[201905]:[201906]])</f>
        <v>0</v>
      </c>
      <c r="S624" s="16">
        <v>100000</v>
      </c>
      <c r="T624" s="16">
        <f>Tabela1[[#This Row],[Total 2019]]-Tabela1[[#This Row],[Total 2018]]</f>
        <v>-2796.9994999999999</v>
      </c>
      <c r="U624" s="40">
        <f>Tabela1[[#This Row],[Total 2019]]/Tabela1[[#This Row],[Meta]]</f>
        <v>0</v>
      </c>
      <c r="V624" s="17">
        <f>IFERROR(Tabela1[[#This Row],[Total 2019]]/Tabela1[[#This Row],[Total 2018]]-1,0)</f>
        <v>-1</v>
      </c>
      <c r="W62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24" s="48"/>
      <c r="Y624" s="19"/>
      <c r="Z624" s="68"/>
    </row>
    <row r="625" spans="3:26" x14ac:dyDescent="0.35">
      <c r="C625" s="11" t="s">
        <v>2703</v>
      </c>
      <c r="D625" s="12" t="s">
        <v>2699</v>
      </c>
      <c r="E625" s="12">
        <v>605</v>
      </c>
      <c r="F625" s="13" t="s">
        <v>2052</v>
      </c>
      <c r="G625" s="14">
        <v>1</v>
      </c>
      <c r="H625" s="14" t="s">
        <v>1370</v>
      </c>
      <c r="I625" s="13">
        <v>3</v>
      </c>
      <c r="J625" s="15" t="s">
        <v>1402</v>
      </c>
      <c r="K625" s="15" t="s">
        <v>2706</v>
      </c>
      <c r="L625" s="16">
        <v>2353.587</v>
      </c>
      <c r="M625" s="16">
        <v>1341.723</v>
      </c>
      <c r="N625" s="16"/>
      <c r="O625" s="16">
        <v>5299.4514999999992</v>
      </c>
      <c r="P625" s="16"/>
      <c r="Q625" s="16">
        <f>SUM(Tabela1[[#This Row],[201805]:[201807]])</f>
        <v>3695.31</v>
      </c>
      <c r="R625" s="16">
        <f>SUM(Tabela1[[#This Row],[201905]:[201906]])</f>
        <v>5299.4514999999992</v>
      </c>
      <c r="S625" s="16">
        <v>100000</v>
      </c>
      <c r="T625" s="16">
        <f>Tabela1[[#This Row],[Total 2019]]-Tabela1[[#This Row],[Total 2018]]</f>
        <v>1604.1414999999993</v>
      </c>
      <c r="U625" s="40">
        <f>Tabela1[[#This Row],[Total 2019]]/Tabela1[[#This Row],[Meta]]</f>
        <v>5.2994514999999992E-2</v>
      </c>
      <c r="V625" s="17">
        <f>IFERROR(Tabela1[[#This Row],[Total 2019]]/Tabela1[[#This Row],[Total 2018]]-1,0)</f>
        <v>0.43410201038613794</v>
      </c>
      <c r="W62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625" s="48"/>
      <c r="Y625" s="19"/>
      <c r="Z625" s="68"/>
    </row>
    <row r="626" spans="3:26" x14ac:dyDescent="0.35">
      <c r="C626" s="11" t="s">
        <v>2703</v>
      </c>
      <c r="D626" s="12" t="s">
        <v>2698</v>
      </c>
      <c r="E626" s="12">
        <v>606</v>
      </c>
      <c r="F626" s="13" t="s">
        <v>2053</v>
      </c>
      <c r="G626" s="14">
        <v>3</v>
      </c>
      <c r="H626" s="14" t="s">
        <v>1370</v>
      </c>
      <c r="I626" s="13">
        <v>8</v>
      </c>
      <c r="J626" s="15" t="s">
        <v>1407</v>
      </c>
      <c r="K626" s="15" t="s">
        <v>2706</v>
      </c>
      <c r="L626" s="16"/>
      <c r="M626" s="16">
        <v>3635.2985000000003</v>
      </c>
      <c r="N626" s="16"/>
      <c r="O626" s="16"/>
      <c r="P626" s="16"/>
      <c r="Q626" s="16">
        <f>SUM(Tabela1[[#This Row],[201805]:[201807]])</f>
        <v>3635.2985000000003</v>
      </c>
      <c r="R626" s="16">
        <f>SUM(Tabela1[[#This Row],[201905]:[201906]])</f>
        <v>0</v>
      </c>
      <c r="S626" s="16">
        <v>100000</v>
      </c>
      <c r="T626" s="16">
        <f>Tabela1[[#This Row],[Total 2019]]-Tabela1[[#This Row],[Total 2018]]</f>
        <v>-3635.2985000000003</v>
      </c>
      <c r="U626" s="40">
        <f>Tabela1[[#This Row],[Total 2019]]/Tabela1[[#This Row],[Meta]]</f>
        <v>0</v>
      </c>
      <c r="V626" s="17">
        <f>IFERROR(Tabela1[[#This Row],[Total 2019]]/Tabela1[[#This Row],[Total 2018]]-1,0)</f>
        <v>-1</v>
      </c>
      <c r="W62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26" s="48"/>
      <c r="Y626" s="19"/>
      <c r="Z626" s="68"/>
    </row>
    <row r="627" spans="3:26" x14ac:dyDescent="0.35">
      <c r="C627" s="11" t="s">
        <v>2704</v>
      </c>
      <c r="D627" s="12" t="s">
        <v>2700</v>
      </c>
      <c r="E627" s="12">
        <v>607</v>
      </c>
      <c r="F627" s="13" t="s">
        <v>2054</v>
      </c>
      <c r="G627" s="14">
        <v>2</v>
      </c>
      <c r="H627" s="14" t="s">
        <v>1370</v>
      </c>
      <c r="I627" s="13">
        <v>29</v>
      </c>
      <c r="J627" s="15" t="s">
        <v>1428</v>
      </c>
      <c r="K627" s="15" t="s">
        <v>2706</v>
      </c>
      <c r="L627" s="16">
        <v>12999.438999999998</v>
      </c>
      <c r="M627" s="16">
        <v>3798.8029999999999</v>
      </c>
      <c r="N627" s="16">
        <v>1058.2239999999999</v>
      </c>
      <c r="O627" s="16">
        <v>22276.065499999997</v>
      </c>
      <c r="P627" s="16">
        <v>10114.802</v>
      </c>
      <c r="Q627" s="16">
        <f>SUM(Tabela1[[#This Row],[201805]:[201807]])</f>
        <v>17856.465999999997</v>
      </c>
      <c r="R627" s="16">
        <f>SUM(Tabela1[[#This Row],[201905]:[201906]])</f>
        <v>32390.867499999997</v>
      </c>
      <c r="S627" s="16">
        <v>100000</v>
      </c>
      <c r="T627" s="16">
        <f>Tabela1[[#This Row],[Total 2019]]-Tabela1[[#This Row],[Total 2018]]</f>
        <v>14534.4015</v>
      </c>
      <c r="U627" s="40">
        <f>Tabela1[[#This Row],[Total 2019]]/Tabela1[[#This Row],[Meta]]</f>
        <v>0.32390867499999998</v>
      </c>
      <c r="V627" s="17">
        <f>IFERROR(Tabela1[[#This Row],[Total 2019]]/Tabela1[[#This Row],[Total 2018]]-1,0)</f>
        <v>0.81395733623887301</v>
      </c>
      <c r="W62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627" s="48"/>
      <c r="Y627" s="19"/>
      <c r="Z627" s="68"/>
    </row>
    <row r="628" spans="3:26" x14ac:dyDescent="0.35">
      <c r="C628" s="11" t="s">
        <v>2703</v>
      </c>
      <c r="D628" s="12" t="s">
        <v>2700</v>
      </c>
      <c r="E628" s="12">
        <v>608</v>
      </c>
      <c r="F628" s="13" t="s">
        <v>2055</v>
      </c>
      <c r="G628" s="14">
        <v>3</v>
      </c>
      <c r="H628" s="14" t="s">
        <v>1370</v>
      </c>
      <c r="I628" s="13">
        <v>15</v>
      </c>
      <c r="J628" s="15" t="s">
        <v>1414</v>
      </c>
      <c r="K628" s="15" t="s">
        <v>2706</v>
      </c>
      <c r="L628" s="16">
        <v>3619.8514999999998</v>
      </c>
      <c r="M628" s="16">
        <v>1722.4164999999998</v>
      </c>
      <c r="N628" s="16">
        <v>840.58849999999995</v>
      </c>
      <c r="O628" s="16"/>
      <c r="P628" s="16"/>
      <c r="Q628" s="16">
        <f>SUM(Tabela1[[#This Row],[201805]:[201807]])</f>
        <v>6182.8564999999999</v>
      </c>
      <c r="R628" s="16">
        <f>SUM(Tabela1[[#This Row],[201905]:[201906]])</f>
        <v>0</v>
      </c>
      <c r="S628" s="16">
        <v>100000</v>
      </c>
      <c r="T628" s="16">
        <f>Tabela1[[#This Row],[Total 2019]]-Tabela1[[#This Row],[Total 2018]]</f>
        <v>-6182.8564999999999</v>
      </c>
      <c r="U628" s="40">
        <f>Tabela1[[#This Row],[Total 2019]]/Tabela1[[#This Row],[Meta]]</f>
        <v>0</v>
      </c>
      <c r="V628" s="17">
        <f>IFERROR(Tabela1[[#This Row],[Total 2019]]/Tabela1[[#This Row],[Total 2018]]-1,0)</f>
        <v>-1</v>
      </c>
      <c r="W62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28" s="48"/>
      <c r="Y628" s="19"/>
      <c r="Z628" s="68"/>
    </row>
    <row r="629" spans="3:26" x14ac:dyDescent="0.35">
      <c r="C629" s="11" t="s">
        <v>2703</v>
      </c>
      <c r="D629" s="12" t="s">
        <v>2699</v>
      </c>
      <c r="E629" s="12">
        <v>609</v>
      </c>
      <c r="F629" s="13" t="s">
        <v>2056</v>
      </c>
      <c r="G629" s="14">
        <v>1</v>
      </c>
      <c r="H629" s="14" t="s">
        <v>1370</v>
      </c>
      <c r="I629" s="13">
        <v>8</v>
      </c>
      <c r="J629" s="15" t="s">
        <v>1407</v>
      </c>
      <c r="K629" s="15" t="s">
        <v>2706</v>
      </c>
      <c r="L629" s="16">
        <v>1994.8194999999998</v>
      </c>
      <c r="M629" s="16">
        <v>1111.0345</v>
      </c>
      <c r="N629" s="16"/>
      <c r="O629" s="16"/>
      <c r="P629" s="16"/>
      <c r="Q629" s="16">
        <f>SUM(Tabela1[[#This Row],[201805]:[201807]])</f>
        <v>3105.8539999999998</v>
      </c>
      <c r="R629" s="16">
        <f>SUM(Tabela1[[#This Row],[201905]:[201906]])</f>
        <v>0</v>
      </c>
      <c r="S629" s="16">
        <v>100000</v>
      </c>
      <c r="T629" s="16">
        <f>Tabela1[[#This Row],[Total 2019]]-Tabela1[[#This Row],[Total 2018]]</f>
        <v>-3105.8539999999998</v>
      </c>
      <c r="U629" s="40">
        <f>Tabela1[[#This Row],[Total 2019]]/Tabela1[[#This Row],[Meta]]</f>
        <v>0</v>
      </c>
      <c r="V629" s="17">
        <f>IFERROR(Tabela1[[#This Row],[Total 2019]]/Tabela1[[#This Row],[Total 2018]]-1,0)</f>
        <v>-1</v>
      </c>
      <c r="W62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29" s="48"/>
      <c r="Y629" s="19"/>
      <c r="Z629" s="68"/>
    </row>
    <row r="630" spans="3:26" x14ac:dyDescent="0.35">
      <c r="C630" s="11" t="s">
        <v>2704</v>
      </c>
      <c r="D630" s="12" t="s">
        <v>2698</v>
      </c>
      <c r="E630" s="12">
        <v>610</v>
      </c>
      <c r="F630" s="13" t="s">
        <v>2057</v>
      </c>
      <c r="G630" s="14">
        <v>3</v>
      </c>
      <c r="H630" s="14" t="s">
        <v>1370</v>
      </c>
      <c r="I630" s="13">
        <v>19</v>
      </c>
      <c r="J630" s="15" t="s">
        <v>1418</v>
      </c>
      <c r="K630" s="15" t="s">
        <v>2706</v>
      </c>
      <c r="L630" s="16">
        <v>785.18449999999996</v>
      </c>
      <c r="M630" s="16">
        <v>1414.5499999999997</v>
      </c>
      <c r="N630" s="16"/>
      <c r="O630" s="16"/>
      <c r="P630" s="16"/>
      <c r="Q630" s="16">
        <f>SUM(Tabela1[[#This Row],[201805]:[201807]])</f>
        <v>2199.7344999999996</v>
      </c>
      <c r="R630" s="16">
        <f>SUM(Tabela1[[#This Row],[201905]:[201906]])</f>
        <v>0</v>
      </c>
      <c r="S630" s="16">
        <v>100000</v>
      </c>
      <c r="T630" s="16">
        <f>Tabela1[[#This Row],[Total 2019]]-Tabela1[[#This Row],[Total 2018]]</f>
        <v>-2199.7344999999996</v>
      </c>
      <c r="U630" s="40">
        <f>Tabela1[[#This Row],[Total 2019]]/Tabela1[[#This Row],[Meta]]</f>
        <v>0</v>
      </c>
      <c r="V630" s="17">
        <f>IFERROR(Tabela1[[#This Row],[Total 2019]]/Tabela1[[#This Row],[Total 2018]]-1,0)</f>
        <v>-1</v>
      </c>
      <c r="W63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30" s="48"/>
      <c r="Y630" s="19"/>
      <c r="Z630" s="68"/>
    </row>
    <row r="631" spans="3:26" x14ac:dyDescent="0.35">
      <c r="C631" s="11" t="s">
        <v>2704</v>
      </c>
      <c r="D631" s="12" t="s">
        <v>2700</v>
      </c>
      <c r="E631" s="12">
        <v>611</v>
      </c>
      <c r="F631" s="13" t="s">
        <v>2058</v>
      </c>
      <c r="G631" s="14">
        <v>1</v>
      </c>
      <c r="H631" s="14" t="s">
        <v>1370</v>
      </c>
      <c r="I631" s="13">
        <v>19</v>
      </c>
      <c r="J631" s="15" t="s">
        <v>1418</v>
      </c>
      <c r="K631" s="15" t="s">
        <v>2706</v>
      </c>
      <c r="L631" s="16">
        <v>7845.4040000000005</v>
      </c>
      <c r="M631" s="16">
        <v>1661.6734999999999</v>
      </c>
      <c r="N631" s="16"/>
      <c r="O631" s="16">
        <v>4514.2194999999992</v>
      </c>
      <c r="P631" s="16">
        <v>6420.3470000000007</v>
      </c>
      <c r="Q631" s="16">
        <f>SUM(Tabela1[[#This Row],[201805]:[201807]])</f>
        <v>9507.0774999999994</v>
      </c>
      <c r="R631" s="16">
        <f>SUM(Tabela1[[#This Row],[201905]:[201906]])</f>
        <v>10934.566500000001</v>
      </c>
      <c r="S631" s="16">
        <v>100000</v>
      </c>
      <c r="T631" s="16">
        <f>Tabela1[[#This Row],[Total 2019]]-Tabela1[[#This Row],[Total 2018]]</f>
        <v>1427.4890000000014</v>
      </c>
      <c r="U631" s="40">
        <f>Tabela1[[#This Row],[Total 2019]]/Tabela1[[#This Row],[Meta]]</f>
        <v>0.10934566500000001</v>
      </c>
      <c r="V631" s="17">
        <f>IFERROR(Tabela1[[#This Row],[Total 2019]]/Tabela1[[#This Row],[Total 2018]]-1,0)</f>
        <v>0.15015013814708067</v>
      </c>
      <c r="W63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631" s="48"/>
      <c r="Y631" s="19"/>
      <c r="Z631" s="68"/>
    </row>
    <row r="632" spans="3:26" x14ac:dyDescent="0.35">
      <c r="C632" s="11" t="s">
        <v>2702</v>
      </c>
      <c r="D632" s="12" t="s">
        <v>2700</v>
      </c>
      <c r="E632" s="12">
        <v>612</v>
      </c>
      <c r="F632" s="13" t="s">
        <v>2059</v>
      </c>
      <c r="G632" s="14">
        <v>2</v>
      </c>
      <c r="H632" s="14" t="s">
        <v>1370</v>
      </c>
      <c r="I632" s="13">
        <v>15</v>
      </c>
      <c r="J632" s="15" t="s">
        <v>1414</v>
      </c>
      <c r="K632" s="15" t="s">
        <v>2706</v>
      </c>
      <c r="L632" s="16">
        <v>4101.2545</v>
      </c>
      <c r="M632" s="16">
        <v>1966.4904999999999</v>
      </c>
      <c r="N632" s="16">
        <v>1314.249</v>
      </c>
      <c r="O632" s="16">
        <v>3278.5259999999998</v>
      </c>
      <c r="P632" s="16">
        <v>2396.8119999999999</v>
      </c>
      <c r="Q632" s="16">
        <f>SUM(Tabela1[[#This Row],[201805]:[201807]])</f>
        <v>7381.9939999999997</v>
      </c>
      <c r="R632" s="16">
        <f>SUM(Tabela1[[#This Row],[201905]:[201906]])</f>
        <v>5675.3379999999997</v>
      </c>
      <c r="S632" s="16">
        <v>100000</v>
      </c>
      <c r="T632" s="16">
        <f>Tabela1[[#This Row],[Total 2019]]-Tabela1[[#This Row],[Total 2018]]</f>
        <v>-1706.6559999999999</v>
      </c>
      <c r="U632" s="40">
        <f>Tabela1[[#This Row],[Total 2019]]/Tabela1[[#This Row],[Meta]]</f>
        <v>5.6753379999999999E-2</v>
      </c>
      <c r="V632" s="17">
        <f>IFERROR(Tabela1[[#This Row],[Total 2019]]/Tabela1[[#This Row],[Total 2018]]-1,0)</f>
        <v>-0.23119173491606737</v>
      </c>
      <c r="W63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632" s="48"/>
      <c r="Y632" s="19"/>
      <c r="Z632" s="68"/>
    </row>
    <row r="633" spans="3:26" x14ac:dyDescent="0.35">
      <c r="C633" s="11" t="s">
        <v>2702</v>
      </c>
      <c r="D633" s="12" t="s">
        <v>2699</v>
      </c>
      <c r="E633" s="12">
        <v>613</v>
      </c>
      <c r="F633" s="13" t="s">
        <v>2060</v>
      </c>
      <c r="G633" s="14">
        <v>3</v>
      </c>
      <c r="H633" s="14" t="s">
        <v>1372</v>
      </c>
      <c r="I633" s="13">
        <v>22</v>
      </c>
      <c r="J633" s="15" t="s">
        <v>1421</v>
      </c>
      <c r="K633" s="15" t="s">
        <v>2708</v>
      </c>
      <c r="L633" s="16">
        <v>2762.5715</v>
      </c>
      <c r="M633" s="16">
        <v>1740.9224999999999</v>
      </c>
      <c r="N633" s="16"/>
      <c r="O633" s="16">
        <v>2674.6679999999997</v>
      </c>
      <c r="P633" s="16">
        <v>3577.6145000000001</v>
      </c>
      <c r="Q633" s="16">
        <f>SUM(Tabela1[[#This Row],[201805]:[201807]])</f>
        <v>4503.4939999999997</v>
      </c>
      <c r="R633" s="16">
        <f>SUM(Tabela1[[#This Row],[201905]:[201906]])</f>
        <v>6252.2824999999993</v>
      </c>
      <c r="S633" s="16">
        <v>100000</v>
      </c>
      <c r="T633" s="16">
        <f>Tabela1[[#This Row],[Total 2019]]-Tabela1[[#This Row],[Total 2018]]</f>
        <v>1748.7884999999997</v>
      </c>
      <c r="U633" s="40">
        <f>Tabela1[[#This Row],[Total 2019]]/Tabela1[[#This Row],[Meta]]</f>
        <v>6.252282499999999E-2</v>
      </c>
      <c r="V633" s="17">
        <f>IFERROR(Tabela1[[#This Row],[Total 2019]]/Tabela1[[#This Row],[Total 2018]]-1,0)</f>
        <v>0.38831815918928725</v>
      </c>
      <c r="W63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633" s="48"/>
      <c r="Y633" s="19"/>
      <c r="Z633" s="68"/>
    </row>
    <row r="634" spans="3:26" x14ac:dyDescent="0.35">
      <c r="C634" s="11" t="s">
        <v>2704</v>
      </c>
      <c r="D634" s="12" t="s">
        <v>2698</v>
      </c>
      <c r="E634" s="12">
        <v>614</v>
      </c>
      <c r="F634" s="13" t="s">
        <v>2061</v>
      </c>
      <c r="G634" s="14">
        <v>2</v>
      </c>
      <c r="H634" s="14" t="s">
        <v>1372</v>
      </c>
      <c r="I634" s="13">
        <v>22</v>
      </c>
      <c r="J634" s="15" t="s">
        <v>1421</v>
      </c>
      <c r="K634" s="15" t="s">
        <v>2708</v>
      </c>
      <c r="L634" s="16">
        <v>2151.6930000000002</v>
      </c>
      <c r="M634" s="16">
        <v>3550.9480000000003</v>
      </c>
      <c r="N634" s="16"/>
      <c r="O634" s="16"/>
      <c r="P634" s="16"/>
      <c r="Q634" s="16">
        <f>SUM(Tabela1[[#This Row],[201805]:[201807]])</f>
        <v>5702.6410000000005</v>
      </c>
      <c r="R634" s="16">
        <f>SUM(Tabela1[[#This Row],[201905]:[201906]])</f>
        <v>0</v>
      </c>
      <c r="S634" s="16">
        <v>100000</v>
      </c>
      <c r="T634" s="16">
        <f>Tabela1[[#This Row],[Total 2019]]-Tabela1[[#This Row],[Total 2018]]</f>
        <v>-5702.6410000000005</v>
      </c>
      <c r="U634" s="40">
        <f>Tabela1[[#This Row],[Total 2019]]/Tabela1[[#This Row],[Meta]]</f>
        <v>0</v>
      </c>
      <c r="V634" s="17">
        <f>IFERROR(Tabela1[[#This Row],[Total 2019]]/Tabela1[[#This Row],[Total 2018]]-1,0)</f>
        <v>-1</v>
      </c>
      <c r="W63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34" s="48"/>
      <c r="Y634" s="19"/>
      <c r="Z634" s="68"/>
    </row>
    <row r="635" spans="3:26" x14ac:dyDescent="0.35">
      <c r="C635" s="11" t="s">
        <v>2703</v>
      </c>
      <c r="D635" s="12" t="s">
        <v>2698</v>
      </c>
      <c r="E635" s="12">
        <v>615</v>
      </c>
      <c r="F635" s="13" t="s">
        <v>2062</v>
      </c>
      <c r="G635" s="14">
        <v>3</v>
      </c>
      <c r="H635" s="14" t="s">
        <v>1370</v>
      </c>
      <c r="I635" s="13">
        <v>3</v>
      </c>
      <c r="J635" s="15" t="s">
        <v>1402</v>
      </c>
      <c r="K635" s="15" t="s">
        <v>2706</v>
      </c>
      <c r="L635" s="16">
        <v>2353.587</v>
      </c>
      <c r="M635" s="16">
        <v>1341.723</v>
      </c>
      <c r="N635" s="16"/>
      <c r="O635" s="16">
        <v>7250.134</v>
      </c>
      <c r="P635" s="16"/>
      <c r="Q635" s="16">
        <f>SUM(Tabela1[[#This Row],[201805]:[201807]])</f>
        <v>3695.31</v>
      </c>
      <c r="R635" s="16">
        <f>SUM(Tabela1[[#This Row],[201905]:[201906]])</f>
        <v>7250.134</v>
      </c>
      <c r="S635" s="16">
        <v>100000</v>
      </c>
      <c r="T635" s="16">
        <f>Tabela1[[#This Row],[Total 2019]]-Tabela1[[#This Row],[Total 2018]]</f>
        <v>3554.8240000000001</v>
      </c>
      <c r="U635" s="40">
        <f>Tabela1[[#This Row],[Total 2019]]/Tabela1[[#This Row],[Meta]]</f>
        <v>7.2501339999999997E-2</v>
      </c>
      <c r="V635" s="17">
        <f>IFERROR(Tabela1[[#This Row],[Total 2019]]/Tabela1[[#This Row],[Total 2018]]-1,0)</f>
        <v>0.96198262121445843</v>
      </c>
      <c r="W63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635" s="48"/>
      <c r="Y635" s="19"/>
      <c r="Z635" s="68"/>
    </row>
    <row r="636" spans="3:26" x14ac:dyDescent="0.35">
      <c r="C636" s="11" t="s">
        <v>2704</v>
      </c>
      <c r="D636" s="12" t="s">
        <v>2699</v>
      </c>
      <c r="E636" s="12">
        <v>616</v>
      </c>
      <c r="F636" s="13" t="s">
        <v>2063</v>
      </c>
      <c r="G636" s="14">
        <v>2</v>
      </c>
      <c r="H636" s="14" t="s">
        <v>1370</v>
      </c>
      <c r="I636" s="13">
        <v>19</v>
      </c>
      <c r="J636" s="15" t="s">
        <v>1418</v>
      </c>
      <c r="K636" s="15" t="s">
        <v>2706</v>
      </c>
      <c r="L636" s="16">
        <v>1863.8144999999997</v>
      </c>
      <c r="M636" s="16">
        <v>3333.9584999999997</v>
      </c>
      <c r="N636" s="16"/>
      <c r="O636" s="16"/>
      <c r="P636" s="16"/>
      <c r="Q636" s="16">
        <f>SUM(Tabela1[[#This Row],[201805]:[201807]])</f>
        <v>5197.7729999999992</v>
      </c>
      <c r="R636" s="16">
        <f>SUM(Tabela1[[#This Row],[201905]:[201906]])</f>
        <v>0</v>
      </c>
      <c r="S636" s="16">
        <v>100000</v>
      </c>
      <c r="T636" s="16">
        <f>Tabela1[[#This Row],[Total 2019]]-Tabela1[[#This Row],[Total 2018]]</f>
        <v>-5197.7729999999992</v>
      </c>
      <c r="U636" s="40">
        <f>Tabela1[[#This Row],[Total 2019]]/Tabela1[[#This Row],[Meta]]</f>
        <v>0</v>
      </c>
      <c r="V636" s="17">
        <f>IFERROR(Tabela1[[#This Row],[Total 2019]]/Tabela1[[#This Row],[Total 2018]]-1,0)</f>
        <v>-1</v>
      </c>
      <c r="W63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36" s="48"/>
      <c r="Y636" s="19"/>
      <c r="Z636" s="68"/>
    </row>
    <row r="637" spans="3:26" x14ac:dyDescent="0.35">
      <c r="C637" s="11" t="s">
        <v>2703</v>
      </c>
      <c r="D637" s="12" t="s">
        <v>2699</v>
      </c>
      <c r="E637" s="12">
        <v>617</v>
      </c>
      <c r="F637" s="13" t="s">
        <v>2064</v>
      </c>
      <c r="G637" s="14">
        <v>2</v>
      </c>
      <c r="H637" s="14" t="s">
        <v>1370</v>
      </c>
      <c r="I637" s="13">
        <v>29</v>
      </c>
      <c r="J637" s="15" t="s">
        <v>1428</v>
      </c>
      <c r="K637" s="15" t="s">
        <v>2706</v>
      </c>
      <c r="L637" s="16">
        <v>813.8934999999999</v>
      </c>
      <c r="M637" s="16">
        <v>1365.4159999999999</v>
      </c>
      <c r="N637" s="16"/>
      <c r="O637" s="16"/>
      <c r="P637" s="16"/>
      <c r="Q637" s="16">
        <f>SUM(Tabela1[[#This Row],[201805]:[201807]])</f>
        <v>2179.3094999999998</v>
      </c>
      <c r="R637" s="16">
        <f>SUM(Tabela1[[#This Row],[201905]:[201906]])</f>
        <v>0</v>
      </c>
      <c r="S637" s="16">
        <v>100000</v>
      </c>
      <c r="T637" s="16">
        <f>Tabela1[[#This Row],[Total 2019]]-Tabela1[[#This Row],[Total 2018]]</f>
        <v>-2179.3094999999998</v>
      </c>
      <c r="U637" s="40">
        <f>Tabela1[[#This Row],[Total 2019]]/Tabela1[[#This Row],[Meta]]</f>
        <v>0</v>
      </c>
      <c r="V637" s="17">
        <f>IFERROR(Tabela1[[#This Row],[Total 2019]]/Tabela1[[#This Row],[Total 2018]]-1,0)</f>
        <v>-1</v>
      </c>
      <c r="W63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37" s="48"/>
      <c r="Y637" s="19"/>
      <c r="Z637" s="68"/>
    </row>
    <row r="638" spans="3:26" x14ac:dyDescent="0.35">
      <c r="C638" s="11" t="s">
        <v>2703</v>
      </c>
      <c r="D638" s="12" t="s">
        <v>2700</v>
      </c>
      <c r="E638" s="12">
        <v>618</v>
      </c>
      <c r="F638" s="13" t="s">
        <v>2065</v>
      </c>
      <c r="G638" s="14">
        <v>3</v>
      </c>
      <c r="H638" s="14" t="s">
        <v>1370</v>
      </c>
      <c r="I638" s="13">
        <v>8</v>
      </c>
      <c r="J638" s="15" t="s">
        <v>1407</v>
      </c>
      <c r="K638" s="15" t="s">
        <v>2706</v>
      </c>
      <c r="L638" s="16"/>
      <c r="M638" s="16">
        <v>555.40800000000002</v>
      </c>
      <c r="N638" s="16"/>
      <c r="O638" s="16"/>
      <c r="P638" s="16"/>
      <c r="Q638" s="16">
        <f>SUM(Tabela1[[#This Row],[201805]:[201807]])</f>
        <v>555.40800000000002</v>
      </c>
      <c r="R638" s="16">
        <f>SUM(Tabela1[[#This Row],[201905]:[201906]])</f>
        <v>0</v>
      </c>
      <c r="S638" s="16">
        <v>100000</v>
      </c>
      <c r="T638" s="16">
        <f>Tabela1[[#This Row],[Total 2019]]-Tabela1[[#This Row],[Total 2018]]</f>
        <v>-555.40800000000002</v>
      </c>
      <c r="U638" s="40">
        <f>Tabela1[[#This Row],[Total 2019]]/Tabela1[[#This Row],[Meta]]</f>
        <v>0</v>
      </c>
      <c r="V638" s="17">
        <f>IFERROR(Tabela1[[#This Row],[Total 2019]]/Tabela1[[#This Row],[Total 2018]]-1,0)</f>
        <v>-1</v>
      </c>
      <c r="W63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38" s="48"/>
      <c r="Y638" s="19"/>
      <c r="Z638" s="68"/>
    </row>
    <row r="639" spans="3:26" x14ac:dyDescent="0.35">
      <c r="C639" s="11" t="s">
        <v>2703</v>
      </c>
      <c r="D639" s="12" t="s">
        <v>2698</v>
      </c>
      <c r="E639" s="12">
        <v>619</v>
      </c>
      <c r="F639" s="13" t="s">
        <v>2066</v>
      </c>
      <c r="G639" s="14">
        <v>3</v>
      </c>
      <c r="H639" s="14" t="s">
        <v>1370</v>
      </c>
      <c r="I639" s="13">
        <v>8</v>
      </c>
      <c r="J639" s="15" t="s">
        <v>1407</v>
      </c>
      <c r="K639" s="15" t="s">
        <v>2706</v>
      </c>
      <c r="L639" s="16">
        <v>828.85599999999988</v>
      </c>
      <c r="M639" s="16">
        <v>789.05099999999993</v>
      </c>
      <c r="N639" s="16"/>
      <c r="O639" s="16"/>
      <c r="P639" s="16"/>
      <c r="Q639" s="16">
        <f>SUM(Tabela1[[#This Row],[201805]:[201807]])</f>
        <v>1617.9069999999997</v>
      </c>
      <c r="R639" s="16">
        <f>SUM(Tabela1[[#This Row],[201905]:[201906]])</f>
        <v>0</v>
      </c>
      <c r="S639" s="16">
        <v>100000</v>
      </c>
      <c r="T639" s="16">
        <f>Tabela1[[#This Row],[Total 2019]]-Tabela1[[#This Row],[Total 2018]]</f>
        <v>-1617.9069999999997</v>
      </c>
      <c r="U639" s="40">
        <f>Tabela1[[#This Row],[Total 2019]]/Tabela1[[#This Row],[Meta]]</f>
        <v>0</v>
      </c>
      <c r="V639" s="17">
        <f>IFERROR(Tabela1[[#This Row],[Total 2019]]/Tabela1[[#This Row],[Total 2018]]-1,0)</f>
        <v>-1</v>
      </c>
      <c r="W63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39" s="48"/>
      <c r="Y639" s="19"/>
      <c r="Z639" s="68"/>
    </row>
    <row r="640" spans="3:26" x14ac:dyDescent="0.35">
      <c r="C640" s="11" t="s">
        <v>2704</v>
      </c>
      <c r="D640" s="12" t="s">
        <v>2699</v>
      </c>
      <c r="E640" s="12">
        <v>620</v>
      </c>
      <c r="F640" s="13" t="s">
        <v>2067</v>
      </c>
      <c r="G640" s="14">
        <v>2</v>
      </c>
      <c r="H640" s="14" t="s">
        <v>1370</v>
      </c>
      <c r="I640" s="13">
        <v>19</v>
      </c>
      <c r="J640" s="15" t="s">
        <v>1418</v>
      </c>
      <c r="K640" s="15" t="s">
        <v>2706</v>
      </c>
      <c r="L640" s="16">
        <v>1681.348</v>
      </c>
      <c r="M640" s="16">
        <v>3872.1714999999995</v>
      </c>
      <c r="N640" s="16"/>
      <c r="O640" s="16">
        <v>7199.1379999999999</v>
      </c>
      <c r="P640" s="16"/>
      <c r="Q640" s="16">
        <f>SUM(Tabela1[[#This Row],[201805]:[201807]])</f>
        <v>5553.5194999999994</v>
      </c>
      <c r="R640" s="16">
        <f>SUM(Tabela1[[#This Row],[201905]:[201906]])</f>
        <v>7199.1379999999999</v>
      </c>
      <c r="S640" s="16">
        <v>100000</v>
      </c>
      <c r="T640" s="16">
        <f>Tabela1[[#This Row],[Total 2019]]-Tabela1[[#This Row],[Total 2018]]</f>
        <v>1645.6185000000005</v>
      </c>
      <c r="U640" s="40">
        <f>Tabela1[[#This Row],[Total 2019]]/Tabela1[[#This Row],[Meta]]</f>
        <v>7.1991379999999994E-2</v>
      </c>
      <c r="V640" s="17">
        <f>IFERROR(Tabela1[[#This Row],[Total 2019]]/Tabela1[[#This Row],[Total 2018]]-1,0)</f>
        <v>0.29631992829051934</v>
      </c>
      <c r="W64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640" s="48"/>
      <c r="Y640" s="19"/>
      <c r="Z640" s="68"/>
    </row>
    <row r="641" spans="3:26" x14ac:dyDescent="0.35">
      <c r="C641" s="11" t="s">
        <v>2704</v>
      </c>
      <c r="D641" s="12" t="s">
        <v>2700</v>
      </c>
      <c r="E641" s="12">
        <v>621</v>
      </c>
      <c r="F641" s="13" t="s">
        <v>2068</v>
      </c>
      <c r="G641" s="14">
        <v>2</v>
      </c>
      <c r="H641" s="14" t="s">
        <v>1370</v>
      </c>
      <c r="I641" s="13">
        <v>11</v>
      </c>
      <c r="J641" s="15" t="s">
        <v>1410</v>
      </c>
      <c r="K641" s="15" t="s">
        <v>2706</v>
      </c>
      <c r="L641" s="16">
        <v>12236.522499999999</v>
      </c>
      <c r="M641" s="16">
        <v>7611.0389999999989</v>
      </c>
      <c r="N641" s="16"/>
      <c r="O641" s="16">
        <v>12983.079999999998</v>
      </c>
      <c r="P641" s="16">
        <v>8275.6779999999999</v>
      </c>
      <c r="Q641" s="16">
        <f>SUM(Tabela1[[#This Row],[201805]:[201807]])</f>
        <v>19847.561499999996</v>
      </c>
      <c r="R641" s="16">
        <f>SUM(Tabela1[[#This Row],[201905]:[201906]])</f>
        <v>21258.757999999998</v>
      </c>
      <c r="S641" s="16">
        <v>100000</v>
      </c>
      <c r="T641" s="16">
        <f>Tabela1[[#This Row],[Total 2019]]-Tabela1[[#This Row],[Total 2018]]</f>
        <v>1411.1965000000018</v>
      </c>
      <c r="U641" s="40">
        <f>Tabela1[[#This Row],[Total 2019]]/Tabela1[[#This Row],[Meta]]</f>
        <v>0.21258757999999997</v>
      </c>
      <c r="V641" s="17">
        <f>IFERROR(Tabela1[[#This Row],[Total 2019]]/Tabela1[[#This Row],[Total 2018]]-1,0)</f>
        <v>7.1101757261213372E-2</v>
      </c>
      <c r="W64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641" s="48"/>
      <c r="Y641" s="19"/>
      <c r="Z641" s="68"/>
    </row>
    <row r="642" spans="3:26" x14ac:dyDescent="0.35">
      <c r="C642" s="11" t="s">
        <v>2703</v>
      </c>
      <c r="D642" s="12" t="s">
        <v>2698</v>
      </c>
      <c r="E642" s="12">
        <v>622</v>
      </c>
      <c r="F642" s="13" t="s">
        <v>2069</v>
      </c>
      <c r="G642" s="14">
        <v>1</v>
      </c>
      <c r="H642" s="14" t="s">
        <v>1370</v>
      </c>
      <c r="I642" s="13">
        <v>29</v>
      </c>
      <c r="J642" s="15" t="s">
        <v>1428</v>
      </c>
      <c r="K642" s="15" t="s">
        <v>2706</v>
      </c>
      <c r="L642" s="16">
        <v>1207.4594999999999</v>
      </c>
      <c r="M642" s="16">
        <v>1811.251</v>
      </c>
      <c r="N642" s="16"/>
      <c r="O642" s="16"/>
      <c r="P642" s="16"/>
      <c r="Q642" s="16">
        <f>SUM(Tabela1[[#This Row],[201805]:[201807]])</f>
        <v>3018.7105000000001</v>
      </c>
      <c r="R642" s="16">
        <f>SUM(Tabela1[[#This Row],[201905]:[201906]])</f>
        <v>0</v>
      </c>
      <c r="S642" s="16">
        <v>100000</v>
      </c>
      <c r="T642" s="16">
        <f>Tabela1[[#This Row],[Total 2019]]-Tabela1[[#This Row],[Total 2018]]</f>
        <v>-3018.7105000000001</v>
      </c>
      <c r="U642" s="40">
        <f>Tabela1[[#This Row],[Total 2019]]/Tabela1[[#This Row],[Meta]]</f>
        <v>0</v>
      </c>
      <c r="V642" s="17">
        <f>IFERROR(Tabela1[[#This Row],[Total 2019]]/Tabela1[[#This Row],[Total 2018]]-1,0)</f>
        <v>-1</v>
      </c>
      <c r="W64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42" s="48"/>
      <c r="Y642" s="19"/>
      <c r="Z642" s="68"/>
    </row>
    <row r="643" spans="3:26" x14ac:dyDescent="0.35">
      <c r="C643" s="11" t="s">
        <v>2702</v>
      </c>
      <c r="D643" s="12" t="s">
        <v>2698</v>
      </c>
      <c r="E643" s="12">
        <v>623</v>
      </c>
      <c r="F643" s="13" t="s">
        <v>2070</v>
      </c>
      <c r="G643" s="14">
        <v>1</v>
      </c>
      <c r="H643" s="14" t="s">
        <v>1370</v>
      </c>
      <c r="I643" s="13">
        <v>15</v>
      </c>
      <c r="J643" s="15" t="s">
        <v>1414</v>
      </c>
      <c r="K643" s="15" t="s">
        <v>2706</v>
      </c>
      <c r="L643" s="16">
        <v>5955.1319999999996</v>
      </c>
      <c r="M643" s="16">
        <v>2951.1749999999997</v>
      </c>
      <c r="N643" s="16">
        <v>2427.6205</v>
      </c>
      <c r="O643" s="16"/>
      <c r="P643" s="16"/>
      <c r="Q643" s="16">
        <f>SUM(Tabela1[[#This Row],[201805]:[201807]])</f>
        <v>11333.927499999998</v>
      </c>
      <c r="R643" s="16">
        <f>SUM(Tabela1[[#This Row],[201905]:[201906]])</f>
        <v>0</v>
      </c>
      <c r="S643" s="16">
        <v>100000</v>
      </c>
      <c r="T643" s="16">
        <f>Tabela1[[#This Row],[Total 2019]]-Tabela1[[#This Row],[Total 2018]]</f>
        <v>-11333.927499999998</v>
      </c>
      <c r="U643" s="40">
        <f>Tabela1[[#This Row],[Total 2019]]/Tabela1[[#This Row],[Meta]]</f>
        <v>0</v>
      </c>
      <c r="V643" s="17">
        <f>IFERROR(Tabela1[[#This Row],[Total 2019]]/Tabela1[[#This Row],[Total 2018]]-1,0)</f>
        <v>-1</v>
      </c>
      <c r="W64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43" s="48"/>
      <c r="Y643" s="19"/>
      <c r="Z643" s="68"/>
    </row>
    <row r="644" spans="3:26" x14ac:dyDescent="0.35">
      <c r="C644" s="11" t="s">
        <v>2704</v>
      </c>
      <c r="D644" s="12" t="s">
        <v>2698</v>
      </c>
      <c r="E644" s="12">
        <v>624</v>
      </c>
      <c r="F644" s="13" t="s">
        <v>2071</v>
      </c>
      <c r="G644" s="14">
        <v>2</v>
      </c>
      <c r="H644" s="14" t="s">
        <v>1370</v>
      </c>
      <c r="I644" s="13">
        <v>1</v>
      </c>
      <c r="J644" s="15" t="s">
        <v>1400</v>
      </c>
      <c r="K644" s="15" t="s">
        <v>2706</v>
      </c>
      <c r="L644" s="16">
        <v>4708.4375</v>
      </c>
      <c r="M644" s="16">
        <v>4995.8220000000001</v>
      </c>
      <c r="N644" s="16"/>
      <c r="O644" s="16">
        <v>9514.3734999999979</v>
      </c>
      <c r="P644" s="16">
        <v>7431.3559999999998</v>
      </c>
      <c r="Q644" s="16">
        <f>SUM(Tabela1[[#This Row],[201805]:[201807]])</f>
        <v>9704.2595000000001</v>
      </c>
      <c r="R644" s="16">
        <f>SUM(Tabela1[[#This Row],[201905]:[201906]])</f>
        <v>16945.729499999998</v>
      </c>
      <c r="S644" s="16">
        <v>100000</v>
      </c>
      <c r="T644" s="16">
        <f>Tabela1[[#This Row],[Total 2019]]-Tabela1[[#This Row],[Total 2018]]</f>
        <v>7241.4699999999975</v>
      </c>
      <c r="U644" s="40">
        <f>Tabela1[[#This Row],[Total 2019]]/Tabela1[[#This Row],[Meta]]</f>
        <v>0.16945729499999998</v>
      </c>
      <c r="V644" s="17">
        <f>IFERROR(Tabela1[[#This Row],[Total 2019]]/Tabela1[[#This Row],[Total 2018]]-1,0)</f>
        <v>0.74621561799743685</v>
      </c>
      <c r="W64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644" s="48"/>
      <c r="Y644" s="19"/>
      <c r="Z644" s="68"/>
    </row>
    <row r="645" spans="3:26" x14ac:dyDescent="0.35">
      <c r="C645" s="11" t="s">
        <v>2702</v>
      </c>
      <c r="D645" s="12" t="s">
        <v>2700</v>
      </c>
      <c r="E645" s="12">
        <v>625</v>
      </c>
      <c r="F645" s="13" t="s">
        <v>2072</v>
      </c>
      <c r="G645" s="14">
        <v>1</v>
      </c>
      <c r="H645" s="14" t="s">
        <v>1370</v>
      </c>
      <c r="I645" s="13">
        <v>15</v>
      </c>
      <c r="J645" s="15" t="s">
        <v>1414</v>
      </c>
      <c r="K645" s="15" t="s">
        <v>2706</v>
      </c>
      <c r="L645" s="16">
        <v>12080.39</v>
      </c>
      <c r="M645" s="16">
        <v>3186.8795</v>
      </c>
      <c r="N645" s="16">
        <v>7416.9350000000004</v>
      </c>
      <c r="O645" s="16">
        <v>14934.873999999998</v>
      </c>
      <c r="P645" s="16">
        <v>9393.0299999999988</v>
      </c>
      <c r="Q645" s="16">
        <f>SUM(Tabela1[[#This Row],[201805]:[201807]])</f>
        <v>22684.2045</v>
      </c>
      <c r="R645" s="16">
        <f>SUM(Tabela1[[#This Row],[201905]:[201906]])</f>
        <v>24327.903999999995</v>
      </c>
      <c r="S645" s="16">
        <v>100000</v>
      </c>
      <c r="T645" s="16">
        <f>Tabela1[[#This Row],[Total 2019]]-Tabela1[[#This Row],[Total 2018]]</f>
        <v>1643.6994999999952</v>
      </c>
      <c r="U645" s="40">
        <f>Tabela1[[#This Row],[Total 2019]]/Tabela1[[#This Row],[Meta]]</f>
        <v>0.24327903999999995</v>
      </c>
      <c r="V645" s="17">
        <f>IFERROR(Tabela1[[#This Row],[Total 2019]]/Tabela1[[#This Row],[Total 2018]]-1,0)</f>
        <v>7.2460090015499246E-2</v>
      </c>
      <c r="W64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645" s="48"/>
      <c r="Y645" s="19"/>
      <c r="Z645" s="68"/>
    </row>
    <row r="646" spans="3:26" x14ac:dyDescent="0.35">
      <c r="C646" s="11" t="s">
        <v>2703</v>
      </c>
      <c r="D646" s="12" t="s">
        <v>2699</v>
      </c>
      <c r="E646" s="12">
        <v>626</v>
      </c>
      <c r="F646" s="13" t="s">
        <v>2073</v>
      </c>
      <c r="G646" s="14">
        <v>3</v>
      </c>
      <c r="H646" s="14" t="s">
        <v>1370</v>
      </c>
      <c r="I646" s="13">
        <v>1</v>
      </c>
      <c r="J646" s="15" t="s">
        <v>1400</v>
      </c>
      <c r="K646" s="15" t="s">
        <v>2706</v>
      </c>
      <c r="L646" s="16">
        <v>1111.9560000000001</v>
      </c>
      <c r="M646" s="16"/>
      <c r="N646" s="16"/>
      <c r="O646" s="16"/>
      <c r="P646" s="16"/>
      <c r="Q646" s="16">
        <f>SUM(Tabela1[[#This Row],[201805]:[201807]])</f>
        <v>1111.9560000000001</v>
      </c>
      <c r="R646" s="16">
        <f>SUM(Tabela1[[#This Row],[201905]:[201906]])</f>
        <v>0</v>
      </c>
      <c r="S646" s="16">
        <v>100000</v>
      </c>
      <c r="T646" s="16">
        <f>Tabela1[[#This Row],[Total 2019]]-Tabela1[[#This Row],[Total 2018]]</f>
        <v>-1111.9560000000001</v>
      </c>
      <c r="U646" s="40">
        <f>Tabela1[[#This Row],[Total 2019]]/Tabela1[[#This Row],[Meta]]</f>
        <v>0</v>
      </c>
      <c r="V646" s="17">
        <f>IFERROR(Tabela1[[#This Row],[Total 2019]]/Tabela1[[#This Row],[Total 2018]]-1,0)</f>
        <v>-1</v>
      </c>
      <c r="W64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46" s="48"/>
      <c r="Y646" s="19"/>
      <c r="Z646" s="68"/>
    </row>
    <row r="647" spans="3:26" x14ac:dyDescent="0.35">
      <c r="C647" s="11" t="s">
        <v>2703</v>
      </c>
      <c r="D647" s="12" t="s">
        <v>2699</v>
      </c>
      <c r="E647" s="12">
        <v>627</v>
      </c>
      <c r="F647" s="13" t="s">
        <v>2074</v>
      </c>
      <c r="G647" s="14">
        <v>3</v>
      </c>
      <c r="H647" s="14" t="s">
        <v>1370</v>
      </c>
      <c r="I647" s="13">
        <v>3</v>
      </c>
      <c r="J647" s="15" t="s">
        <v>1402</v>
      </c>
      <c r="K647" s="15" t="s">
        <v>2706</v>
      </c>
      <c r="L647" s="16">
        <v>2964.4560000000001</v>
      </c>
      <c r="M647" s="16">
        <v>1556.1569999999999</v>
      </c>
      <c r="N647" s="16"/>
      <c r="O647" s="16"/>
      <c r="P647" s="16"/>
      <c r="Q647" s="16">
        <f>SUM(Tabela1[[#This Row],[201805]:[201807]])</f>
        <v>4520.6130000000003</v>
      </c>
      <c r="R647" s="16">
        <f>SUM(Tabela1[[#This Row],[201905]:[201906]])</f>
        <v>0</v>
      </c>
      <c r="S647" s="16">
        <v>100000</v>
      </c>
      <c r="T647" s="16">
        <f>Tabela1[[#This Row],[Total 2019]]-Tabela1[[#This Row],[Total 2018]]</f>
        <v>-4520.6130000000003</v>
      </c>
      <c r="U647" s="40">
        <f>Tabela1[[#This Row],[Total 2019]]/Tabela1[[#This Row],[Meta]]</f>
        <v>0</v>
      </c>
      <c r="V647" s="17">
        <f>IFERROR(Tabela1[[#This Row],[Total 2019]]/Tabela1[[#This Row],[Total 2018]]-1,0)</f>
        <v>-1</v>
      </c>
      <c r="W64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47" s="48"/>
      <c r="Y647" s="19"/>
      <c r="Z647" s="68"/>
    </row>
    <row r="648" spans="3:26" x14ac:dyDescent="0.35">
      <c r="C648" s="11" t="s">
        <v>2704</v>
      </c>
      <c r="D648" s="12" t="s">
        <v>2699</v>
      </c>
      <c r="E648" s="12">
        <v>628</v>
      </c>
      <c r="F648" s="13" t="s">
        <v>2075</v>
      </c>
      <c r="G648" s="14">
        <v>3</v>
      </c>
      <c r="H648" s="14" t="s">
        <v>1370</v>
      </c>
      <c r="I648" s="13">
        <v>8</v>
      </c>
      <c r="J648" s="15" t="s">
        <v>1407</v>
      </c>
      <c r="K648" s="15" t="s">
        <v>2706</v>
      </c>
      <c r="L648" s="16">
        <v>3777.8744999999999</v>
      </c>
      <c r="M648" s="16"/>
      <c r="N648" s="16">
        <v>6292.9234999999999</v>
      </c>
      <c r="O648" s="16"/>
      <c r="P648" s="16"/>
      <c r="Q648" s="16">
        <f>SUM(Tabela1[[#This Row],[201805]:[201807]])</f>
        <v>10070.797999999999</v>
      </c>
      <c r="R648" s="16">
        <f>SUM(Tabela1[[#This Row],[201905]:[201906]])</f>
        <v>0</v>
      </c>
      <c r="S648" s="16">
        <v>100000</v>
      </c>
      <c r="T648" s="16">
        <f>Tabela1[[#This Row],[Total 2019]]-Tabela1[[#This Row],[Total 2018]]</f>
        <v>-10070.797999999999</v>
      </c>
      <c r="U648" s="40">
        <f>Tabela1[[#This Row],[Total 2019]]/Tabela1[[#This Row],[Meta]]</f>
        <v>0</v>
      </c>
      <c r="V648" s="17">
        <f>IFERROR(Tabela1[[#This Row],[Total 2019]]/Tabela1[[#This Row],[Total 2018]]-1,0)</f>
        <v>-1</v>
      </c>
      <c r="W64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48" s="48"/>
      <c r="Y648" s="19"/>
      <c r="Z648" s="68"/>
    </row>
    <row r="649" spans="3:26" x14ac:dyDescent="0.35">
      <c r="C649" s="11" t="s">
        <v>2703</v>
      </c>
      <c r="D649" s="12" t="s">
        <v>2698</v>
      </c>
      <c r="E649" s="12">
        <v>629</v>
      </c>
      <c r="F649" s="13" t="s">
        <v>2076</v>
      </c>
      <c r="G649" s="14">
        <v>3</v>
      </c>
      <c r="H649" s="14" t="s">
        <v>1371</v>
      </c>
      <c r="I649" s="13">
        <v>9</v>
      </c>
      <c r="J649" s="15" t="s">
        <v>1408</v>
      </c>
      <c r="K649" s="15" t="s">
        <v>2707</v>
      </c>
      <c r="L649" s="16">
        <v>2140.8344999999999</v>
      </c>
      <c r="M649" s="16"/>
      <c r="N649" s="16">
        <v>8813.5110000000004</v>
      </c>
      <c r="O649" s="16"/>
      <c r="P649" s="16"/>
      <c r="Q649" s="16">
        <f>SUM(Tabela1[[#This Row],[201805]:[201807]])</f>
        <v>10954.345499999999</v>
      </c>
      <c r="R649" s="16">
        <f>SUM(Tabela1[[#This Row],[201905]:[201906]])</f>
        <v>0</v>
      </c>
      <c r="S649" s="16">
        <v>100000</v>
      </c>
      <c r="T649" s="16">
        <f>Tabela1[[#This Row],[Total 2019]]-Tabela1[[#This Row],[Total 2018]]</f>
        <v>-10954.345499999999</v>
      </c>
      <c r="U649" s="40">
        <f>Tabela1[[#This Row],[Total 2019]]/Tabela1[[#This Row],[Meta]]</f>
        <v>0</v>
      </c>
      <c r="V649" s="17">
        <f>IFERROR(Tabela1[[#This Row],[Total 2019]]/Tabela1[[#This Row],[Total 2018]]-1,0)</f>
        <v>-1</v>
      </c>
      <c r="W64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49" s="48"/>
      <c r="Y649" s="19"/>
      <c r="Z649" s="68"/>
    </row>
    <row r="650" spans="3:26" x14ac:dyDescent="0.35">
      <c r="C650" s="11" t="s">
        <v>2704</v>
      </c>
      <c r="D650" s="12" t="s">
        <v>2699</v>
      </c>
      <c r="E650" s="12">
        <v>630</v>
      </c>
      <c r="F650" s="13" t="s">
        <v>2077</v>
      </c>
      <c r="G650" s="14">
        <v>3</v>
      </c>
      <c r="H650" s="14" t="s">
        <v>1371</v>
      </c>
      <c r="I650" s="13">
        <v>31</v>
      </c>
      <c r="J650" s="15" t="s">
        <v>1430</v>
      </c>
      <c r="K650" s="15" t="s">
        <v>2707</v>
      </c>
      <c r="L650" s="16"/>
      <c r="M650" s="16">
        <v>3032.8559999999993</v>
      </c>
      <c r="N650" s="16"/>
      <c r="O650" s="16"/>
      <c r="P650" s="16"/>
      <c r="Q650" s="16">
        <f>SUM(Tabela1[[#This Row],[201805]:[201807]])</f>
        <v>3032.8559999999993</v>
      </c>
      <c r="R650" s="16">
        <f>SUM(Tabela1[[#This Row],[201905]:[201906]])</f>
        <v>0</v>
      </c>
      <c r="S650" s="16">
        <v>100000</v>
      </c>
      <c r="T650" s="16">
        <f>Tabela1[[#This Row],[Total 2019]]-Tabela1[[#This Row],[Total 2018]]</f>
        <v>-3032.8559999999993</v>
      </c>
      <c r="U650" s="40">
        <f>Tabela1[[#This Row],[Total 2019]]/Tabela1[[#This Row],[Meta]]</f>
        <v>0</v>
      </c>
      <c r="V650" s="17">
        <f>IFERROR(Tabela1[[#This Row],[Total 2019]]/Tabela1[[#This Row],[Total 2018]]-1,0)</f>
        <v>-1</v>
      </c>
      <c r="W65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50" s="48"/>
      <c r="Y650" s="19"/>
      <c r="Z650" s="68"/>
    </row>
    <row r="651" spans="3:26" x14ac:dyDescent="0.35">
      <c r="C651" s="11" t="s">
        <v>2703</v>
      </c>
      <c r="D651" s="12" t="s">
        <v>2700</v>
      </c>
      <c r="E651" s="12">
        <v>631</v>
      </c>
      <c r="F651" s="13" t="s">
        <v>2078</v>
      </c>
      <c r="G651" s="14">
        <v>3</v>
      </c>
      <c r="H651" s="14" t="s">
        <v>1371</v>
      </c>
      <c r="I651" s="13">
        <v>5</v>
      </c>
      <c r="J651" s="15" t="s">
        <v>1404</v>
      </c>
      <c r="K651" s="15" t="s">
        <v>2707</v>
      </c>
      <c r="L651" s="16">
        <v>6082.3274999999994</v>
      </c>
      <c r="M651" s="16">
        <v>3996.9635000000007</v>
      </c>
      <c r="N651" s="16"/>
      <c r="O651" s="16"/>
      <c r="P651" s="16"/>
      <c r="Q651" s="16">
        <f>SUM(Tabela1[[#This Row],[201805]:[201807]])</f>
        <v>10079.291000000001</v>
      </c>
      <c r="R651" s="16">
        <f>SUM(Tabela1[[#This Row],[201905]:[201906]])</f>
        <v>0</v>
      </c>
      <c r="S651" s="16">
        <v>100000</v>
      </c>
      <c r="T651" s="16">
        <f>Tabela1[[#This Row],[Total 2019]]-Tabela1[[#This Row],[Total 2018]]</f>
        <v>-10079.291000000001</v>
      </c>
      <c r="U651" s="40">
        <f>Tabela1[[#This Row],[Total 2019]]/Tabela1[[#This Row],[Meta]]</f>
        <v>0</v>
      </c>
      <c r="V651" s="17">
        <f>IFERROR(Tabela1[[#This Row],[Total 2019]]/Tabela1[[#This Row],[Total 2018]]-1,0)</f>
        <v>-1</v>
      </c>
      <c r="W65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51" s="48"/>
      <c r="Y651" s="19"/>
      <c r="Z651" s="68"/>
    </row>
    <row r="652" spans="3:26" x14ac:dyDescent="0.35">
      <c r="C652" s="11" t="s">
        <v>2703</v>
      </c>
      <c r="D652" s="12" t="s">
        <v>2698</v>
      </c>
      <c r="E652" s="12">
        <v>632</v>
      </c>
      <c r="F652" s="13" t="s">
        <v>2079</v>
      </c>
      <c r="G652" s="14">
        <v>2</v>
      </c>
      <c r="H652" s="14" t="s">
        <v>1371</v>
      </c>
      <c r="I652" s="13">
        <v>4</v>
      </c>
      <c r="J652" s="15" t="s">
        <v>1403</v>
      </c>
      <c r="K652" s="15" t="s">
        <v>2707</v>
      </c>
      <c r="L652" s="16">
        <v>1945.9894999999999</v>
      </c>
      <c r="M652" s="16">
        <v>4668.7085000000006</v>
      </c>
      <c r="N652" s="16"/>
      <c r="O652" s="16"/>
      <c r="P652" s="16"/>
      <c r="Q652" s="16">
        <f>SUM(Tabela1[[#This Row],[201805]:[201807]])</f>
        <v>6614.6980000000003</v>
      </c>
      <c r="R652" s="16">
        <f>SUM(Tabela1[[#This Row],[201905]:[201906]])</f>
        <v>0</v>
      </c>
      <c r="S652" s="16">
        <v>100000</v>
      </c>
      <c r="T652" s="16">
        <f>Tabela1[[#This Row],[Total 2019]]-Tabela1[[#This Row],[Total 2018]]</f>
        <v>-6614.6980000000003</v>
      </c>
      <c r="U652" s="40">
        <f>Tabela1[[#This Row],[Total 2019]]/Tabela1[[#This Row],[Meta]]</f>
        <v>0</v>
      </c>
      <c r="V652" s="17">
        <f>IFERROR(Tabela1[[#This Row],[Total 2019]]/Tabela1[[#This Row],[Total 2018]]-1,0)</f>
        <v>-1</v>
      </c>
      <c r="W65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52" s="48"/>
      <c r="Y652" s="19"/>
      <c r="Z652" s="68"/>
    </row>
    <row r="653" spans="3:26" x14ac:dyDescent="0.35">
      <c r="C653" s="11" t="s">
        <v>2703</v>
      </c>
      <c r="D653" s="12" t="s">
        <v>2699</v>
      </c>
      <c r="E653" s="12">
        <v>633</v>
      </c>
      <c r="F653" s="13" t="s">
        <v>2080</v>
      </c>
      <c r="G653" s="14">
        <v>1</v>
      </c>
      <c r="H653" s="14" t="s">
        <v>1371</v>
      </c>
      <c r="I653" s="13">
        <v>9</v>
      </c>
      <c r="J653" s="15" t="s">
        <v>1408</v>
      </c>
      <c r="K653" s="15" t="s">
        <v>2707</v>
      </c>
      <c r="L653" s="16">
        <v>4173.616</v>
      </c>
      <c r="M653" s="16">
        <v>4007.0715</v>
      </c>
      <c r="N653" s="16"/>
      <c r="O653" s="16"/>
      <c r="P653" s="16"/>
      <c r="Q653" s="16">
        <f>SUM(Tabela1[[#This Row],[201805]:[201807]])</f>
        <v>8180.6875</v>
      </c>
      <c r="R653" s="16">
        <f>SUM(Tabela1[[#This Row],[201905]:[201906]])</f>
        <v>0</v>
      </c>
      <c r="S653" s="16">
        <v>100000</v>
      </c>
      <c r="T653" s="16">
        <f>Tabela1[[#This Row],[Total 2019]]-Tabela1[[#This Row],[Total 2018]]</f>
        <v>-8180.6875</v>
      </c>
      <c r="U653" s="40">
        <f>Tabela1[[#This Row],[Total 2019]]/Tabela1[[#This Row],[Meta]]</f>
        <v>0</v>
      </c>
      <c r="V653" s="17">
        <f>IFERROR(Tabela1[[#This Row],[Total 2019]]/Tabela1[[#This Row],[Total 2018]]-1,0)</f>
        <v>-1</v>
      </c>
      <c r="W65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53" s="48"/>
      <c r="Y653" s="19"/>
      <c r="Z653" s="68"/>
    </row>
    <row r="654" spans="3:26" x14ac:dyDescent="0.35">
      <c r="C654" s="11" t="s">
        <v>2704</v>
      </c>
      <c r="D654" s="12" t="s">
        <v>2698</v>
      </c>
      <c r="E654" s="12">
        <v>634</v>
      </c>
      <c r="F654" s="13" t="s">
        <v>2081</v>
      </c>
      <c r="G654" s="14">
        <v>2</v>
      </c>
      <c r="H654" s="14" t="s">
        <v>1372</v>
      </c>
      <c r="I654" s="13">
        <v>20</v>
      </c>
      <c r="J654" s="15" t="s">
        <v>1419</v>
      </c>
      <c r="K654" s="15" t="s">
        <v>2708</v>
      </c>
      <c r="L654" s="16">
        <v>2450.7339999999999</v>
      </c>
      <c r="M654" s="16">
        <v>5884.1005000000005</v>
      </c>
      <c r="N654" s="16">
        <v>3787.0990000000002</v>
      </c>
      <c r="O654" s="16">
        <v>11159.897000000001</v>
      </c>
      <c r="P654" s="16">
        <v>1888.3909999999998</v>
      </c>
      <c r="Q654" s="16">
        <f>SUM(Tabela1[[#This Row],[201805]:[201807]])</f>
        <v>12121.933500000001</v>
      </c>
      <c r="R654" s="16">
        <f>SUM(Tabela1[[#This Row],[201905]:[201906]])</f>
        <v>13048.288</v>
      </c>
      <c r="S654" s="16">
        <v>100000</v>
      </c>
      <c r="T654" s="16">
        <f>Tabela1[[#This Row],[Total 2019]]-Tabela1[[#This Row],[Total 2018]]</f>
        <v>926.35449999999946</v>
      </c>
      <c r="U654" s="40">
        <f>Tabela1[[#This Row],[Total 2019]]/Tabela1[[#This Row],[Meta]]</f>
        <v>0.13048288</v>
      </c>
      <c r="V654" s="17">
        <f>IFERROR(Tabela1[[#This Row],[Total 2019]]/Tabela1[[#This Row],[Total 2018]]-1,0)</f>
        <v>7.6419698227184529E-2</v>
      </c>
      <c r="W65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654" s="48"/>
      <c r="Y654" s="19"/>
      <c r="Z654" s="68"/>
    </row>
    <row r="655" spans="3:26" x14ac:dyDescent="0.35">
      <c r="C655" s="11" t="s">
        <v>2704</v>
      </c>
      <c r="D655" s="12" t="s">
        <v>2698</v>
      </c>
      <c r="E655" s="12">
        <v>635</v>
      </c>
      <c r="F655" s="13" t="s">
        <v>2082</v>
      </c>
      <c r="G655" s="14">
        <v>1</v>
      </c>
      <c r="H655" s="14" t="s">
        <v>1371</v>
      </c>
      <c r="I655" s="13">
        <v>4</v>
      </c>
      <c r="J655" s="15" t="s">
        <v>1403</v>
      </c>
      <c r="K655" s="15" t="s">
        <v>2707</v>
      </c>
      <c r="L655" s="16">
        <v>5519.5379999999986</v>
      </c>
      <c r="M655" s="16">
        <v>1448.826</v>
      </c>
      <c r="N655" s="16"/>
      <c r="O655" s="16">
        <v>7006.5064999999995</v>
      </c>
      <c r="P655" s="16"/>
      <c r="Q655" s="16">
        <f>SUM(Tabela1[[#This Row],[201805]:[201807]])</f>
        <v>6968.3639999999987</v>
      </c>
      <c r="R655" s="16">
        <f>SUM(Tabela1[[#This Row],[201905]:[201906]])</f>
        <v>7006.5064999999995</v>
      </c>
      <c r="S655" s="16">
        <v>100000</v>
      </c>
      <c r="T655" s="16">
        <f>Tabela1[[#This Row],[Total 2019]]-Tabela1[[#This Row],[Total 2018]]</f>
        <v>38.142500000000837</v>
      </c>
      <c r="U655" s="40">
        <f>Tabela1[[#This Row],[Total 2019]]/Tabela1[[#This Row],[Meta]]</f>
        <v>7.0065064999999996E-2</v>
      </c>
      <c r="V655" s="17">
        <f>IFERROR(Tabela1[[#This Row],[Total 2019]]/Tabela1[[#This Row],[Total 2018]]-1,0)</f>
        <v>5.473666415818812E-3</v>
      </c>
      <c r="W65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655" s="48"/>
      <c r="Y655" s="19"/>
      <c r="Z655" s="68"/>
    </row>
    <row r="656" spans="3:26" x14ac:dyDescent="0.35">
      <c r="C656" s="11" t="s">
        <v>2704</v>
      </c>
      <c r="D656" s="12" t="s">
        <v>2698</v>
      </c>
      <c r="E656" s="12">
        <v>636</v>
      </c>
      <c r="F656" s="13" t="s">
        <v>2083</v>
      </c>
      <c r="G656" s="14">
        <v>1</v>
      </c>
      <c r="H656" s="14" t="s">
        <v>1372</v>
      </c>
      <c r="I656" s="13">
        <v>18</v>
      </c>
      <c r="J656" s="15" t="s">
        <v>1417</v>
      </c>
      <c r="K656" s="15" t="s">
        <v>2708</v>
      </c>
      <c r="L656" s="16"/>
      <c r="M656" s="16">
        <v>5125.1739999999991</v>
      </c>
      <c r="N656" s="16">
        <v>2795.5174999999995</v>
      </c>
      <c r="O656" s="16">
        <v>9910.2860000000001</v>
      </c>
      <c r="P656" s="16"/>
      <c r="Q656" s="16">
        <f>SUM(Tabela1[[#This Row],[201805]:[201807]])</f>
        <v>7920.691499999999</v>
      </c>
      <c r="R656" s="16">
        <f>SUM(Tabela1[[#This Row],[201905]:[201906]])</f>
        <v>9910.2860000000001</v>
      </c>
      <c r="S656" s="16">
        <v>100000</v>
      </c>
      <c r="T656" s="16">
        <f>Tabela1[[#This Row],[Total 2019]]-Tabela1[[#This Row],[Total 2018]]</f>
        <v>1989.5945000000011</v>
      </c>
      <c r="U656" s="40">
        <f>Tabela1[[#This Row],[Total 2019]]/Tabela1[[#This Row],[Meta]]</f>
        <v>9.9102860000000001E-2</v>
      </c>
      <c r="V656" s="17">
        <f>IFERROR(Tabela1[[#This Row],[Total 2019]]/Tabela1[[#This Row],[Total 2018]]-1,0)</f>
        <v>0.25118949526060974</v>
      </c>
      <c r="W65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656" s="48"/>
      <c r="Y656" s="19"/>
      <c r="Z656" s="68"/>
    </row>
    <row r="657" spans="3:26" x14ac:dyDescent="0.35">
      <c r="C657" s="11" t="s">
        <v>2703</v>
      </c>
      <c r="D657" s="12" t="s">
        <v>2700</v>
      </c>
      <c r="E657" s="12">
        <v>637</v>
      </c>
      <c r="F657" s="13" t="s">
        <v>2084</v>
      </c>
      <c r="G657" s="14">
        <v>3</v>
      </c>
      <c r="H657" s="14" t="s">
        <v>1372</v>
      </c>
      <c r="I657" s="13">
        <v>21</v>
      </c>
      <c r="J657" s="15" t="s">
        <v>1420</v>
      </c>
      <c r="K657" s="15" t="s">
        <v>2708</v>
      </c>
      <c r="L657" s="16">
        <v>1327.8244999999999</v>
      </c>
      <c r="M657" s="16">
        <v>1694.3534999999999</v>
      </c>
      <c r="N657" s="16"/>
      <c r="O657" s="16">
        <v>3997.6569999999997</v>
      </c>
      <c r="P657" s="16"/>
      <c r="Q657" s="16">
        <f>SUM(Tabela1[[#This Row],[201805]:[201807]])</f>
        <v>3022.1779999999999</v>
      </c>
      <c r="R657" s="16">
        <f>SUM(Tabela1[[#This Row],[201905]:[201906]])</f>
        <v>3997.6569999999997</v>
      </c>
      <c r="S657" s="16">
        <v>100000</v>
      </c>
      <c r="T657" s="16">
        <f>Tabela1[[#This Row],[Total 2019]]-Tabela1[[#This Row],[Total 2018]]</f>
        <v>975.47899999999981</v>
      </c>
      <c r="U657" s="40">
        <f>Tabela1[[#This Row],[Total 2019]]/Tabela1[[#This Row],[Meta]]</f>
        <v>3.9976569999999996E-2</v>
      </c>
      <c r="V657" s="17">
        <f>IFERROR(Tabela1[[#This Row],[Total 2019]]/Tabela1[[#This Row],[Total 2018]]-1,0)</f>
        <v>0.32277350970061991</v>
      </c>
      <c r="W65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657" s="48"/>
      <c r="Y657" s="19"/>
      <c r="Z657" s="68"/>
    </row>
    <row r="658" spans="3:26" x14ac:dyDescent="0.35">
      <c r="C658" s="11" t="s">
        <v>2703</v>
      </c>
      <c r="D658" s="12" t="s">
        <v>2699</v>
      </c>
      <c r="E658" s="12">
        <v>638</v>
      </c>
      <c r="F658" s="13" t="s">
        <v>2085</v>
      </c>
      <c r="G658" s="14">
        <v>2</v>
      </c>
      <c r="H658" s="14" t="s">
        <v>1372</v>
      </c>
      <c r="I658" s="13">
        <v>22</v>
      </c>
      <c r="J658" s="15" t="s">
        <v>1421</v>
      </c>
      <c r="K658" s="15" t="s">
        <v>2708</v>
      </c>
      <c r="L658" s="16">
        <v>6055.1669999999995</v>
      </c>
      <c r="M658" s="16">
        <v>7375.4009999999998</v>
      </c>
      <c r="N658" s="16"/>
      <c r="O658" s="16">
        <v>12685.169499999998</v>
      </c>
      <c r="P658" s="16">
        <v>1999.4364999999998</v>
      </c>
      <c r="Q658" s="16">
        <f>SUM(Tabela1[[#This Row],[201805]:[201807]])</f>
        <v>13430.567999999999</v>
      </c>
      <c r="R658" s="16">
        <f>SUM(Tabela1[[#This Row],[201905]:[201906]])</f>
        <v>14684.605999999998</v>
      </c>
      <c r="S658" s="16">
        <v>100000</v>
      </c>
      <c r="T658" s="16">
        <f>Tabela1[[#This Row],[Total 2019]]-Tabela1[[#This Row],[Total 2018]]</f>
        <v>1254.0379999999986</v>
      </c>
      <c r="U658" s="40">
        <f>Tabela1[[#This Row],[Total 2019]]/Tabela1[[#This Row],[Meta]]</f>
        <v>0.14684605999999997</v>
      </c>
      <c r="V658" s="17">
        <f>IFERROR(Tabela1[[#This Row],[Total 2019]]/Tabela1[[#This Row],[Total 2018]]-1,0)</f>
        <v>9.3371925893230845E-2</v>
      </c>
      <c r="W65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658" s="48"/>
      <c r="Y658" s="19"/>
      <c r="Z658" s="68"/>
    </row>
    <row r="659" spans="3:26" x14ac:dyDescent="0.35">
      <c r="C659" s="11" t="s">
        <v>2702</v>
      </c>
      <c r="D659" s="12" t="s">
        <v>2699</v>
      </c>
      <c r="E659" s="12">
        <v>639</v>
      </c>
      <c r="F659" s="13" t="s">
        <v>2086</v>
      </c>
      <c r="G659" s="14">
        <v>2</v>
      </c>
      <c r="H659" s="14" t="s">
        <v>1371</v>
      </c>
      <c r="I659" s="13">
        <v>24</v>
      </c>
      <c r="J659" s="15" t="s">
        <v>1423</v>
      </c>
      <c r="K659" s="15" t="s">
        <v>2707</v>
      </c>
      <c r="L659" s="16">
        <v>11632.18</v>
      </c>
      <c r="M659" s="16">
        <v>4472.6094999999996</v>
      </c>
      <c r="N659" s="16">
        <v>2157.3549999999996</v>
      </c>
      <c r="O659" s="16"/>
      <c r="P659" s="16"/>
      <c r="Q659" s="16">
        <f>SUM(Tabela1[[#This Row],[201805]:[201807]])</f>
        <v>18262.144499999999</v>
      </c>
      <c r="R659" s="16">
        <f>SUM(Tabela1[[#This Row],[201905]:[201906]])</f>
        <v>0</v>
      </c>
      <c r="S659" s="16">
        <v>100000</v>
      </c>
      <c r="T659" s="16">
        <f>Tabela1[[#This Row],[Total 2019]]-Tabela1[[#This Row],[Total 2018]]</f>
        <v>-18262.144499999999</v>
      </c>
      <c r="U659" s="40">
        <f>Tabela1[[#This Row],[Total 2019]]/Tabela1[[#This Row],[Meta]]</f>
        <v>0</v>
      </c>
      <c r="V659" s="17">
        <f>IFERROR(Tabela1[[#This Row],[Total 2019]]/Tabela1[[#This Row],[Total 2018]]-1,0)</f>
        <v>-1</v>
      </c>
      <c r="W65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59" s="48"/>
      <c r="Y659" s="19"/>
      <c r="Z659" s="68"/>
    </row>
    <row r="660" spans="3:26" x14ac:dyDescent="0.35">
      <c r="C660" s="11" t="s">
        <v>2703</v>
      </c>
      <c r="D660" s="12" t="s">
        <v>2699</v>
      </c>
      <c r="E660" s="12">
        <v>640</v>
      </c>
      <c r="F660" s="13" t="s">
        <v>2087</v>
      </c>
      <c r="G660" s="14">
        <v>2</v>
      </c>
      <c r="H660" s="14" t="s">
        <v>1371</v>
      </c>
      <c r="I660" s="13">
        <v>12</v>
      </c>
      <c r="J660" s="15" t="s">
        <v>1411</v>
      </c>
      <c r="K660" s="15" t="s">
        <v>2707</v>
      </c>
      <c r="L660" s="16"/>
      <c r="M660" s="16">
        <v>3420.2754999999997</v>
      </c>
      <c r="N660" s="16">
        <v>936.7</v>
      </c>
      <c r="O660" s="16"/>
      <c r="P660" s="16"/>
      <c r="Q660" s="16">
        <f>SUM(Tabela1[[#This Row],[201805]:[201807]])</f>
        <v>4356.9754999999996</v>
      </c>
      <c r="R660" s="16">
        <f>SUM(Tabela1[[#This Row],[201905]:[201906]])</f>
        <v>0</v>
      </c>
      <c r="S660" s="16">
        <v>100000</v>
      </c>
      <c r="T660" s="16">
        <f>Tabela1[[#This Row],[Total 2019]]-Tabela1[[#This Row],[Total 2018]]</f>
        <v>-4356.9754999999996</v>
      </c>
      <c r="U660" s="40">
        <f>Tabela1[[#This Row],[Total 2019]]/Tabela1[[#This Row],[Meta]]</f>
        <v>0</v>
      </c>
      <c r="V660" s="17">
        <f>IFERROR(Tabela1[[#This Row],[Total 2019]]/Tabela1[[#This Row],[Total 2018]]-1,0)</f>
        <v>-1</v>
      </c>
      <c r="W66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60" s="48"/>
      <c r="Y660" s="19"/>
      <c r="Z660" s="68"/>
    </row>
    <row r="661" spans="3:26" x14ac:dyDescent="0.35">
      <c r="C661" s="11" t="s">
        <v>2704</v>
      </c>
      <c r="D661" s="12" t="s">
        <v>2698</v>
      </c>
      <c r="E661" s="12">
        <v>641</v>
      </c>
      <c r="F661" s="13" t="s">
        <v>2088</v>
      </c>
      <c r="G661" s="14">
        <v>2</v>
      </c>
      <c r="H661" s="14" t="s">
        <v>1371</v>
      </c>
      <c r="I661" s="13">
        <v>24</v>
      </c>
      <c r="J661" s="15" t="s">
        <v>1423</v>
      </c>
      <c r="K661" s="15" t="s">
        <v>2707</v>
      </c>
      <c r="L661" s="16">
        <v>1560.394</v>
      </c>
      <c r="M661" s="16">
        <v>2320.7835</v>
      </c>
      <c r="N661" s="16"/>
      <c r="O661" s="16"/>
      <c r="P661" s="16"/>
      <c r="Q661" s="16">
        <f>SUM(Tabela1[[#This Row],[201805]:[201807]])</f>
        <v>3881.1774999999998</v>
      </c>
      <c r="R661" s="16">
        <f>SUM(Tabela1[[#This Row],[201905]:[201906]])</f>
        <v>0</v>
      </c>
      <c r="S661" s="16">
        <v>100000</v>
      </c>
      <c r="T661" s="16">
        <f>Tabela1[[#This Row],[Total 2019]]-Tabela1[[#This Row],[Total 2018]]</f>
        <v>-3881.1774999999998</v>
      </c>
      <c r="U661" s="40">
        <f>Tabela1[[#This Row],[Total 2019]]/Tabela1[[#This Row],[Meta]]</f>
        <v>0</v>
      </c>
      <c r="V661" s="17">
        <f>IFERROR(Tabela1[[#This Row],[Total 2019]]/Tabela1[[#This Row],[Total 2018]]-1,0)</f>
        <v>-1</v>
      </c>
      <c r="W66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61" s="48"/>
      <c r="Y661" s="19"/>
      <c r="Z661" s="68"/>
    </row>
    <row r="662" spans="3:26" x14ac:dyDescent="0.35">
      <c r="C662" s="11" t="s">
        <v>2702</v>
      </c>
      <c r="D662" s="12" t="s">
        <v>2698</v>
      </c>
      <c r="E662" s="12">
        <v>642</v>
      </c>
      <c r="F662" s="13" t="s">
        <v>2089</v>
      </c>
      <c r="G662" s="14">
        <v>3</v>
      </c>
      <c r="H662" s="14" t="s">
        <v>1371</v>
      </c>
      <c r="I662" s="13">
        <v>12</v>
      </c>
      <c r="J662" s="15" t="s">
        <v>1411</v>
      </c>
      <c r="K662" s="15" t="s">
        <v>2707</v>
      </c>
      <c r="L662" s="16">
        <v>1731.3274999999999</v>
      </c>
      <c r="M662" s="16">
        <v>1613.1189999999999</v>
      </c>
      <c r="N662" s="16"/>
      <c r="O662" s="16"/>
      <c r="P662" s="16">
        <v>369.17</v>
      </c>
      <c r="Q662" s="16">
        <f>SUM(Tabela1[[#This Row],[201805]:[201807]])</f>
        <v>3344.4465</v>
      </c>
      <c r="R662" s="16">
        <f>SUM(Tabela1[[#This Row],[201905]:[201906]])</f>
        <v>369.17</v>
      </c>
      <c r="S662" s="16">
        <v>100000</v>
      </c>
      <c r="T662" s="16">
        <f>Tabela1[[#This Row],[Total 2019]]-Tabela1[[#This Row],[Total 2018]]</f>
        <v>-2975.2764999999999</v>
      </c>
      <c r="U662" s="40">
        <f>Tabela1[[#This Row],[Total 2019]]/Tabela1[[#This Row],[Meta]]</f>
        <v>3.6917E-3</v>
      </c>
      <c r="V662" s="17">
        <f>IFERROR(Tabela1[[#This Row],[Total 2019]]/Tabela1[[#This Row],[Total 2018]]-1,0)</f>
        <v>-0.88961701136495974</v>
      </c>
      <c r="W66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662" s="48"/>
      <c r="Y662" s="19"/>
      <c r="Z662" s="68"/>
    </row>
    <row r="663" spans="3:26" x14ac:dyDescent="0.35">
      <c r="C663" s="11" t="s">
        <v>2704</v>
      </c>
      <c r="D663" s="12" t="s">
        <v>2699</v>
      </c>
      <c r="E663" s="12">
        <v>643</v>
      </c>
      <c r="F663" s="13" t="s">
        <v>2090</v>
      </c>
      <c r="G663" s="14">
        <v>3</v>
      </c>
      <c r="H663" s="14" t="s">
        <v>1371</v>
      </c>
      <c r="I663" s="13">
        <v>7</v>
      </c>
      <c r="J663" s="15" t="s">
        <v>1406</v>
      </c>
      <c r="K663" s="15" t="s">
        <v>2707</v>
      </c>
      <c r="L663" s="16"/>
      <c r="M663" s="16">
        <v>2559.0245</v>
      </c>
      <c r="N663" s="16">
        <v>4445.325499999999</v>
      </c>
      <c r="O663" s="16"/>
      <c r="P663" s="16"/>
      <c r="Q663" s="16">
        <f>SUM(Tabela1[[#This Row],[201805]:[201807]])</f>
        <v>7004.3499999999985</v>
      </c>
      <c r="R663" s="16">
        <f>SUM(Tabela1[[#This Row],[201905]:[201906]])</f>
        <v>0</v>
      </c>
      <c r="S663" s="16">
        <v>100000</v>
      </c>
      <c r="T663" s="16">
        <f>Tabela1[[#This Row],[Total 2019]]-Tabela1[[#This Row],[Total 2018]]</f>
        <v>-7004.3499999999985</v>
      </c>
      <c r="U663" s="40">
        <f>Tabela1[[#This Row],[Total 2019]]/Tabela1[[#This Row],[Meta]]</f>
        <v>0</v>
      </c>
      <c r="V663" s="17">
        <f>IFERROR(Tabela1[[#This Row],[Total 2019]]/Tabela1[[#This Row],[Total 2018]]-1,0)</f>
        <v>-1</v>
      </c>
      <c r="W66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63" s="48"/>
      <c r="Y663" s="19"/>
      <c r="Z663" s="68"/>
    </row>
    <row r="664" spans="3:26" x14ac:dyDescent="0.35">
      <c r="C664" s="11" t="s">
        <v>2702</v>
      </c>
      <c r="D664" s="12" t="s">
        <v>2700</v>
      </c>
      <c r="E664" s="12">
        <v>644</v>
      </c>
      <c r="F664" s="13" t="s">
        <v>2091</v>
      </c>
      <c r="G664" s="14">
        <v>1</v>
      </c>
      <c r="H664" s="14" t="s">
        <v>1371</v>
      </c>
      <c r="I664" s="13">
        <v>12</v>
      </c>
      <c r="J664" s="15" t="s">
        <v>1411</v>
      </c>
      <c r="K664" s="15" t="s">
        <v>2707</v>
      </c>
      <c r="L664" s="16">
        <v>389.54749999999996</v>
      </c>
      <c r="M664" s="16">
        <v>2561.143</v>
      </c>
      <c r="N664" s="16">
        <v>1501.8834999999999</v>
      </c>
      <c r="O664" s="16"/>
      <c r="P664" s="16"/>
      <c r="Q664" s="16">
        <f>SUM(Tabela1[[#This Row],[201805]:[201807]])</f>
        <v>4452.5740000000005</v>
      </c>
      <c r="R664" s="16">
        <f>SUM(Tabela1[[#This Row],[201905]:[201906]])</f>
        <v>0</v>
      </c>
      <c r="S664" s="16">
        <v>100000</v>
      </c>
      <c r="T664" s="16">
        <f>Tabela1[[#This Row],[Total 2019]]-Tabela1[[#This Row],[Total 2018]]</f>
        <v>-4452.5740000000005</v>
      </c>
      <c r="U664" s="40">
        <f>Tabela1[[#This Row],[Total 2019]]/Tabela1[[#This Row],[Meta]]</f>
        <v>0</v>
      </c>
      <c r="V664" s="17">
        <f>IFERROR(Tabela1[[#This Row],[Total 2019]]/Tabela1[[#This Row],[Total 2018]]-1,0)</f>
        <v>-1</v>
      </c>
      <c r="W66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64" s="48"/>
      <c r="Y664" s="19"/>
      <c r="Z664" s="68"/>
    </row>
    <row r="665" spans="3:26" x14ac:dyDescent="0.35">
      <c r="C665" s="11" t="s">
        <v>2703</v>
      </c>
      <c r="D665" s="12" t="s">
        <v>2698</v>
      </c>
      <c r="E665" s="12">
        <v>645</v>
      </c>
      <c r="F665" s="13" t="s">
        <v>2092</v>
      </c>
      <c r="G665" s="14">
        <v>1</v>
      </c>
      <c r="H665" s="14" t="s">
        <v>1372</v>
      </c>
      <c r="I665" s="13">
        <v>22</v>
      </c>
      <c r="J665" s="15" t="s">
        <v>1421</v>
      </c>
      <c r="K665" s="15" t="s">
        <v>2708</v>
      </c>
      <c r="L665" s="16">
        <v>6028.0919999999996</v>
      </c>
      <c r="M665" s="16">
        <v>4451.7380000000003</v>
      </c>
      <c r="N665" s="16">
        <v>3984.1195000000002</v>
      </c>
      <c r="O665" s="16"/>
      <c r="P665" s="16"/>
      <c r="Q665" s="16">
        <f>SUM(Tabela1[[#This Row],[201805]:[201807]])</f>
        <v>14463.949500000001</v>
      </c>
      <c r="R665" s="16">
        <f>SUM(Tabela1[[#This Row],[201905]:[201906]])</f>
        <v>0</v>
      </c>
      <c r="S665" s="16">
        <v>100000</v>
      </c>
      <c r="T665" s="16">
        <f>Tabela1[[#This Row],[Total 2019]]-Tabela1[[#This Row],[Total 2018]]</f>
        <v>-14463.949500000001</v>
      </c>
      <c r="U665" s="40">
        <f>Tabela1[[#This Row],[Total 2019]]/Tabela1[[#This Row],[Meta]]</f>
        <v>0</v>
      </c>
      <c r="V665" s="17">
        <f>IFERROR(Tabela1[[#This Row],[Total 2019]]/Tabela1[[#This Row],[Total 2018]]-1,0)</f>
        <v>-1</v>
      </c>
      <c r="W66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65" s="48"/>
      <c r="Y665" s="19"/>
      <c r="Z665" s="68"/>
    </row>
    <row r="666" spans="3:26" x14ac:dyDescent="0.35">
      <c r="C666" s="11" t="s">
        <v>2704</v>
      </c>
      <c r="D666" s="12" t="s">
        <v>2700</v>
      </c>
      <c r="E666" s="12">
        <v>646</v>
      </c>
      <c r="F666" s="13" t="s">
        <v>2093</v>
      </c>
      <c r="G666" s="14">
        <v>3</v>
      </c>
      <c r="H666" s="14" t="s">
        <v>1370</v>
      </c>
      <c r="I666" s="13">
        <v>19</v>
      </c>
      <c r="J666" s="15" t="s">
        <v>1418</v>
      </c>
      <c r="K666" s="15" t="s">
        <v>2706</v>
      </c>
      <c r="L666" s="16">
        <v>16451.663</v>
      </c>
      <c r="M666" s="16">
        <v>8600.3880000000008</v>
      </c>
      <c r="N666" s="16"/>
      <c r="O666" s="16">
        <v>5512.7834999999995</v>
      </c>
      <c r="P666" s="16">
        <v>18048.964499999998</v>
      </c>
      <c r="Q666" s="16">
        <f>SUM(Tabela1[[#This Row],[201805]:[201807]])</f>
        <v>25052.050999999999</v>
      </c>
      <c r="R666" s="16">
        <f>SUM(Tabela1[[#This Row],[201905]:[201906]])</f>
        <v>23561.748</v>
      </c>
      <c r="S666" s="16">
        <v>100000</v>
      </c>
      <c r="T666" s="16">
        <f>Tabela1[[#This Row],[Total 2019]]-Tabela1[[#This Row],[Total 2018]]</f>
        <v>-1490.3029999999999</v>
      </c>
      <c r="U666" s="40">
        <f>Tabela1[[#This Row],[Total 2019]]/Tabela1[[#This Row],[Meta]]</f>
        <v>0.23561747999999999</v>
      </c>
      <c r="V666" s="17">
        <f>IFERROR(Tabela1[[#This Row],[Total 2019]]/Tabela1[[#This Row],[Total 2018]]-1,0)</f>
        <v>-5.9488263056785229E-2</v>
      </c>
      <c r="W66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666" s="48"/>
      <c r="Y666" s="19"/>
      <c r="Z666" s="68"/>
    </row>
    <row r="667" spans="3:26" x14ac:dyDescent="0.35">
      <c r="C667" s="11" t="s">
        <v>2704</v>
      </c>
      <c r="D667" s="12" t="s">
        <v>2698</v>
      </c>
      <c r="E667" s="12">
        <v>647</v>
      </c>
      <c r="F667" s="13" t="s">
        <v>2094</v>
      </c>
      <c r="G667" s="14">
        <v>1</v>
      </c>
      <c r="H667" s="14" t="s">
        <v>1370</v>
      </c>
      <c r="I667" s="13">
        <v>11</v>
      </c>
      <c r="J667" s="15" t="s">
        <v>1410</v>
      </c>
      <c r="K667" s="15" t="s">
        <v>2706</v>
      </c>
      <c r="L667" s="16">
        <v>979.69699999999989</v>
      </c>
      <c r="M667" s="16"/>
      <c r="N667" s="16"/>
      <c r="O667" s="16">
        <v>21301.147000000001</v>
      </c>
      <c r="P667" s="16"/>
      <c r="Q667" s="16">
        <f>SUM(Tabela1[[#This Row],[201805]:[201807]])</f>
        <v>979.69699999999989</v>
      </c>
      <c r="R667" s="16">
        <f>SUM(Tabela1[[#This Row],[201905]:[201906]])</f>
        <v>21301.147000000001</v>
      </c>
      <c r="S667" s="16">
        <v>100000</v>
      </c>
      <c r="T667" s="16">
        <f>Tabela1[[#This Row],[Total 2019]]-Tabela1[[#This Row],[Total 2018]]</f>
        <v>20321.45</v>
      </c>
      <c r="U667" s="40">
        <f>Tabela1[[#This Row],[Total 2019]]/Tabela1[[#This Row],[Meta]]</f>
        <v>0.21301147000000001</v>
      </c>
      <c r="V667" s="17">
        <f>IFERROR(Tabela1[[#This Row],[Total 2019]]/Tabela1[[#This Row],[Total 2018]]-1,0)</f>
        <v>20.742586738552841</v>
      </c>
      <c r="W66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667" s="48"/>
      <c r="Y667" s="19"/>
      <c r="Z667" s="68"/>
    </row>
    <row r="668" spans="3:26" x14ac:dyDescent="0.35">
      <c r="C668" s="11" t="s">
        <v>2702</v>
      </c>
      <c r="D668" s="12" t="s">
        <v>2698</v>
      </c>
      <c r="E668" s="12">
        <v>648</v>
      </c>
      <c r="F668" s="13" t="s">
        <v>2095</v>
      </c>
      <c r="G668" s="14">
        <v>3</v>
      </c>
      <c r="H668" s="14" t="s">
        <v>1370</v>
      </c>
      <c r="I668" s="13">
        <v>29</v>
      </c>
      <c r="J668" s="15" t="s">
        <v>1428</v>
      </c>
      <c r="K668" s="15" t="s">
        <v>2706</v>
      </c>
      <c r="L668" s="16">
        <v>3243.1479999999997</v>
      </c>
      <c r="M668" s="16">
        <v>1235.2755</v>
      </c>
      <c r="N668" s="16"/>
      <c r="O668" s="16"/>
      <c r="P668" s="16"/>
      <c r="Q668" s="16">
        <f>SUM(Tabela1[[#This Row],[201805]:[201807]])</f>
        <v>4478.4234999999999</v>
      </c>
      <c r="R668" s="16">
        <f>SUM(Tabela1[[#This Row],[201905]:[201906]])</f>
        <v>0</v>
      </c>
      <c r="S668" s="16">
        <v>100000</v>
      </c>
      <c r="T668" s="16">
        <f>Tabela1[[#This Row],[Total 2019]]-Tabela1[[#This Row],[Total 2018]]</f>
        <v>-4478.4234999999999</v>
      </c>
      <c r="U668" s="40">
        <f>Tabela1[[#This Row],[Total 2019]]/Tabela1[[#This Row],[Meta]]</f>
        <v>0</v>
      </c>
      <c r="V668" s="17">
        <f>IFERROR(Tabela1[[#This Row],[Total 2019]]/Tabela1[[#This Row],[Total 2018]]-1,0)</f>
        <v>-1</v>
      </c>
      <c r="W66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68" s="48"/>
      <c r="Y668" s="19"/>
      <c r="Z668" s="68"/>
    </row>
    <row r="669" spans="3:26" x14ac:dyDescent="0.35">
      <c r="C669" s="11" t="s">
        <v>2702</v>
      </c>
      <c r="D669" s="12" t="s">
        <v>2700</v>
      </c>
      <c r="E669" s="12">
        <v>649</v>
      </c>
      <c r="F669" s="13" t="s">
        <v>2096</v>
      </c>
      <c r="G669" s="14">
        <v>3</v>
      </c>
      <c r="H669" s="14" t="s">
        <v>1370</v>
      </c>
      <c r="I669" s="13">
        <v>3</v>
      </c>
      <c r="J669" s="15" t="s">
        <v>1402</v>
      </c>
      <c r="K669" s="15" t="s">
        <v>2706</v>
      </c>
      <c r="L669" s="16">
        <v>2353.587</v>
      </c>
      <c r="M669" s="16">
        <v>1341.723</v>
      </c>
      <c r="N669" s="16"/>
      <c r="O669" s="16">
        <v>5299.4514999999992</v>
      </c>
      <c r="P669" s="16"/>
      <c r="Q669" s="16">
        <f>SUM(Tabela1[[#This Row],[201805]:[201807]])</f>
        <v>3695.31</v>
      </c>
      <c r="R669" s="16">
        <f>SUM(Tabela1[[#This Row],[201905]:[201906]])</f>
        <v>5299.4514999999992</v>
      </c>
      <c r="S669" s="16">
        <v>100000</v>
      </c>
      <c r="T669" s="16">
        <f>Tabela1[[#This Row],[Total 2019]]-Tabela1[[#This Row],[Total 2018]]</f>
        <v>1604.1414999999993</v>
      </c>
      <c r="U669" s="40">
        <f>Tabela1[[#This Row],[Total 2019]]/Tabela1[[#This Row],[Meta]]</f>
        <v>5.2994514999999992E-2</v>
      </c>
      <c r="V669" s="17">
        <f>IFERROR(Tabela1[[#This Row],[Total 2019]]/Tabela1[[#This Row],[Total 2018]]-1,0)</f>
        <v>0.43410201038613794</v>
      </c>
      <c r="W66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669" s="48"/>
      <c r="Y669" s="19"/>
      <c r="Z669" s="68"/>
    </row>
    <row r="670" spans="3:26" x14ac:dyDescent="0.35">
      <c r="C670" s="11" t="s">
        <v>2702</v>
      </c>
      <c r="D670" s="12" t="s">
        <v>2700</v>
      </c>
      <c r="E670" s="12">
        <v>650</v>
      </c>
      <c r="F670" s="13" t="s">
        <v>2097</v>
      </c>
      <c r="G670" s="14">
        <v>3</v>
      </c>
      <c r="H670" s="14" t="s">
        <v>1372</v>
      </c>
      <c r="I670" s="13">
        <v>13</v>
      </c>
      <c r="J670" s="15" t="s">
        <v>1412</v>
      </c>
      <c r="K670" s="15" t="s">
        <v>2709</v>
      </c>
      <c r="L670" s="16">
        <v>1487.0730000000001</v>
      </c>
      <c r="M670" s="16">
        <v>400.50099999999998</v>
      </c>
      <c r="N670" s="16"/>
      <c r="O670" s="16"/>
      <c r="P670" s="16"/>
      <c r="Q670" s="16">
        <f>SUM(Tabela1[[#This Row],[201805]:[201807]])</f>
        <v>1887.5740000000001</v>
      </c>
      <c r="R670" s="16">
        <f>SUM(Tabela1[[#This Row],[201905]:[201906]])</f>
        <v>0</v>
      </c>
      <c r="S670" s="16">
        <v>100000</v>
      </c>
      <c r="T670" s="16">
        <f>Tabela1[[#This Row],[Total 2019]]-Tabela1[[#This Row],[Total 2018]]</f>
        <v>-1887.5740000000001</v>
      </c>
      <c r="U670" s="40">
        <f>Tabela1[[#This Row],[Total 2019]]/Tabela1[[#This Row],[Meta]]</f>
        <v>0</v>
      </c>
      <c r="V670" s="17">
        <f>IFERROR(Tabela1[[#This Row],[Total 2019]]/Tabela1[[#This Row],[Total 2018]]-1,0)</f>
        <v>-1</v>
      </c>
      <c r="W67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70" s="48"/>
      <c r="Y670" s="19"/>
      <c r="Z670" s="68"/>
    </row>
    <row r="671" spans="3:26" x14ac:dyDescent="0.35">
      <c r="C671" s="11" t="s">
        <v>2702</v>
      </c>
      <c r="D671" s="12" t="s">
        <v>2698</v>
      </c>
      <c r="E671" s="12">
        <v>651</v>
      </c>
      <c r="F671" s="13" t="s">
        <v>2098</v>
      </c>
      <c r="G671" s="14">
        <v>1</v>
      </c>
      <c r="H671" s="14" t="s">
        <v>1370</v>
      </c>
      <c r="I671" s="13">
        <v>29</v>
      </c>
      <c r="J671" s="15" t="s">
        <v>1428</v>
      </c>
      <c r="K671" s="15" t="s">
        <v>2706</v>
      </c>
      <c r="L671" s="16">
        <v>863.47399999999993</v>
      </c>
      <c r="M671" s="16">
        <v>803.87099999999987</v>
      </c>
      <c r="N671" s="16"/>
      <c r="O671" s="16"/>
      <c r="P671" s="16"/>
      <c r="Q671" s="16">
        <f>SUM(Tabela1[[#This Row],[201805]:[201807]])</f>
        <v>1667.3449999999998</v>
      </c>
      <c r="R671" s="16">
        <f>SUM(Tabela1[[#This Row],[201905]:[201906]])</f>
        <v>0</v>
      </c>
      <c r="S671" s="16">
        <v>100000</v>
      </c>
      <c r="T671" s="16">
        <f>Tabela1[[#This Row],[Total 2019]]-Tabela1[[#This Row],[Total 2018]]</f>
        <v>-1667.3449999999998</v>
      </c>
      <c r="U671" s="40">
        <f>Tabela1[[#This Row],[Total 2019]]/Tabela1[[#This Row],[Meta]]</f>
        <v>0</v>
      </c>
      <c r="V671" s="17">
        <f>IFERROR(Tabela1[[#This Row],[Total 2019]]/Tabela1[[#This Row],[Total 2018]]-1,0)</f>
        <v>-1</v>
      </c>
      <c r="W67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71" s="48"/>
      <c r="Y671" s="19"/>
      <c r="Z671" s="68"/>
    </row>
    <row r="672" spans="3:26" x14ac:dyDescent="0.35">
      <c r="C672" s="11" t="s">
        <v>2702</v>
      </c>
      <c r="D672" s="12" t="s">
        <v>2699</v>
      </c>
      <c r="E672" s="12">
        <v>652</v>
      </c>
      <c r="F672" s="13" t="s">
        <v>2099</v>
      </c>
      <c r="G672" s="14">
        <v>3</v>
      </c>
      <c r="H672" s="14" t="s">
        <v>1370</v>
      </c>
      <c r="I672" s="13">
        <v>1</v>
      </c>
      <c r="J672" s="15" t="s">
        <v>1400</v>
      </c>
      <c r="K672" s="15" t="s">
        <v>2706</v>
      </c>
      <c r="L672" s="16">
        <v>1283.5735</v>
      </c>
      <c r="M672" s="16">
        <v>338.40899999999999</v>
      </c>
      <c r="N672" s="16"/>
      <c r="O672" s="16">
        <v>1948.8679999999999</v>
      </c>
      <c r="P672" s="16">
        <v>2313.9054999999998</v>
      </c>
      <c r="Q672" s="16">
        <f>SUM(Tabela1[[#This Row],[201805]:[201807]])</f>
        <v>1621.9825000000001</v>
      </c>
      <c r="R672" s="16">
        <f>SUM(Tabela1[[#This Row],[201905]:[201906]])</f>
        <v>4262.7734999999993</v>
      </c>
      <c r="S672" s="16">
        <v>100000</v>
      </c>
      <c r="T672" s="16">
        <f>Tabela1[[#This Row],[Total 2019]]-Tabela1[[#This Row],[Total 2018]]</f>
        <v>2640.7909999999993</v>
      </c>
      <c r="U672" s="40">
        <f>Tabela1[[#This Row],[Total 2019]]/Tabela1[[#This Row],[Meta]]</f>
        <v>4.2627734999999993E-2</v>
      </c>
      <c r="V672" s="17">
        <f>IFERROR(Tabela1[[#This Row],[Total 2019]]/Tabela1[[#This Row],[Total 2018]]-1,0)</f>
        <v>1.6281254575804605</v>
      </c>
      <c r="W67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672" s="48"/>
      <c r="Y672" s="19"/>
      <c r="Z672" s="68"/>
    </row>
    <row r="673" spans="3:26" x14ac:dyDescent="0.35">
      <c r="C673" s="11" t="s">
        <v>2703</v>
      </c>
      <c r="D673" s="12" t="s">
        <v>2698</v>
      </c>
      <c r="E673" s="12">
        <v>653</v>
      </c>
      <c r="F673" s="13" t="s">
        <v>2100</v>
      </c>
      <c r="G673" s="14">
        <v>1</v>
      </c>
      <c r="H673" s="14" t="s">
        <v>1372</v>
      </c>
      <c r="I673" s="13">
        <v>21</v>
      </c>
      <c r="J673" s="15" t="s">
        <v>1420</v>
      </c>
      <c r="K673" s="15" t="s">
        <v>2708</v>
      </c>
      <c r="L673" s="16"/>
      <c r="M673" s="16">
        <v>5564.0169999999998</v>
      </c>
      <c r="N673" s="16">
        <v>2451.152</v>
      </c>
      <c r="O673" s="16"/>
      <c r="P673" s="16"/>
      <c r="Q673" s="16">
        <f>SUM(Tabela1[[#This Row],[201805]:[201807]])</f>
        <v>8015.1689999999999</v>
      </c>
      <c r="R673" s="16">
        <f>SUM(Tabela1[[#This Row],[201905]:[201906]])</f>
        <v>0</v>
      </c>
      <c r="S673" s="16">
        <v>100000</v>
      </c>
      <c r="T673" s="16">
        <f>Tabela1[[#This Row],[Total 2019]]-Tabela1[[#This Row],[Total 2018]]</f>
        <v>-8015.1689999999999</v>
      </c>
      <c r="U673" s="40">
        <f>Tabela1[[#This Row],[Total 2019]]/Tabela1[[#This Row],[Meta]]</f>
        <v>0</v>
      </c>
      <c r="V673" s="17">
        <f>IFERROR(Tabela1[[#This Row],[Total 2019]]/Tabela1[[#This Row],[Total 2018]]-1,0)</f>
        <v>-1</v>
      </c>
      <c r="W67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73" s="48"/>
      <c r="Y673" s="19"/>
      <c r="Z673" s="68"/>
    </row>
    <row r="674" spans="3:26" x14ac:dyDescent="0.35">
      <c r="C674" s="11" t="s">
        <v>2703</v>
      </c>
      <c r="D674" s="12" t="s">
        <v>2700</v>
      </c>
      <c r="E674" s="12">
        <v>654</v>
      </c>
      <c r="F674" s="13" t="s">
        <v>2101</v>
      </c>
      <c r="G674" s="14">
        <v>2</v>
      </c>
      <c r="H674" s="14" t="s">
        <v>1371</v>
      </c>
      <c r="I674" s="13">
        <v>9</v>
      </c>
      <c r="J674" s="15" t="s">
        <v>1408</v>
      </c>
      <c r="K674" s="15" t="s">
        <v>2707</v>
      </c>
      <c r="L674" s="16">
        <v>3962.1365000000001</v>
      </c>
      <c r="M674" s="16">
        <v>3882.5075000000002</v>
      </c>
      <c r="N674" s="16"/>
      <c r="O674" s="16">
        <v>2553.2199999999998</v>
      </c>
      <c r="P674" s="16">
        <v>8948.1449999999986</v>
      </c>
      <c r="Q674" s="16">
        <f>SUM(Tabela1[[#This Row],[201805]:[201807]])</f>
        <v>7844.6440000000002</v>
      </c>
      <c r="R674" s="16">
        <f>SUM(Tabela1[[#This Row],[201905]:[201906]])</f>
        <v>11501.364999999998</v>
      </c>
      <c r="S674" s="16">
        <v>100000</v>
      </c>
      <c r="T674" s="16">
        <f>Tabela1[[#This Row],[Total 2019]]-Tabela1[[#This Row],[Total 2018]]</f>
        <v>3656.7209999999977</v>
      </c>
      <c r="U674" s="40">
        <f>Tabela1[[#This Row],[Total 2019]]/Tabela1[[#This Row],[Meta]]</f>
        <v>0.11501364999999998</v>
      </c>
      <c r="V674" s="17">
        <f>IFERROR(Tabela1[[#This Row],[Total 2019]]/Tabela1[[#This Row],[Total 2018]]-1,0)</f>
        <v>0.46614237688797577</v>
      </c>
      <c r="W67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674" s="48"/>
      <c r="Y674" s="19"/>
      <c r="Z674" s="68"/>
    </row>
    <row r="675" spans="3:26" x14ac:dyDescent="0.35">
      <c r="C675" s="11" t="s">
        <v>2702</v>
      </c>
      <c r="D675" s="12" t="s">
        <v>2700</v>
      </c>
      <c r="E675" s="12">
        <v>655</v>
      </c>
      <c r="F675" s="13" t="s">
        <v>2102</v>
      </c>
      <c r="G675" s="14">
        <v>3</v>
      </c>
      <c r="H675" s="14" t="s">
        <v>1372</v>
      </c>
      <c r="I675" s="13">
        <v>27</v>
      </c>
      <c r="J675" s="15" t="s">
        <v>1426</v>
      </c>
      <c r="K675" s="15" t="s">
        <v>2708</v>
      </c>
      <c r="L675" s="16">
        <v>2401.6284999999998</v>
      </c>
      <c r="M675" s="16">
        <v>2600.6724999999997</v>
      </c>
      <c r="N675" s="16">
        <v>1272.962</v>
      </c>
      <c r="O675" s="16"/>
      <c r="P675" s="16"/>
      <c r="Q675" s="16">
        <f>SUM(Tabela1[[#This Row],[201805]:[201807]])</f>
        <v>6275.262999999999</v>
      </c>
      <c r="R675" s="16">
        <f>SUM(Tabela1[[#This Row],[201905]:[201906]])</f>
        <v>0</v>
      </c>
      <c r="S675" s="16">
        <v>100000</v>
      </c>
      <c r="T675" s="16">
        <f>Tabela1[[#This Row],[Total 2019]]-Tabela1[[#This Row],[Total 2018]]</f>
        <v>-6275.262999999999</v>
      </c>
      <c r="U675" s="40">
        <f>Tabela1[[#This Row],[Total 2019]]/Tabela1[[#This Row],[Meta]]</f>
        <v>0</v>
      </c>
      <c r="V675" s="17">
        <f>IFERROR(Tabela1[[#This Row],[Total 2019]]/Tabela1[[#This Row],[Total 2018]]-1,0)</f>
        <v>-1</v>
      </c>
      <c r="W67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75" s="48"/>
      <c r="Y675" s="19"/>
      <c r="Z675" s="68"/>
    </row>
    <row r="676" spans="3:26" x14ac:dyDescent="0.35">
      <c r="C676" s="11" t="s">
        <v>2702</v>
      </c>
      <c r="D676" s="12" t="s">
        <v>2699</v>
      </c>
      <c r="E676" s="12">
        <v>656</v>
      </c>
      <c r="F676" s="13" t="s">
        <v>2103</v>
      </c>
      <c r="G676" s="14">
        <v>1</v>
      </c>
      <c r="H676" s="14" t="s">
        <v>1370</v>
      </c>
      <c r="I676" s="13">
        <v>15</v>
      </c>
      <c r="J676" s="15" t="s">
        <v>1414</v>
      </c>
      <c r="K676" s="15" t="s">
        <v>2706</v>
      </c>
      <c r="L676" s="16">
        <v>4812.7285000000002</v>
      </c>
      <c r="M676" s="16">
        <v>7470.9329999999991</v>
      </c>
      <c r="N676" s="16">
        <v>6033.7920000000004</v>
      </c>
      <c r="O676" s="16"/>
      <c r="P676" s="16"/>
      <c r="Q676" s="16">
        <f>SUM(Tabela1[[#This Row],[201805]:[201807]])</f>
        <v>18317.4535</v>
      </c>
      <c r="R676" s="16">
        <f>SUM(Tabela1[[#This Row],[201905]:[201906]])</f>
        <v>0</v>
      </c>
      <c r="S676" s="16">
        <v>100000</v>
      </c>
      <c r="T676" s="16">
        <f>Tabela1[[#This Row],[Total 2019]]-Tabela1[[#This Row],[Total 2018]]</f>
        <v>-18317.4535</v>
      </c>
      <c r="U676" s="40">
        <f>Tabela1[[#This Row],[Total 2019]]/Tabela1[[#This Row],[Meta]]</f>
        <v>0</v>
      </c>
      <c r="V676" s="17">
        <f>IFERROR(Tabela1[[#This Row],[Total 2019]]/Tabela1[[#This Row],[Total 2018]]-1,0)</f>
        <v>-1</v>
      </c>
      <c r="W67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76" s="48"/>
      <c r="Y676" s="19"/>
      <c r="Z676" s="68"/>
    </row>
    <row r="677" spans="3:26" x14ac:dyDescent="0.35">
      <c r="C677" s="11" t="s">
        <v>2704</v>
      </c>
      <c r="D677" s="12" t="s">
        <v>2699</v>
      </c>
      <c r="E677" s="12">
        <v>657</v>
      </c>
      <c r="F677" s="13" t="s">
        <v>2104</v>
      </c>
      <c r="G677" s="14">
        <v>2</v>
      </c>
      <c r="H677" s="14" t="s">
        <v>1372</v>
      </c>
      <c r="I677" s="13">
        <v>17</v>
      </c>
      <c r="J677" s="15" t="s">
        <v>1416</v>
      </c>
      <c r="K677" s="15" t="s">
        <v>2708</v>
      </c>
      <c r="L677" s="16"/>
      <c r="M677" s="16"/>
      <c r="N677" s="16"/>
      <c r="O677" s="16">
        <v>4653.7365</v>
      </c>
      <c r="P677" s="16">
        <v>2828.7674999999999</v>
      </c>
      <c r="Q677" s="16">
        <f>SUM(Tabela1[[#This Row],[201805]:[201807]])</f>
        <v>0</v>
      </c>
      <c r="R677" s="16">
        <f>SUM(Tabela1[[#This Row],[201905]:[201906]])</f>
        <v>7482.5039999999999</v>
      </c>
      <c r="S677" s="16">
        <v>100000</v>
      </c>
      <c r="T677" s="16">
        <f>Tabela1[[#This Row],[Total 2019]]-Tabela1[[#This Row],[Total 2018]]</f>
        <v>7482.5039999999999</v>
      </c>
      <c r="U677" s="40">
        <f>Tabela1[[#This Row],[Total 2019]]/Tabela1[[#This Row],[Meta]]</f>
        <v>7.4825039999999995E-2</v>
      </c>
      <c r="V677" s="17">
        <f>IFERROR(Tabela1[[#This Row],[Total 2019]]/Tabela1[[#This Row],[Total 2018]]-1,0)</f>
        <v>0</v>
      </c>
      <c r="W67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677" s="48"/>
      <c r="Y677" s="19"/>
      <c r="Z677" s="68"/>
    </row>
    <row r="678" spans="3:26" x14ac:dyDescent="0.35">
      <c r="C678" s="11" t="s">
        <v>2704</v>
      </c>
      <c r="D678" s="12" t="s">
        <v>2698</v>
      </c>
      <c r="E678" s="12">
        <v>658</v>
      </c>
      <c r="F678" s="13" t="s">
        <v>2105</v>
      </c>
      <c r="G678" s="14">
        <v>2</v>
      </c>
      <c r="H678" s="14" t="s">
        <v>1372</v>
      </c>
      <c r="I678" s="13">
        <v>25</v>
      </c>
      <c r="J678" s="15" t="s">
        <v>1424</v>
      </c>
      <c r="K678" s="15" t="s">
        <v>2708</v>
      </c>
      <c r="L678" s="16">
        <v>812.00299999999993</v>
      </c>
      <c r="M678" s="16">
        <v>1599.1825000000001</v>
      </c>
      <c r="N678" s="16">
        <v>799.71</v>
      </c>
      <c r="O678" s="16"/>
      <c r="P678" s="16"/>
      <c r="Q678" s="16">
        <f>SUM(Tabela1[[#This Row],[201805]:[201807]])</f>
        <v>3210.8955000000001</v>
      </c>
      <c r="R678" s="16">
        <f>SUM(Tabela1[[#This Row],[201905]:[201906]])</f>
        <v>0</v>
      </c>
      <c r="S678" s="16">
        <v>100000</v>
      </c>
      <c r="T678" s="16">
        <f>Tabela1[[#This Row],[Total 2019]]-Tabela1[[#This Row],[Total 2018]]</f>
        <v>-3210.8955000000001</v>
      </c>
      <c r="U678" s="40">
        <f>Tabela1[[#This Row],[Total 2019]]/Tabela1[[#This Row],[Meta]]</f>
        <v>0</v>
      </c>
      <c r="V678" s="17">
        <f>IFERROR(Tabela1[[#This Row],[Total 2019]]/Tabela1[[#This Row],[Total 2018]]-1,0)</f>
        <v>-1</v>
      </c>
      <c r="W67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78" s="48"/>
      <c r="Y678" s="19"/>
      <c r="Z678" s="68"/>
    </row>
    <row r="679" spans="3:26" x14ac:dyDescent="0.35">
      <c r="C679" s="11" t="s">
        <v>2703</v>
      </c>
      <c r="D679" s="12" t="s">
        <v>2700</v>
      </c>
      <c r="E679" s="12">
        <v>659</v>
      </c>
      <c r="F679" s="13" t="s">
        <v>2106</v>
      </c>
      <c r="G679" s="14">
        <v>3</v>
      </c>
      <c r="H679" s="14" t="s">
        <v>1372</v>
      </c>
      <c r="I679" s="13">
        <v>22</v>
      </c>
      <c r="J679" s="15" t="s">
        <v>1421</v>
      </c>
      <c r="K679" s="15" t="s">
        <v>2708</v>
      </c>
      <c r="L679" s="16"/>
      <c r="M679" s="16">
        <v>5806.5044999999991</v>
      </c>
      <c r="N679" s="16"/>
      <c r="O679" s="16">
        <v>4446.7125000000005</v>
      </c>
      <c r="P679" s="16">
        <v>2846.2190000000001</v>
      </c>
      <c r="Q679" s="16">
        <f>SUM(Tabela1[[#This Row],[201805]:[201807]])</f>
        <v>5806.5044999999991</v>
      </c>
      <c r="R679" s="16">
        <f>SUM(Tabela1[[#This Row],[201905]:[201906]])</f>
        <v>7292.9315000000006</v>
      </c>
      <c r="S679" s="16">
        <v>100000</v>
      </c>
      <c r="T679" s="16">
        <f>Tabela1[[#This Row],[Total 2019]]-Tabela1[[#This Row],[Total 2018]]</f>
        <v>1486.4270000000015</v>
      </c>
      <c r="U679" s="40">
        <f>Tabela1[[#This Row],[Total 2019]]/Tabela1[[#This Row],[Meta]]</f>
        <v>7.2929315000000008E-2</v>
      </c>
      <c r="V679" s="17">
        <f>IFERROR(Tabela1[[#This Row],[Total 2019]]/Tabela1[[#This Row],[Total 2018]]-1,0)</f>
        <v>0.25599342943762493</v>
      </c>
      <c r="W67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679" s="48"/>
      <c r="Y679" s="19"/>
      <c r="Z679" s="68"/>
    </row>
    <row r="680" spans="3:26" x14ac:dyDescent="0.35">
      <c r="C680" s="11" t="s">
        <v>2703</v>
      </c>
      <c r="D680" s="12" t="s">
        <v>2698</v>
      </c>
      <c r="E680" s="12">
        <v>660</v>
      </c>
      <c r="F680" s="13" t="s">
        <v>2107</v>
      </c>
      <c r="G680" s="14">
        <v>3</v>
      </c>
      <c r="H680" s="14" t="s">
        <v>1371</v>
      </c>
      <c r="I680" s="13">
        <v>9</v>
      </c>
      <c r="J680" s="15" t="s">
        <v>1408</v>
      </c>
      <c r="K680" s="15" t="s">
        <v>2707</v>
      </c>
      <c r="L680" s="16"/>
      <c r="M680" s="16">
        <v>2506.0524999999998</v>
      </c>
      <c r="N680" s="16"/>
      <c r="O680" s="16"/>
      <c r="P680" s="16"/>
      <c r="Q680" s="16">
        <f>SUM(Tabela1[[#This Row],[201805]:[201807]])</f>
        <v>2506.0524999999998</v>
      </c>
      <c r="R680" s="16">
        <f>SUM(Tabela1[[#This Row],[201905]:[201906]])</f>
        <v>0</v>
      </c>
      <c r="S680" s="16">
        <v>100000</v>
      </c>
      <c r="T680" s="16">
        <f>Tabela1[[#This Row],[Total 2019]]-Tabela1[[#This Row],[Total 2018]]</f>
        <v>-2506.0524999999998</v>
      </c>
      <c r="U680" s="40">
        <f>Tabela1[[#This Row],[Total 2019]]/Tabela1[[#This Row],[Meta]]</f>
        <v>0</v>
      </c>
      <c r="V680" s="17">
        <f>IFERROR(Tabela1[[#This Row],[Total 2019]]/Tabela1[[#This Row],[Total 2018]]-1,0)</f>
        <v>-1</v>
      </c>
      <c r="W68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80" s="48"/>
      <c r="Y680" s="19"/>
      <c r="Z680" s="68"/>
    </row>
    <row r="681" spans="3:26" x14ac:dyDescent="0.35">
      <c r="C681" s="11" t="s">
        <v>2703</v>
      </c>
      <c r="D681" s="12" t="s">
        <v>2698</v>
      </c>
      <c r="E681" s="12">
        <v>661</v>
      </c>
      <c r="F681" s="13" t="s">
        <v>2108</v>
      </c>
      <c r="G681" s="14">
        <v>3</v>
      </c>
      <c r="H681" s="14" t="s">
        <v>1372</v>
      </c>
      <c r="I681" s="13">
        <v>18</v>
      </c>
      <c r="J681" s="15" t="s">
        <v>1417</v>
      </c>
      <c r="K681" s="15" t="s">
        <v>2708</v>
      </c>
      <c r="L681" s="16">
        <v>2651.1460000000002</v>
      </c>
      <c r="M681" s="16">
        <v>4654.2970000000005</v>
      </c>
      <c r="N681" s="16"/>
      <c r="O681" s="16"/>
      <c r="P681" s="16"/>
      <c r="Q681" s="16">
        <f>SUM(Tabela1[[#This Row],[201805]:[201807]])</f>
        <v>7305.4430000000011</v>
      </c>
      <c r="R681" s="16">
        <f>SUM(Tabela1[[#This Row],[201905]:[201906]])</f>
        <v>0</v>
      </c>
      <c r="S681" s="16">
        <v>100000</v>
      </c>
      <c r="T681" s="16">
        <f>Tabela1[[#This Row],[Total 2019]]-Tabela1[[#This Row],[Total 2018]]</f>
        <v>-7305.4430000000011</v>
      </c>
      <c r="U681" s="40">
        <f>Tabela1[[#This Row],[Total 2019]]/Tabela1[[#This Row],[Meta]]</f>
        <v>0</v>
      </c>
      <c r="V681" s="17">
        <f>IFERROR(Tabela1[[#This Row],[Total 2019]]/Tabela1[[#This Row],[Total 2018]]-1,0)</f>
        <v>-1</v>
      </c>
      <c r="W68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81" s="48"/>
      <c r="Y681" s="19"/>
      <c r="Z681" s="68"/>
    </row>
    <row r="682" spans="3:26" x14ac:dyDescent="0.35">
      <c r="C682" s="11" t="s">
        <v>2704</v>
      </c>
      <c r="D682" s="12" t="s">
        <v>2699</v>
      </c>
      <c r="E682" s="12">
        <v>662</v>
      </c>
      <c r="F682" s="13" t="s">
        <v>2109</v>
      </c>
      <c r="G682" s="14">
        <v>3</v>
      </c>
      <c r="H682" s="14" t="s">
        <v>1371</v>
      </c>
      <c r="I682" s="13">
        <v>9</v>
      </c>
      <c r="J682" s="15" t="s">
        <v>1408</v>
      </c>
      <c r="K682" s="15" t="s">
        <v>2707</v>
      </c>
      <c r="L682" s="16">
        <v>1225.6329999999998</v>
      </c>
      <c r="M682" s="16">
        <v>2588.7214999999997</v>
      </c>
      <c r="N682" s="16"/>
      <c r="O682" s="16"/>
      <c r="P682" s="16"/>
      <c r="Q682" s="16">
        <f>SUM(Tabela1[[#This Row],[201805]:[201807]])</f>
        <v>3814.3544999999995</v>
      </c>
      <c r="R682" s="16">
        <f>SUM(Tabela1[[#This Row],[201905]:[201906]])</f>
        <v>0</v>
      </c>
      <c r="S682" s="16">
        <v>100000</v>
      </c>
      <c r="T682" s="16">
        <f>Tabela1[[#This Row],[Total 2019]]-Tabela1[[#This Row],[Total 2018]]</f>
        <v>-3814.3544999999995</v>
      </c>
      <c r="U682" s="40">
        <f>Tabela1[[#This Row],[Total 2019]]/Tabela1[[#This Row],[Meta]]</f>
        <v>0</v>
      </c>
      <c r="V682" s="17">
        <f>IFERROR(Tabela1[[#This Row],[Total 2019]]/Tabela1[[#This Row],[Total 2018]]-1,0)</f>
        <v>-1</v>
      </c>
      <c r="W68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82" s="48"/>
      <c r="Y682" s="19"/>
      <c r="Z682" s="68"/>
    </row>
    <row r="683" spans="3:26" x14ac:dyDescent="0.35">
      <c r="C683" s="11" t="s">
        <v>2702</v>
      </c>
      <c r="D683" s="12" t="s">
        <v>2700</v>
      </c>
      <c r="E683" s="12">
        <v>663</v>
      </c>
      <c r="F683" s="13" t="s">
        <v>2110</v>
      </c>
      <c r="G683" s="14">
        <v>2</v>
      </c>
      <c r="H683" s="14" t="s">
        <v>1370</v>
      </c>
      <c r="I683" s="13">
        <v>15</v>
      </c>
      <c r="J683" s="15" t="s">
        <v>1414</v>
      </c>
      <c r="K683" s="15" t="s">
        <v>2706</v>
      </c>
      <c r="L683" s="16">
        <v>5853.3869999999988</v>
      </c>
      <c r="M683" s="16">
        <v>2557.2384999999999</v>
      </c>
      <c r="N683" s="16"/>
      <c r="O683" s="16"/>
      <c r="P683" s="16"/>
      <c r="Q683" s="16">
        <f>SUM(Tabela1[[#This Row],[201805]:[201807]])</f>
        <v>8410.6254999999983</v>
      </c>
      <c r="R683" s="16">
        <f>SUM(Tabela1[[#This Row],[201905]:[201906]])</f>
        <v>0</v>
      </c>
      <c r="S683" s="16">
        <v>100000</v>
      </c>
      <c r="T683" s="16">
        <f>Tabela1[[#This Row],[Total 2019]]-Tabela1[[#This Row],[Total 2018]]</f>
        <v>-8410.6254999999983</v>
      </c>
      <c r="U683" s="40">
        <f>Tabela1[[#This Row],[Total 2019]]/Tabela1[[#This Row],[Meta]]</f>
        <v>0</v>
      </c>
      <c r="V683" s="17">
        <f>IFERROR(Tabela1[[#This Row],[Total 2019]]/Tabela1[[#This Row],[Total 2018]]-1,0)</f>
        <v>-1</v>
      </c>
      <c r="W68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83" s="48"/>
      <c r="Y683" s="19"/>
      <c r="Z683" s="68"/>
    </row>
    <row r="684" spans="3:26" x14ac:dyDescent="0.35">
      <c r="C684" s="11" t="s">
        <v>2702</v>
      </c>
      <c r="D684" s="12" t="s">
        <v>2700</v>
      </c>
      <c r="E684" s="12">
        <v>664</v>
      </c>
      <c r="F684" s="13" t="s">
        <v>2111</v>
      </c>
      <c r="G684" s="14">
        <v>3</v>
      </c>
      <c r="H684" s="14" t="s">
        <v>1371</v>
      </c>
      <c r="I684" s="13">
        <v>26</v>
      </c>
      <c r="J684" s="15" t="s">
        <v>1425</v>
      </c>
      <c r="K684" s="15" t="s">
        <v>2707</v>
      </c>
      <c r="L684" s="16">
        <v>5147.0334999999995</v>
      </c>
      <c r="M684" s="16">
        <v>3812.692</v>
      </c>
      <c r="N684" s="16"/>
      <c r="O684" s="16"/>
      <c r="P684" s="16"/>
      <c r="Q684" s="16">
        <f>SUM(Tabela1[[#This Row],[201805]:[201807]])</f>
        <v>8959.7255000000005</v>
      </c>
      <c r="R684" s="16">
        <f>SUM(Tabela1[[#This Row],[201905]:[201906]])</f>
        <v>0</v>
      </c>
      <c r="S684" s="16">
        <v>100000</v>
      </c>
      <c r="T684" s="16">
        <f>Tabela1[[#This Row],[Total 2019]]-Tabela1[[#This Row],[Total 2018]]</f>
        <v>-8959.7255000000005</v>
      </c>
      <c r="U684" s="40">
        <f>Tabela1[[#This Row],[Total 2019]]/Tabela1[[#This Row],[Meta]]</f>
        <v>0</v>
      </c>
      <c r="V684" s="17">
        <f>IFERROR(Tabela1[[#This Row],[Total 2019]]/Tabela1[[#This Row],[Total 2018]]-1,0)</f>
        <v>-1</v>
      </c>
      <c r="W68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84" s="48"/>
      <c r="Y684" s="19"/>
      <c r="Z684" s="68"/>
    </row>
    <row r="685" spans="3:26" x14ac:dyDescent="0.35">
      <c r="C685" s="11" t="s">
        <v>2704</v>
      </c>
      <c r="D685" s="12" t="s">
        <v>2698</v>
      </c>
      <c r="E685" s="12">
        <v>665</v>
      </c>
      <c r="F685" s="13" t="s">
        <v>2112</v>
      </c>
      <c r="G685" s="14">
        <v>1</v>
      </c>
      <c r="H685" s="14" t="s">
        <v>1373</v>
      </c>
      <c r="I685" s="13">
        <v>28</v>
      </c>
      <c r="J685" s="15" t="s">
        <v>1427</v>
      </c>
      <c r="K685" s="15" t="s">
        <v>2710</v>
      </c>
      <c r="L685" s="16">
        <v>15666.497499999999</v>
      </c>
      <c r="M685" s="16">
        <v>7029.8384999999998</v>
      </c>
      <c r="N685" s="16"/>
      <c r="O685" s="16">
        <v>3821.2420000000002</v>
      </c>
      <c r="P685" s="16">
        <v>16126.772499999997</v>
      </c>
      <c r="Q685" s="16">
        <f>SUM(Tabela1[[#This Row],[201805]:[201807]])</f>
        <v>22696.335999999999</v>
      </c>
      <c r="R685" s="16">
        <f>SUM(Tabela1[[#This Row],[201905]:[201906]])</f>
        <v>19948.014499999997</v>
      </c>
      <c r="S685" s="16">
        <v>100000</v>
      </c>
      <c r="T685" s="16">
        <f>Tabela1[[#This Row],[Total 2019]]-Tabela1[[#This Row],[Total 2018]]</f>
        <v>-2748.3215000000018</v>
      </c>
      <c r="U685" s="40">
        <f>Tabela1[[#This Row],[Total 2019]]/Tabela1[[#This Row],[Meta]]</f>
        <v>0.19948014499999997</v>
      </c>
      <c r="V685" s="17">
        <f>IFERROR(Tabela1[[#This Row],[Total 2019]]/Tabela1[[#This Row],[Total 2018]]-1,0)</f>
        <v>-0.12109097697531457</v>
      </c>
      <c r="W68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685" s="48"/>
      <c r="Y685" s="19"/>
      <c r="Z685" s="68"/>
    </row>
    <row r="686" spans="3:26" x14ac:dyDescent="0.35">
      <c r="C686" s="11" t="s">
        <v>2702</v>
      </c>
      <c r="D686" s="12" t="s">
        <v>2700</v>
      </c>
      <c r="E686" s="12">
        <v>666</v>
      </c>
      <c r="F686" s="13" t="s">
        <v>2113</v>
      </c>
      <c r="G686" s="14">
        <v>2</v>
      </c>
      <c r="H686" s="14" t="s">
        <v>1373</v>
      </c>
      <c r="I686" s="13">
        <v>28</v>
      </c>
      <c r="J686" s="15" t="s">
        <v>1427</v>
      </c>
      <c r="K686" s="15" t="s">
        <v>2710</v>
      </c>
      <c r="L686" s="16">
        <v>941.3264999999999</v>
      </c>
      <c r="M686" s="16">
        <v>4549.2174999999997</v>
      </c>
      <c r="N686" s="16"/>
      <c r="O686" s="16"/>
      <c r="P686" s="16"/>
      <c r="Q686" s="16">
        <f>SUM(Tabela1[[#This Row],[201805]:[201807]])</f>
        <v>5490.5439999999999</v>
      </c>
      <c r="R686" s="16">
        <f>SUM(Tabela1[[#This Row],[201905]:[201906]])</f>
        <v>0</v>
      </c>
      <c r="S686" s="16">
        <v>100000</v>
      </c>
      <c r="T686" s="16">
        <f>Tabela1[[#This Row],[Total 2019]]-Tabela1[[#This Row],[Total 2018]]</f>
        <v>-5490.5439999999999</v>
      </c>
      <c r="U686" s="40">
        <f>Tabela1[[#This Row],[Total 2019]]/Tabela1[[#This Row],[Meta]]</f>
        <v>0</v>
      </c>
      <c r="V686" s="17">
        <f>IFERROR(Tabela1[[#This Row],[Total 2019]]/Tabela1[[#This Row],[Total 2018]]-1,0)</f>
        <v>-1</v>
      </c>
      <c r="W68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86" s="48"/>
      <c r="Y686" s="19"/>
      <c r="Z686" s="68"/>
    </row>
    <row r="687" spans="3:26" x14ac:dyDescent="0.35">
      <c r="C687" s="11" t="s">
        <v>2704</v>
      </c>
      <c r="D687" s="12" t="s">
        <v>2700</v>
      </c>
      <c r="E687" s="12">
        <v>667</v>
      </c>
      <c r="F687" s="13" t="s">
        <v>2114</v>
      </c>
      <c r="G687" s="14">
        <v>1</v>
      </c>
      <c r="H687" s="14" t="s">
        <v>1372</v>
      </c>
      <c r="I687" s="13">
        <v>21</v>
      </c>
      <c r="J687" s="15" t="s">
        <v>1420</v>
      </c>
      <c r="K687" s="15" t="s">
        <v>2708</v>
      </c>
      <c r="L687" s="16">
        <v>3384.0330000000004</v>
      </c>
      <c r="M687" s="16">
        <v>5327.2105000000001</v>
      </c>
      <c r="N687" s="16">
        <v>4556.58</v>
      </c>
      <c r="O687" s="16"/>
      <c r="P687" s="16"/>
      <c r="Q687" s="16">
        <f>SUM(Tabela1[[#This Row],[201805]:[201807]])</f>
        <v>13267.8235</v>
      </c>
      <c r="R687" s="16">
        <f>SUM(Tabela1[[#This Row],[201905]:[201906]])</f>
        <v>0</v>
      </c>
      <c r="S687" s="16">
        <v>100000</v>
      </c>
      <c r="T687" s="16">
        <f>Tabela1[[#This Row],[Total 2019]]-Tabela1[[#This Row],[Total 2018]]</f>
        <v>-13267.8235</v>
      </c>
      <c r="U687" s="40">
        <f>Tabela1[[#This Row],[Total 2019]]/Tabela1[[#This Row],[Meta]]</f>
        <v>0</v>
      </c>
      <c r="V687" s="17">
        <f>IFERROR(Tabela1[[#This Row],[Total 2019]]/Tabela1[[#This Row],[Total 2018]]-1,0)</f>
        <v>-1</v>
      </c>
      <c r="W68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87" s="48"/>
      <c r="Y687" s="19"/>
      <c r="Z687" s="68"/>
    </row>
    <row r="688" spans="3:26" x14ac:dyDescent="0.35">
      <c r="C688" s="11" t="s">
        <v>2703</v>
      </c>
      <c r="D688" s="12" t="s">
        <v>2700</v>
      </c>
      <c r="E688" s="12">
        <v>668</v>
      </c>
      <c r="F688" s="13" t="s">
        <v>2115</v>
      </c>
      <c r="G688" s="14">
        <v>1</v>
      </c>
      <c r="H688" s="14" t="s">
        <v>1372</v>
      </c>
      <c r="I688" s="13">
        <v>20</v>
      </c>
      <c r="J688" s="15" t="s">
        <v>1419</v>
      </c>
      <c r="K688" s="15" t="s">
        <v>2708</v>
      </c>
      <c r="L688" s="16"/>
      <c r="M688" s="16">
        <v>3872.3805000000002</v>
      </c>
      <c r="N688" s="16">
        <v>1451.9324999999999</v>
      </c>
      <c r="O688" s="16">
        <v>5713.9365000000007</v>
      </c>
      <c r="P688" s="16"/>
      <c r="Q688" s="16">
        <f>SUM(Tabela1[[#This Row],[201805]:[201807]])</f>
        <v>5324.3130000000001</v>
      </c>
      <c r="R688" s="16">
        <f>SUM(Tabela1[[#This Row],[201905]:[201906]])</f>
        <v>5713.9365000000007</v>
      </c>
      <c r="S688" s="16">
        <v>100000</v>
      </c>
      <c r="T688" s="16">
        <f>Tabela1[[#This Row],[Total 2019]]-Tabela1[[#This Row],[Total 2018]]</f>
        <v>389.6235000000006</v>
      </c>
      <c r="U688" s="40">
        <f>Tabela1[[#This Row],[Total 2019]]/Tabela1[[#This Row],[Meta]]</f>
        <v>5.7139365000000004E-2</v>
      </c>
      <c r="V688" s="17">
        <f>IFERROR(Tabela1[[#This Row],[Total 2019]]/Tabela1[[#This Row],[Total 2018]]-1,0)</f>
        <v>7.3178173409414571E-2</v>
      </c>
      <c r="W68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688" s="48"/>
      <c r="Y688" s="19"/>
      <c r="Z688" s="68"/>
    </row>
    <row r="689" spans="3:26" x14ac:dyDescent="0.35">
      <c r="C689" s="11" t="s">
        <v>2703</v>
      </c>
      <c r="D689" s="12" t="s">
        <v>2700</v>
      </c>
      <c r="E689" s="12">
        <v>669</v>
      </c>
      <c r="F689" s="13" t="s">
        <v>2116</v>
      </c>
      <c r="G689" s="14">
        <v>1</v>
      </c>
      <c r="H689" s="14" t="s">
        <v>1370</v>
      </c>
      <c r="I689" s="13">
        <v>3</v>
      </c>
      <c r="J689" s="15" t="s">
        <v>1402</v>
      </c>
      <c r="K689" s="15" t="s">
        <v>2706</v>
      </c>
      <c r="L689" s="16">
        <v>1458.1739999999998</v>
      </c>
      <c r="M689" s="16">
        <v>6714.2389999999987</v>
      </c>
      <c r="N689" s="16"/>
      <c r="O689" s="16"/>
      <c r="P689" s="16"/>
      <c r="Q689" s="16">
        <f>SUM(Tabela1[[#This Row],[201805]:[201807]])</f>
        <v>8172.4129999999986</v>
      </c>
      <c r="R689" s="16">
        <f>SUM(Tabela1[[#This Row],[201905]:[201906]])</f>
        <v>0</v>
      </c>
      <c r="S689" s="16">
        <v>100000</v>
      </c>
      <c r="T689" s="16">
        <f>Tabela1[[#This Row],[Total 2019]]-Tabela1[[#This Row],[Total 2018]]</f>
        <v>-8172.4129999999986</v>
      </c>
      <c r="U689" s="40">
        <f>Tabela1[[#This Row],[Total 2019]]/Tabela1[[#This Row],[Meta]]</f>
        <v>0</v>
      </c>
      <c r="V689" s="17">
        <f>IFERROR(Tabela1[[#This Row],[Total 2019]]/Tabela1[[#This Row],[Total 2018]]-1,0)</f>
        <v>-1</v>
      </c>
      <c r="W68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89" s="48"/>
      <c r="Y689" s="19"/>
      <c r="Z689" s="68"/>
    </row>
    <row r="690" spans="3:26" x14ac:dyDescent="0.35">
      <c r="C690" s="11" t="s">
        <v>2703</v>
      </c>
      <c r="D690" s="12" t="s">
        <v>2699</v>
      </c>
      <c r="E690" s="12">
        <v>670</v>
      </c>
      <c r="F690" s="13" t="s">
        <v>2117</v>
      </c>
      <c r="G690" s="14">
        <v>3</v>
      </c>
      <c r="H690" s="14" t="s">
        <v>1371</v>
      </c>
      <c r="I690" s="13">
        <v>9</v>
      </c>
      <c r="J690" s="15" t="s">
        <v>1408</v>
      </c>
      <c r="K690" s="15" t="s">
        <v>2707</v>
      </c>
      <c r="L690" s="16"/>
      <c r="M690" s="16">
        <v>7000.1035000000011</v>
      </c>
      <c r="N690" s="16"/>
      <c r="O690" s="16">
        <v>1318.7615000000001</v>
      </c>
      <c r="P690" s="16">
        <v>5478.3555000000006</v>
      </c>
      <c r="Q690" s="16">
        <f>SUM(Tabela1[[#This Row],[201805]:[201807]])</f>
        <v>7000.1035000000011</v>
      </c>
      <c r="R690" s="16">
        <f>SUM(Tabela1[[#This Row],[201905]:[201906]])</f>
        <v>6797.1170000000002</v>
      </c>
      <c r="S690" s="16">
        <v>100000</v>
      </c>
      <c r="T690" s="16">
        <f>Tabela1[[#This Row],[Total 2019]]-Tabela1[[#This Row],[Total 2018]]</f>
        <v>-202.98650000000089</v>
      </c>
      <c r="U690" s="40">
        <f>Tabela1[[#This Row],[Total 2019]]/Tabela1[[#This Row],[Meta]]</f>
        <v>6.7971169999999997E-2</v>
      </c>
      <c r="V690" s="17">
        <f>IFERROR(Tabela1[[#This Row],[Total 2019]]/Tabela1[[#This Row],[Total 2018]]-1,0)</f>
        <v>-2.8997642677711988E-2</v>
      </c>
      <c r="W69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690" s="48"/>
      <c r="Y690" s="19"/>
      <c r="Z690" s="68"/>
    </row>
    <row r="691" spans="3:26" x14ac:dyDescent="0.35">
      <c r="C691" s="11" t="s">
        <v>2704</v>
      </c>
      <c r="D691" s="12" t="s">
        <v>2699</v>
      </c>
      <c r="E691" s="12">
        <v>671</v>
      </c>
      <c r="F691" s="13" t="s">
        <v>2118</v>
      </c>
      <c r="G691" s="14">
        <v>1</v>
      </c>
      <c r="H691" s="14" t="s">
        <v>1372</v>
      </c>
      <c r="I691" s="13">
        <v>17</v>
      </c>
      <c r="J691" s="15" t="s">
        <v>1416</v>
      </c>
      <c r="K691" s="15" t="s">
        <v>2708</v>
      </c>
      <c r="L691" s="16"/>
      <c r="M691" s="16">
        <v>1372.0375000000001</v>
      </c>
      <c r="N691" s="16"/>
      <c r="O691" s="16"/>
      <c r="P691" s="16"/>
      <c r="Q691" s="16">
        <f>SUM(Tabela1[[#This Row],[201805]:[201807]])</f>
        <v>1372.0375000000001</v>
      </c>
      <c r="R691" s="16">
        <f>SUM(Tabela1[[#This Row],[201905]:[201906]])</f>
        <v>0</v>
      </c>
      <c r="S691" s="16">
        <v>100000</v>
      </c>
      <c r="T691" s="16">
        <f>Tabela1[[#This Row],[Total 2019]]-Tabela1[[#This Row],[Total 2018]]</f>
        <v>-1372.0375000000001</v>
      </c>
      <c r="U691" s="40">
        <f>Tabela1[[#This Row],[Total 2019]]/Tabela1[[#This Row],[Meta]]</f>
        <v>0</v>
      </c>
      <c r="V691" s="17">
        <f>IFERROR(Tabela1[[#This Row],[Total 2019]]/Tabela1[[#This Row],[Total 2018]]-1,0)</f>
        <v>-1</v>
      </c>
      <c r="W69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91" s="48"/>
      <c r="Y691" s="19"/>
      <c r="Z691" s="68"/>
    </row>
    <row r="692" spans="3:26" x14ac:dyDescent="0.35">
      <c r="C692" s="11" t="s">
        <v>2702</v>
      </c>
      <c r="D692" s="12" t="s">
        <v>2698</v>
      </c>
      <c r="E692" s="12">
        <v>672</v>
      </c>
      <c r="F692" s="13" t="s">
        <v>2119</v>
      </c>
      <c r="G692" s="14">
        <v>1</v>
      </c>
      <c r="H692" s="14" t="s">
        <v>1372</v>
      </c>
      <c r="I692" s="13">
        <v>22</v>
      </c>
      <c r="J692" s="15" t="s">
        <v>1421</v>
      </c>
      <c r="K692" s="15" t="s">
        <v>2708</v>
      </c>
      <c r="L692" s="16">
        <v>1807.6599999999999</v>
      </c>
      <c r="M692" s="16">
        <v>5570.0875000000005</v>
      </c>
      <c r="N692" s="16">
        <v>1783.0549999999998</v>
      </c>
      <c r="O692" s="16"/>
      <c r="P692" s="16"/>
      <c r="Q692" s="16">
        <f>SUM(Tabela1[[#This Row],[201805]:[201807]])</f>
        <v>9160.8024999999998</v>
      </c>
      <c r="R692" s="16">
        <f>SUM(Tabela1[[#This Row],[201905]:[201906]])</f>
        <v>0</v>
      </c>
      <c r="S692" s="16">
        <v>100000</v>
      </c>
      <c r="T692" s="16">
        <f>Tabela1[[#This Row],[Total 2019]]-Tabela1[[#This Row],[Total 2018]]</f>
        <v>-9160.8024999999998</v>
      </c>
      <c r="U692" s="40">
        <f>Tabela1[[#This Row],[Total 2019]]/Tabela1[[#This Row],[Meta]]</f>
        <v>0</v>
      </c>
      <c r="V692" s="17">
        <f>IFERROR(Tabela1[[#This Row],[Total 2019]]/Tabela1[[#This Row],[Total 2018]]-1,0)</f>
        <v>-1</v>
      </c>
      <c r="W69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92" s="48"/>
      <c r="Y692" s="19"/>
      <c r="Z692" s="68"/>
    </row>
    <row r="693" spans="3:26" x14ac:dyDescent="0.35">
      <c r="C693" s="11" t="s">
        <v>2703</v>
      </c>
      <c r="D693" s="12" t="s">
        <v>2699</v>
      </c>
      <c r="E693" s="12">
        <v>673</v>
      </c>
      <c r="F693" s="13" t="s">
        <v>2120</v>
      </c>
      <c r="G693" s="14">
        <v>3</v>
      </c>
      <c r="H693" s="14" t="s">
        <v>1372</v>
      </c>
      <c r="I693" s="13">
        <v>22</v>
      </c>
      <c r="J693" s="15" t="s">
        <v>1421</v>
      </c>
      <c r="K693" s="15" t="s">
        <v>2708</v>
      </c>
      <c r="L693" s="16"/>
      <c r="M693" s="16">
        <v>3852.5349999999999</v>
      </c>
      <c r="N693" s="16"/>
      <c r="O693" s="16"/>
      <c r="P693" s="16"/>
      <c r="Q693" s="16">
        <f>SUM(Tabela1[[#This Row],[201805]:[201807]])</f>
        <v>3852.5349999999999</v>
      </c>
      <c r="R693" s="16">
        <f>SUM(Tabela1[[#This Row],[201905]:[201906]])</f>
        <v>0</v>
      </c>
      <c r="S693" s="16">
        <v>100000</v>
      </c>
      <c r="T693" s="16">
        <f>Tabela1[[#This Row],[Total 2019]]-Tabela1[[#This Row],[Total 2018]]</f>
        <v>-3852.5349999999999</v>
      </c>
      <c r="U693" s="40">
        <f>Tabela1[[#This Row],[Total 2019]]/Tabela1[[#This Row],[Meta]]</f>
        <v>0</v>
      </c>
      <c r="V693" s="17">
        <f>IFERROR(Tabela1[[#This Row],[Total 2019]]/Tabela1[[#This Row],[Total 2018]]-1,0)</f>
        <v>-1</v>
      </c>
      <c r="W69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93" s="48"/>
      <c r="Y693" s="19"/>
      <c r="Z693" s="68"/>
    </row>
    <row r="694" spans="3:26" x14ac:dyDescent="0.35">
      <c r="C694" s="11" t="s">
        <v>2703</v>
      </c>
      <c r="D694" s="12" t="s">
        <v>2698</v>
      </c>
      <c r="E694" s="12">
        <v>674</v>
      </c>
      <c r="F694" s="13" t="s">
        <v>2121</v>
      </c>
      <c r="G694" s="14">
        <v>2</v>
      </c>
      <c r="H694" s="14" t="s">
        <v>1372</v>
      </c>
      <c r="I694" s="13">
        <v>10</v>
      </c>
      <c r="J694" s="15" t="s">
        <v>1409</v>
      </c>
      <c r="K694" s="15" t="s">
        <v>2708</v>
      </c>
      <c r="L694" s="16">
        <v>2285.8139999999999</v>
      </c>
      <c r="M694" s="16">
        <v>3773.9224999999997</v>
      </c>
      <c r="N694" s="16">
        <v>2199.2214999999997</v>
      </c>
      <c r="O694" s="16">
        <v>1368.8645000000001</v>
      </c>
      <c r="P694" s="16">
        <v>2506.8124999999995</v>
      </c>
      <c r="Q694" s="16">
        <f>SUM(Tabela1[[#This Row],[201805]:[201807]])</f>
        <v>8258.9579999999987</v>
      </c>
      <c r="R694" s="16">
        <f>SUM(Tabela1[[#This Row],[201905]:[201906]])</f>
        <v>3875.6769999999997</v>
      </c>
      <c r="S694" s="16">
        <v>100000</v>
      </c>
      <c r="T694" s="16">
        <f>Tabela1[[#This Row],[Total 2019]]-Tabela1[[#This Row],[Total 2018]]</f>
        <v>-4383.280999999999</v>
      </c>
      <c r="U694" s="40">
        <f>Tabela1[[#This Row],[Total 2019]]/Tabela1[[#This Row],[Meta]]</f>
        <v>3.8756769999999996E-2</v>
      </c>
      <c r="V694" s="17">
        <f>IFERROR(Tabela1[[#This Row],[Total 2019]]/Tabela1[[#This Row],[Total 2018]]-1,0)</f>
        <v>-0.5307305110402547</v>
      </c>
      <c r="W69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694" s="48"/>
      <c r="Y694" s="19"/>
      <c r="Z694" s="68"/>
    </row>
    <row r="695" spans="3:26" x14ac:dyDescent="0.35">
      <c r="C695" s="11" t="s">
        <v>2702</v>
      </c>
      <c r="D695" s="12" t="s">
        <v>2700</v>
      </c>
      <c r="E695" s="12">
        <v>675</v>
      </c>
      <c r="F695" s="13" t="s">
        <v>2122</v>
      </c>
      <c r="G695" s="14">
        <v>1</v>
      </c>
      <c r="H695" s="14" t="s">
        <v>1370</v>
      </c>
      <c r="I695" s="13">
        <v>15</v>
      </c>
      <c r="J695" s="15" t="s">
        <v>1414</v>
      </c>
      <c r="K695" s="15" t="s">
        <v>2706</v>
      </c>
      <c r="L695" s="16">
        <v>5443.5284999999994</v>
      </c>
      <c r="M695" s="16">
        <v>4759.2910000000002</v>
      </c>
      <c r="N695" s="16">
        <v>1697.7069999999999</v>
      </c>
      <c r="O695" s="16"/>
      <c r="P695" s="16"/>
      <c r="Q695" s="16">
        <f>SUM(Tabela1[[#This Row],[201805]:[201807]])</f>
        <v>11900.5265</v>
      </c>
      <c r="R695" s="16">
        <f>SUM(Tabela1[[#This Row],[201905]:[201906]])</f>
        <v>0</v>
      </c>
      <c r="S695" s="16">
        <v>100000</v>
      </c>
      <c r="T695" s="16">
        <f>Tabela1[[#This Row],[Total 2019]]-Tabela1[[#This Row],[Total 2018]]</f>
        <v>-11900.5265</v>
      </c>
      <c r="U695" s="40">
        <f>Tabela1[[#This Row],[Total 2019]]/Tabela1[[#This Row],[Meta]]</f>
        <v>0</v>
      </c>
      <c r="V695" s="17">
        <f>IFERROR(Tabela1[[#This Row],[Total 2019]]/Tabela1[[#This Row],[Total 2018]]-1,0)</f>
        <v>-1</v>
      </c>
      <c r="W69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95" s="48"/>
      <c r="Y695" s="19"/>
      <c r="Z695" s="68"/>
    </row>
    <row r="696" spans="3:26" x14ac:dyDescent="0.35">
      <c r="C696" s="11" t="s">
        <v>2704</v>
      </c>
      <c r="D696" s="12" t="s">
        <v>2699</v>
      </c>
      <c r="E696" s="12">
        <v>676</v>
      </c>
      <c r="F696" s="13" t="s">
        <v>2123</v>
      </c>
      <c r="G696" s="14">
        <v>2</v>
      </c>
      <c r="H696" s="14" t="s">
        <v>1371</v>
      </c>
      <c r="I696" s="13">
        <v>7</v>
      </c>
      <c r="J696" s="15" t="s">
        <v>1406</v>
      </c>
      <c r="K696" s="15" t="s">
        <v>2707</v>
      </c>
      <c r="L696" s="16"/>
      <c r="M696" s="16">
        <v>2919.2075</v>
      </c>
      <c r="N696" s="16">
        <v>7884.7529999999997</v>
      </c>
      <c r="O696" s="16"/>
      <c r="P696" s="16"/>
      <c r="Q696" s="16">
        <f>SUM(Tabela1[[#This Row],[201805]:[201807]])</f>
        <v>10803.960499999999</v>
      </c>
      <c r="R696" s="16">
        <f>SUM(Tabela1[[#This Row],[201905]:[201906]])</f>
        <v>0</v>
      </c>
      <c r="S696" s="16">
        <v>100000</v>
      </c>
      <c r="T696" s="16">
        <f>Tabela1[[#This Row],[Total 2019]]-Tabela1[[#This Row],[Total 2018]]</f>
        <v>-10803.960499999999</v>
      </c>
      <c r="U696" s="40">
        <f>Tabela1[[#This Row],[Total 2019]]/Tabela1[[#This Row],[Meta]]</f>
        <v>0</v>
      </c>
      <c r="V696" s="17">
        <f>IFERROR(Tabela1[[#This Row],[Total 2019]]/Tabela1[[#This Row],[Total 2018]]-1,0)</f>
        <v>-1</v>
      </c>
      <c r="W69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96" s="48"/>
      <c r="Y696" s="19"/>
      <c r="Z696" s="68"/>
    </row>
    <row r="697" spans="3:26" x14ac:dyDescent="0.35">
      <c r="C697" s="11" t="s">
        <v>2704</v>
      </c>
      <c r="D697" s="12" t="s">
        <v>2698</v>
      </c>
      <c r="E697" s="12">
        <v>677</v>
      </c>
      <c r="F697" s="13" t="s">
        <v>2124</v>
      </c>
      <c r="G697" s="14">
        <v>2</v>
      </c>
      <c r="H697" s="14" t="s">
        <v>1372</v>
      </c>
      <c r="I697" s="13">
        <v>21</v>
      </c>
      <c r="J697" s="15" t="s">
        <v>1420</v>
      </c>
      <c r="K697" s="15" t="s">
        <v>2708</v>
      </c>
      <c r="L697" s="16">
        <v>3576.3795</v>
      </c>
      <c r="M697" s="16">
        <v>4197.7269999999999</v>
      </c>
      <c r="N697" s="16">
        <v>6993.3584999999994</v>
      </c>
      <c r="O697" s="16">
        <v>20318.789999999997</v>
      </c>
      <c r="P697" s="16">
        <v>2731.7914999999994</v>
      </c>
      <c r="Q697" s="16">
        <f>SUM(Tabela1[[#This Row],[201805]:[201807]])</f>
        <v>14767.465</v>
      </c>
      <c r="R697" s="16">
        <f>SUM(Tabela1[[#This Row],[201905]:[201906]])</f>
        <v>23050.581499999997</v>
      </c>
      <c r="S697" s="16">
        <v>100000</v>
      </c>
      <c r="T697" s="16">
        <f>Tabela1[[#This Row],[Total 2019]]-Tabela1[[#This Row],[Total 2018]]</f>
        <v>8283.1164999999964</v>
      </c>
      <c r="U697" s="40">
        <f>Tabela1[[#This Row],[Total 2019]]/Tabela1[[#This Row],[Meta]]</f>
        <v>0.23050581499999998</v>
      </c>
      <c r="V697" s="17">
        <f>IFERROR(Tabela1[[#This Row],[Total 2019]]/Tabela1[[#This Row],[Total 2018]]-1,0)</f>
        <v>0.56090307307313725</v>
      </c>
      <c r="W69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697" s="48"/>
      <c r="Y697" s="19"/>
      <c r="Z697" s="68"/>
    </row>
    <row r="698" spans="3:26" x14ac:dyDescent="0.35">
      <c r="C698" s="11" t="s">
        <v>2704</v>
      </c>
      <c r="D698" s="12" t="s">
        <v>2699</v>
      </c>
      <c r="E698" s="12">
        <v>678</v>
      </c>
      <c r="F698" s="13" t="s">
        <v>2125</v>
      </c>
      <c r="G698" s="14">
        <v>3</v>
      </c>
      <c r="H698" s="14" t="s">
        <v>1372</v>
      </c>
      <c r="I698" s="13">
        <v>17</v>
      </c>
      <c r="J698" s="15" t="s">
        <v>1416</v>
      </c>
      <c r="K698" s="15" t="s">
        <v>2708</v>
      </c>
      <c r="L698" s="16">
        <v>4522.6364999999996</v>
      </c>
      <c r="M698" s="16">
        <v>1924.0349999999996</v>
      </c>
      <c r="N698" s="16"/>
      <c r="O698" s="16"/>
      <c r="P698" s="16"/>
      <c r="Q698" s="16">
        <f>SUM(Tabela1[[#This Row],[201805]:[201807]])</f>
        <v>6446.6714999999995</v>
      </c>
      <c r="R698" s="16">
        <f>SUM(Tabela1[[#This Row],[201905]:[201906]])</f>
        <v>0</v>
      </c>
      <c r="S698" s="16">
        <v>100000</v>
      </c>
      <c r="T698" s="16">
        <f>Tabela1[[#This Row],[Total 2019]]-Tabela1[[#This Row],[Total 2018]]</f>
        <v>-6446.6714999999995</v>
      </c>
      <c r="U698" s="40">
        <f>Tabela1[[#This Row],[Total 2019]]/Tabela1[[#This Row],[Meta]]</f>
        <v>0</v>
      </c>
      <c r="V698" s="17">
        <f>IFERROR(Tabela1[[#This Row],[Total 2019]]/Tabela1[[#This Row],[Total 2018]]-1,0)</f>
        <v>-1</v>
      </c>
      <c r="W69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98" s="48"/>
      <c r="Y698" s="19"/>
      <c r="Z698" s="68"/>
    </row>
    <row r="699" spans="3:26" x14ac:dyDescent="0.35">
      <c r="C699" s="11" t="s">
        <v>2702</v>
      </c>
      <c r="D699" s="12" t="s">
        <v>2700</v>
      </c>
      <c r="E699" s="12">
        <v>679</v>
      </c>
      <c r="F699" s="13" t="s">
        <v>2126</v>
      </c>
      <c r="G699" s="14">
        <v>2</v>
      </c>
      <c r="H699" s="14" t="s">
        <v>1372</v>
      </c>
      <c r="I699" s="13">
        <v>17</v>
      </c>
      <c r="J699" s="15" t="s">
        <v>1416</v>
      </c>
      <c r="K699" s="15" t="s">
        <v>2708</v>
      </c>
      <c r="L699" s="16"/>
      <c r="M699" s="16">
        <v>2298.1165000000001</v>
      </c>
      <c r="N699" s="16"/>
      <c r="O699" s="16"/>
      <c r="P699" s="16"/>
      <c r="Q699" s="16">
        <f>SUM(Tabela1[[#This Row],[201805]:[201807]])</f>
        <v>2298.1165000000001</v>
      </c>
      <c r="R699" s="16">
        <f>SUM(Tabela1[[#This Row],[201905]:[201906]])</f>
        <v>0</v>
      </c>
      <c r="S699" s="16">
        <v>100000</v>
      </c>
      <c r="T699" s="16">
        <f>Tabela1[[#This Row],[Total 2019]]-Tabela1[[#This Row],[Total 2018]]</f>
        <v>-2298.1165000000001</v>
      </c>
      <c r="U699" s="40">
        <f>Tabela1[[#This Row],[Total 2019]]/Tabela1[[#This Row],[Meta]]</f>
        <v>0</v>
      </c>
      <c r="V699" s="17">
        <f>IFERROR(Tabela1[[#This Row],[Total 2019]]/Tabela1[[#This Row],[Total 2018]]-1,0)</f>
        <v>-1</v>
      </c>
      <c r="W69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699" s="48"/>
      <c r="Y699" s="19"/>
      <c r="Z699" s="68"/>
    </row>
    <row r="700" spans="3:26" x14ac:dyDescent="0.35">
      <c r="C700" s="11" t="s">
        <v>2704</v>
      </c>
      <c r="D700" s="12" t="s">
        <v>2698</v>
      </c>
      <c r="E700" s="12">
        <v>680</v>
      </c>
      <c r="F700" s="13" t="s">
        <v>2127</v>
      </c>
      <c r="G700" s="14">
        <v>2</v>
      </c>
      <c r="H700" s="14" t="s">
        <v>1372</v>
      </c>
      <c r="I700" s="13">
        <v>27</v>
      </c>
      <c r="J700" s="15" t="s">
        <v>1426</v>
      </c>
      <c r="K700" s="15" t="s">
        <v>2708</v>
      </c>
      <c r="L700" s="16"/>
      <c r="M700" s="16">
        <v>2106.7104999999997</v>
      </c>
      <c r="N700" s="16"/>
      <c r="O700" s="16"/>
      <c r="P700" s="16"/>
      <c r="Q700" s="16">
        <f>SUM(Tabela1[[#This Row],[201805]:[201807]])</f>
        <v>2106.7104999999997</v>
      </c>
      <c r="R700" s="16">
        <f>SUM(Tabela1[[#This Row],[201905]:[201906]])</f>
        <v>0</v>
      </c>
      <c r="S700" s="16">
        <v>100000</v>
      </c>
      <c r="T700" s="16">
        <f>Tabela1[[#This Row],[Total 2019]]-Tabela1[[#This Row],[Total 2018]]</f>
        <v>-2106.7104999999997</v>
      </c>
      <c r="U700" s="40">
        <f>Tabela1[[#This Row],[Total 2019]]/Tabela1[[#This Row],[Meta]]</f>
        <v>0</v>
      </c>
      <c r="V700" s="17">
        <f>IFERROR(Tabela1[[#This Row],[Total 2019]]/Tabela1[[#This Row],[Total 2018]]-1,0)</f>
        <v>-1</v>
      </c>
      <c r="W70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00" s="48"/>
      <c r="Y700" s="19"/>
      <c r="Z700" s="68"/>
    </row>
    <row r="701" spans="3:26" x14ac:dyDescent="0.35">
      <c r="C701" s="11" t="s">
        <v>2702</v>
      </c>
      <c r="D701" s="12" t="s">
        <v>2698</v>
      </c>
      <c r="E701" s="12">
        <v>681</v>
      </c>
      <c r="F701" s="13" t="s">
        <v>2128</v>
      </c>
      <c r="G701" s="14">
        <v>3</v>
      </c>
      <c r="H701" s="14" t="s">
        <v>1371</v>
      </c>
      <c r="I701" s="13">
        <v>12</v>
      </c>
      <c r="J701" s="15" t="s">
        <v>1411</v>
      </c>
      <c r="K701" s="15" t="s">
        <v>2707</v>
      </c>
      <c r="L701" s="16">
        <v>2605.5365000000002</v>
      </c>
      <c r="M701" s="16">
        <v>4413.6620000000003</v>
      </c>
      <c r="N701" s="16">
        <v>451.46849999999995</v>
      </c>
      <c r="O701" s="16">
        <v>8271.7450000000008</v>
      </c>
      <c r="P701" s="16">
        <v>3189.1405</v>
      </c>
      <c r="Q701" s="16">
        <f>SUM(Tabela1[[#This Row],[201805]:[201807]])</f>
        <v>7470.6670000000004</v>
      </c>
      <c r="R701" s="16">
        <f>SUM(Tabela1[[#This Row],[201905]:[201906]])</f>
        <v>11460.8855</v>
      </c>
      <c r="S701" s="16">
        <v>100000</v>
      </c>
      <c r="T701" s="16">
        <f>Tabela1[[#This Row],[Total 2019]]-Tabela1[[#This Row],[Total 2018]]</f>
        <v>3990.2184999999999</v>
      </c>
      <c r="U701" s="40">
        <f>Tabela1[[#This Row],[Total 2019]]/Tabela1[[#This Row],[Meta]]</f>
        <v>0.11460885500000001</v>
      </c>
      <c r="V701" s="17">
        <f>IFERROR(Tabela1[[#This Row],[Total 2019]]/Tabela1[[#This Row],[Total 2018]]-1,0)</f>
        <v>0.53411810484927247</v>
      </c>
      <c r="W70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701" s="48"/>
      <c r="Y701" s="19"/>
      <c r="Z701" s="68"/>
    </row>
    <row r="702" spans="3:26" x14ac:dyDescent="0.35">
      <c r="C702" s="11" t="s">
        <v>2702</v>
      </c>
      <c r="D702" s="12" t="s">
        <v>2699</v>
      </c>
      <c r="E702" s="12">
        <v>682</v>
      </c>
      <c r="F702" s="13" t="s">
        <v>2129</v>
      </c>
      <c r="G702" s="14">
        <v>1</v>
      </c>
      <c r="H702" s="14" t="s">
        <v>1373</v>
      </c>
      <c r="I702" s="13">
        <v>28</v>
      </c>
      <c r="J702" s="15" t="s">
        <v>1427</v>
      </c>
      <c r="K702" s="15" t="s">
        <v>2710</v>
      </c>
      <c r="L702" s="16"/>
      <c r="M702" s="16"/>
      <c r="N702" s="16"/>
      <c r="O702" s="16">
        <v>1264.3454999999999</v>
      </c>
      <c r="P702" s="16">
        <v>2671.058</v>
      </c>
      <c r="Q702" s="16">
        <f>SUM(Tabela1[[#This Row],[201805]:[201807]])</f>
        <v>0</v>
      </c>
      <c r="R702" s="16">
        <f>SUM(Tabela1[[#This Row],[201905]:[201906]])</f>
        <v>3935.4034999999999</v>
      </c>
      <c r="S702" s="16">
        <v>100000</v>
      </c>
      <c r="T702" s="16">
        <f>Tabela1[[#This Row],[Total 2019]]-Tabela1[[#This Row],[Total 2018]]</f>
        <v>3935.4034999999999</v>
      </c>
      <c r="U702" s="40">
        <f>Tabela1[[#This Row],[Total 2019]]/Tabela1[[#This Row],[Meta]]</f>
        <v>3.9354034999999996E-2</v>
      </c>
      <c r="V702" s="17">
        <f>IFERROR(Tabela1[[#This Row],[Total 2019]]/Tabela1[[#This Row],[Total 2018]]-1,0)</f>
        <v>0</v>
      </c>
      <c r="W70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702" s="48"/>
      <c r="Y702" s="19"/>
      <c r="Z702" s="68"/>
    </row>
    <row r="703" spans="3:26" x14ac:dyDescent="0.35">
      <c r="C703" s="11" t="s">
        <v>2703</v>
      </c>
      <c r="D703" s="12" t="s">
        <v>2698</v>
      </c>
      <c r="E703" s="12">
        <v>683</v>
      </c>
      <c r="F703" s="13" t="s">
        <v>2130</v>
      </c>
      <c r="G703" s="14">
        <v>3</v>
      </c>
      <c r="H703" s="14" t="s">
        <v>1372</v>
      </c>
      <c r="I703" s="13">
        <v>27</v>
      </c>
      <c r="J703" s="15" t="s">
        <v>1426</v>
      </c>
      <c r="K703" s="15" t="s">
        <v>2708</v>
      </c>
      <c r="L703" s="16">
        <v>2474.4459999999999</v>
      </c>
      <c r="M703" s="16">
        <v>6311.6954999999998</v>
      </c>
      <c r="N703" s="16"/>
      <c r="O703" s="16"/>
      <c r="P703" s="16"/>
      <c r="Q703" s="16">
        <f>SUM(Tabela1[[#This Row],[201805]:[201807]])</f>
        <v>8786.1414999999997</v>
      </c>
      <c r="R703" s="16">
        <f>SUM(Tabela1[[#This Row],[201905]:[201906]])</f>
        <v>0</v>
      </c>
      <c r="S703" s="16">
        <v>100000</v>
      </c>
      <c r="T703" s="16">
        <f>Tabela1[[#This Row],[Total 2019]]-Tabela1[[#This Row],[Total 2018]]</f>
        <v>-8786.1414999999997</v>
      </c>
      <c r="U703" s="40">
        <f>Tabela1[[#This Row],[Total 2019]]/Tabela1[[#This Row],[Meta]]</f>
        <v>0</v>
      </c>
      <c r="V703" s="17">
        <f>IFERROR(Tabela1[[#This Row],[Total 2019]]/Tabela1[[#This Row],[Total 2018]]-1,0)</f>
        <v>-1</v>
      </c>
      <c r="W70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03" s="48"/>
      <c r="Y703" s="19"/>
      <c r="Z703" s="68"/>
    </row>
    <row r="704" spans="3:26" x14ac:dyDescent="0.35">
      <c r="C704" s="11" t="s">
        <v>2702</v>
      </c>
      <c r="D704" s="12" t="s">
        <v>2700</v>
      </c>
      <c r="E704" s="12">
        <v>684</v>
      </c>
      <c r="F704" s="13" t="s">
        <v>2131</v>
      </c>
      <c r="G704" s="14">
        <v>3</v>
      </c>
      <c r="H704" s="14" t="s">
        <v>1371</v>
      </c>
      <c r="I704" s="13">
        <v>4</v>
      </c>
      <c r="J704" s="15" t="s">
        <v>1403</v>
      </c>
      <c r="K704" s="15" t="s">
        <v>2707</v>
      </c>
      <c r="L704" s="16"/>
      <c r="M704" s="16"/>
      <c r="N704" s="16">
        <v>6870.21</v>
      </c>
      <c r="O704" s="16"/>
      <c r="P704" s="16"/>
      <c r="Q704" s="16">
        <f>SUM(Tabela1[[#This Row],[201805]:[201807]])</f>
        <v>6870.21</v>
      </c>
      <c r="R704" s="16">
        <f>SUM(Tabela1[[#This Row],[201905]:[201906]])</f>
        <v>0</v>
      </c>
      <c r="S704" s="16">
        <v>100000</v>
      </c>
      <c r="T704" s="16">
        <f>Tabela1[[#This Row],[Total 2019]]-Tabela1[[#This Row],[Total 2018]]</f>
        <v>-6870.21</v>
      </c>
      <c r="U704" s="40">
        <f>Tabela1[[#This Row],[Total 2019]]/Tabela1[[#This Row],[Meta]]</f>
        <v>0</v>
      </c>
      <c r="V704" s="17">
        <f>IFERROR(Tabela1[[#This Row],[Total 2019]]/Tabela1[[#This Row],[Total 2018]]-1,0)</f>
        <v>-1</v>
      </c>
      <c r="W70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04" s="48"/>
      <c r="Y704" s="19"/>
      <c r="Z704" s="68"/>
    </row>
    <row r="705" spans="3:26" x14ac:dyDescent="0.35">
      <c r="C705" s="11" t="s">
        <v>2703</v>
      </c>
      <c r="D705" s="12" t="s">
        <v>2699</v>
      </c>
      <c r="E705" s="12">
        <v>685</v>
      </c>
      <c r="F705" s="13" t="s">
        <v>2132</v>
      </c>
      <c r="G705" s="14">
        <v>2</v>
      </c>
      <c r="H705" s="14" t="s">
        <v>1371</v>
      </c>
      <c r="I705" s="13">
        <v>12</v>
      </c>
      <c r="J705" s="15" t="s">
        <v>1411</v>
      </c>
      <c r="K705" s="15" t="s">
        <v>2707</v>
      </c>
      <c r="L705" s="16">
        <v>1457.6989999999998</v>
      </c>
      <c r="M705" s="16">
        <v>3040.1519999999996</v>
      </c>
      <c r="N705" s="16"/>
      <c r="O705" s="16"/>
      <c r="P705" s="16"/>
      <c r="Q705" s="16">
        <f>SUM(Tabela1[[#This Row],[201805]:[201807]])</f>
        <v>4497.8509999999997</v>
      </c>
      <c r="R705" s="16">
        <f>SUM(Tabela1[[#This Row],[201905]:[201906]])</f>
        <v>0</v>
      </c>
      <c r="S705" s="16">
        <v>100000</v>
      </c>
      <c r="T705" s="16">
        <f>Tabela1[[#This Row],[Total 2019]]-Tabela1[[#This Row],[Total 2018]]</f>
        <v>-4497.8509999999997</v>
      </c>
      <c r="U705" s="40">
        <f>Tabela1[[#This Row],[Total 2019]]/Tabela1[[#This Row],[Meta]]</f>
        <v>0</v>
      </c>
      <c r="V705" s="17">
        <f>IFERROR(Tabela1[[#This Row],[Total 2019]]/Tabela1[[#This Row],[Total 2018]]-1,0)</f>
        <v>-1</v>
      </c>
      <c r="W70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05" s="48"/>
      <c r="Y705" s="19"/>
      <c r="Z705" s="68"/>
    </row>
    <row r="706" spans="3:26" x14ac:dyDescent="0.35">
      <c r="C706" s="11" t="s">
        <v>2702</v>
      </c>
      <c r="D706" s="12" t="s">
        <v>2698</v>
      </c>
      <c r="E706" s="12">
        <v>686</v>
      </c>
      <c r="F706" s="13" t="s">
        <v>2133</v>
      </c>
      <c r="G706" s="14">
        <v>2</v>
      </c>
      <c r="H706" s="14" t="s">
        <v>1372</v>
      </c>
      <c r="I706" s="13">
        <v>22</v>
      </c>
      <c r="J706" s="15" t="s">
        <v>1421</v>
      </c>
      <c r="K706" s="15" t="s">
        <v>2708</v>
      </c>
      <c r="L706" s="16">
        <v>1564.2795000000001</v>
      </c>
      <c r="M706" s="16">
        <v>3148.2904999999996</v>
      </c>
      <c r="N706" s="16"/>
      <c r="O706" s="16"/>
      <c r="P706" s="16"/>
      <c r="Q706" s="16">
        <f>SUM(Tabela1[[#This Row],[201805]:[201807]])</f>
        <v>4712.57</v>
      </c>
      <c r="R706" s="16">
        <f>SUM(Tabela1[[#This Row],[201905]:[201906]])</f>
        <v>0</v>
      </c>
      <c r="S706" s="16">
        <v>100000</v>
      </c>
      <c r="T706" s="16">
        <f>Tabela1[[#This Row],[Total 2019]]-Tabela1[[#This Row],[Total 2018]]</f>
        <v>-4712.57</v>
      </c>
      <c r="U706" s="40">
        <f>Tabela1[[#This Row],[Total 2019]]/Tabela1[[#This Row],[Meta]]</f>
        <v>0</v>
      </c>
      <c r="V706" s="17">
        <f>IFERROR(Tabela1[[#This Row],[Total 2019]]/Tabela1[[#This Row],[Total 2018]]-1,0)</f>
        <v>-1</v>
      </c>
      <c r="W70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06" s="48"/>
      <c r="Y706" s="19"/>
      <c r="Z706" s="68"/>
    </row>
    <row r="707" spans="3:26" x14ac:dyDescent="0.35">
      <c r="C707" s="11" t="s">
        <v>2702</v>
      </c>
      <c r="D707" s="12" t="s">
        <v>2700</v>
      </c>
      <c r="E707" s="12">
        <v>687</v>
      </c>
      <c r="F707" s="13" t="s">
        <v>2134</v>
      </c>
      <c r="G707" s="14">
        <v>1</v>
      </c>
      <c r="H707" s="14" t="s">
        <v>1372</v>
      </c>
      <c r="I707" s="13">
        <v>16</v>
      </c>
      <c r="J707" s="15" t="s">
        <v>1415</v>
      </c>
      <c r="K707" s="15" t="s">
        <v>2708</v>
      </c>
      <c r="L707" s="16">
        <v>6599.4314999999997</v>
      </c>
      <c r="M707" s="16">
        <v>4802.2025000000003</v>
      </c>
      <c r="N707" s="16">
        <v>1390.6289999999999</v>
      </c>
      <c r="O707" s="16">
        <v>10423.599499999998</v>
      </c>
      <c r="P707" s="16">
        <v>5422.2105000000001</v>
      </c>
      <c r="Q707" s="16">
        <f>SUM(Tabela1[[#This Row],[201805]:[201807]])</f>
        <v>12792.262999999999</v>
      </c>
      <c r="R707" s="16">
        <f>SUM(Tabela1[[#This Row],[201905]:[201906]])</f>
        <v>15845.809999999998</v>
      </c>
      <c r="S707" s="16">
        <v>100000</v>
      </c>
      <c r="T707" s="16">
        <f>Tabela1[[#This Row],[Total 2019]]-Tabela1[[#This Row],[Total 2018]]</f>
        <v>3053.5469999999987</v>
      </c>
      <c r="U707" s="40">
        <f>Tabela1[[#This Row],[Total 2019]]/Tabela1[[#This Row],[Meta]]</f>
        <v>0.15845809999999996</v>
      </c>
      <c r="V707" s="17">
        <f>IFERROR(Tabela1[[#This Row],[Total 2019]]/Tabela1[[#This Row],[Total 2018]]-1,0)</f>
        <v>0.23870264393407159</v>
      </c>
      <c r="W70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707" s="48"/>
      <c r="Y707" s="19"/>
      <c r="Z707" s="68"/>
    </row>
    <row r="708" spans="3:26" x14ac:dyDescent="0.35">
      <c r="C708" s="11" t="s">
        <v>2703</v>
      </c>
      <c r="D708" s="12" t="s">
        <v>2699</v>
      </c>
      <c r="E708" s="12">
        <v>688</v>
      </c>
      <c r="F708" s="13" t="s">
        <v>2135</v>
      </c>
      <c r="G708" s="14">
        <v>2</v>
      </c>
      <c r="H708" s="14" t="s">
        <v>1372</v>
      </c>
      <c r="I708" s="13">
        <v>21</v>
      </c>
      <c r="J708" s="15" t="s">
        <v>1420</v>
      </c>
      <c r="K708" s="15" t="s">
        <v>2708</v>
      </c>
      <c r="L708" s="16"/>
      <c r="M708" s="16">
        <v>2152.0540000000001</v>
      </c>
      <c r="N708" s="16"/>
      <c r="O708" s="16"/>
      <c r="P708" s="16"/>
      <c r="Q708" s="16">
        <f>SUM(Tabela1[[#This Row],[201805]:[201807]])</f>
        <v>2152.0540000000001</v>
      </c>
      <c r="R708" s="16">
        <f>SUM(Tabela1[[#This Row],[201905]:[201906]])</f>
        <v>0</v>
      </c>
      <c r="S708" s="16">
        <v>100000</v>
      </c>
      <c r="T708" s="16">
        <f>Tabela1[[#This Row],[Total 2019]]-Tabela1[[#This Row],[Total 2018]]</f>
        <v>-2152.0540000000001</v>
      </c>
      <c r="U708" s="40">
        <f>Tabela1[[#This Row],[Total 2019]]/Tabela1[[#This Row],[Meta]]</f>
        <v>0</v>
      </c>
      <c r="V708" s="17">
        <f>IFERROR(Tabela1[[#This Row],[Total 2019]]/Tabela1[[#This Row],[Total 2018]]-1,0)</f>
        <v>-1</v>
      </c>
      <c r="W70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08" s="48"/>
      <c r="Y708" s="19"/>
      <c r="Z708" s="68"/>
    </row>
    <row r="709" spans="3:26" x14ac:dyDescent="0.35">
      <c r="C709" s="11" t="s">
        <v>2704</v>
      </c>
      <c r="D709" s="12" t="s">
        <v>2700</v>
      </c>
      <c r="E709" s="12">
        <v>689</v>
      </c>
      <c r="F709" s="13" t="s">
        <v>2136</v>
      </c>
      <c r="G709" s="14">
        <v>1</v>
      </c>
      <c r="H709" s="14" t="s">
        <v>1370</v>
      </c>
      <c r="I709" s="13">
        <v>30</v>
      </c>
      <c r="J709" s="15" t="s">
        <v>1429</v>
      </c>
      <c r="K709" s="15" t="s">
        <v>2706</v>
      </c>
      <c r="L709" s="16"/>
      <c r="M709" s="16">
        <v>4498.6489999999994</v>
      </c>
      <c r="N709" s="16">
        <v>2270.1769999999997</v>
      </c>
      <c r="O709" s="16"/>
      <c r="P709" s="16"/>
      <c r="Q709" s="16">
        <f>SUM(Tabela1[[#This Row],[201805]:[201807]])</f>
        <v>6768.8259999999991</v>
      </c>
      <c r="R709" s="16">
        <f>SUM(Tabela1[[#This Row],[201905]:[201906]])</f>
        <v>0</v>
      </c>
      <c r="S709" s="16">
        <v>100000</v>
      </c>
      <c r="T709" s="16">
        <f>Tabela1[[#This Row],[Total 2019]]-Tabela1[[#This Row],[Total 2018]]</f>
        <v>-6768.8259999999991</v>
      </c>
      <c r="U709" s="40">
        <f>Tabela1[[#This Row],[Total 2019]]/Tabela1[[#This Row],[Meta]]</f>
        <v>0</v>
      </c>
      <c r="V709" s="17">
        <f>IFERROR(Tabela1[[#This Row],[Total 2019]]/Tabela1[[#This Row],[Total 2018]]-1,0)</f>
        <v>-1</v>
      </c>
      <c r="W70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09" s="48"/>
      <c r="Y709" s="19"/>
      <c r="Z709" s="68"/>
    </row>
    <row r="710" spans="3:26" x14ac:dyDescent="0.35">
      <c r="C710" s="11" t="s">
        <v>2702</v>
      </c>
      <c r="D710" s="12" t="s">
        <v>2699</v>
      </c>
      <c r="E710" s="12">
        <v>690</v>
      </c>
      <c r="F710" s="13" t="s">
        <v>2137</v>
      </c>
      <c r="G710" s="14">
        <v>3</v>
      </c>
      <c r="H710" s="14" t="s">
        <v>1370</v>
      </c>
      <c r="I710" s="13">
        <v>8</v>
      </c>
      <c r="J710" s="15" t="s">
        <v>1407</v>
      </c>
      <c r="K710" s="15" t="s">
        <v>2706</v>
      </c>
      <c r="L710" s="16">
        <v>1528.1890000000001</v>
      </c>
      <c r="M710" s="16">
        <v>2241.5059999999999</v>
      </c>
      <c r="N710" s="16"/>
      <c r="O710" s="16"/>
      <c r="P710" s="16"/>
      <c r="Q710" s="16">
        <f>SUM(Tabela1[[#This Row],[201805]:[201807]])</f>
        <v>3769.6949999999997</v>
      </c>
      <c r="R710" s="16">
        <f>SUM(Tabela1[[#This Row],[201905]:[201906]])</f>
        <v>0</v>
      </c>
      <c r="S710" s="16">
        <v>100000</v>
      </c>
      <c r="T710" s="16">
        <f>Tabela1[[#This Row],[Total 2019]]-Tabela1[[#This Row],[Total 2018]]</f>
        <v>-3769.6949999999997</v>
      </c>
      <c r="U710" s="40">
        <f>Tabela1[[#This Row],[Total 2019]]/Tabela1[[#This Row],[Meta]]</f>
        <v>0</v>
      </c>
      <c r="V710" s="17">
        <f>IFERROR(Tabela1[[#This Row],[Total 2019]]/Tabela1[[#This Row],[Total 2018]]-1,0)</f>
        <v>-1</v>
      </c>
      <c r="W71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10" s="48"/>
      <c r="Y710" s="19"/>
      <c r="Z710" s="68"/>
    </row>
    <row r="711" spans="3:26" x14ac:dyDescent="0.35">
      <c r="C711" s="11" t="s">
        <v>2704</v>
      </c>
      <c r="D711" s="12" t="s">
        <v>2700</v>
      </c>
      <c r="E711" s="12">
        <v>691</v>
      </c>
      <c r="F711" s="13" t="s">
        <v>2138</v>
      </c>
      <c r="G711" s="14">
        <v>3</v>
      </c>
      <c r="H711" s="14" t="s">
        <v>1372</v>
      </c>
      <c r="I711" s="13">
        <v>22</v>
      </c>
      <c r="J711" s="15" t="s">
        <v>1421</v>
      </c>
      <c r="K711" s="15" t="s">
        <v>2708</v>
      </c>
      <c r="L711" s="16">
        <v>2097.1914999999999</v>
      </c>
      <c r="M711" s="16">
        <v>3633.9209999999998</v>
      </c>
      <c r="N711" s="16">
        <v>1253.6864999999998</v>
      </c>
      <c r="O711" s="16"/>
      <c r="P711" s="16"/>
      <c r="Q711" s="16">
        <f>SUM(Tabela1[[#This Row],[201805]:[201807]])</f>
        <v>6984.7989999999991</v>
      </c>
      <c r="R711" s="16">
        <f>SUM(Tabela1[[#This Row],[201905]:[201906]])</f>
        <v>0</v>
      </c>
      <c r="S711" s="16">
        <v>100000</v>
      </c>
      <c r="T711" s="16">
        <f>Tabela1[[#This Row],[Total 2019]]-Tabela1[[#This Row],[Total 2018]]</f>
        <v>-6984.7989999999991</v>
      </c>
      <c r="U711" s="40">
        <f>Tabela1[[#This Row],[Total 2019]]/Tabela1[[#This Row],[Meta]]</f>
        <v>0</v>
      </c>
      <c r="V711" s="17">
        <f>IFERROR(Tabela1[[#This Row],[Total 2019]]/Tabela1[[#This Row],[Total 2018]]-1,0)</f>
        <v>-1</v>
      </c>
      <c r="W71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11" s="48"/>
      <c r="Y711" s="19"/>
      <c r="Z711" s="68"/>
    </row>
    <row r="712" spans="3:26" x14ac:dyDescent="0.35">
      <c r="C712" s="11" t="s">
        <v>2704</v>
      </c>
      <c r="D712" s="12" t="s">
        <v>2698</v>
      </c>
      <c r="E712" s="12">
        <v>692</v>
      </c>
      <c r="F712" s="13" t="s">
        <v>2139</v>
      </c>
      <c r="G712" s="14">
        <v>1</v>
      </c>
      <c r="H712" s="14" t="s">
        <v>1372</v>
      </c>
      <c r="I712" s="13">
        <v>6</v>
      </c>
      <c r="J712" s="15" t="s">
        <v>1405</v>
      </c>
      <c r="K712" s="15" t="s">
        <v>2708</v>
      </c>
      <c r="L712" s="16">
        <v>3091.7939999999999</v>
      </c>
      <c r="M712" s="16">
        <v>7266.3789999999999</v>
      </c>
      <c r="N712" s="16">
        <v>1817.4544999999998</v>
      </c>
      <c r="O712" s="16"/>
      <c r="P712" s="16"/>
      <c r="Q712" s="16">
        <f>SUM(Tabela1[[#This Row],[201805]:[201807]])</f>
        <v>12175.627499999999</v>
      </c>
      <c r="R712" s="16">
        <f>SUM(Tabela1[[#This Row],[201905]:[201906]])</f>
        <v>0</v>
      </c>
      <c r="S712" s="16">
        <v>100000</v>
      </c>
      <c r="T712" s="16">
        <f>Tabela1[[#This Row],[Total 2019]]-Tabela1[[#This Row],[Total 2018]]</f>
        <v>-12175.627499999999</v>
      </c>
      <c r="U712" s="40">
        <f>Tabela1[[#This Row],[Total 2019]]/Tabela1[[#This Row],[Meta]]</f>
        <v>0</v>
      </c>
      <c r="V712" s="17">
        <f>IFERROR(Tabela1[[#This Row],[Total 2019]]/Tabela1[[#This Row],[Total 2018]]-1,0)</f>
        <v>-1</v>
      </c>
      <c r="W71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12" s="48"/>
      <c r="Y712" s="19"/>
      <c r="Z712" s="68"/>
    </row>
    <row r="713" spans="3:26" x14ac:dyDescent="0.35">
      <c r="C713" s="11" t="s">
        <v>2703</v>
      </c>
      <c r="D713" s="12" t="s">
        <v>2699</v>
      </c>
      <c r="E713" s="12">
        <v>693</v>
      </c>
      <c r="F713" s="13" t="s">
        <v>2140</v>
      </c>
      <c r="G713" s="14">
        <v>2</v>
      </c>
      <c r="H713" s="14" t="s">
        <v>1370</v>
      </c>
      <c r="I713" s="13">
        <v>32</v>
      </c>
      <c r="J713" s="15" t="s">
        <v>1431</v>
      </c>
      <c r="K713" s="15" t="s">
        <v>2706</v>
      </c>
      <c r="L713" s="16">
        <v>2258.0169999999998</v>
      </c>
      <c r="M713" s="16">
        <v>15336.42</v>
      </c>
      <c r="N713" s="16">
        <v>8627.9569999999985</v>
      </c>
      <c r="O713" s="16"/>
      <c r="P713" s="16"/>
      <c r="Q713" s="16">
        <f>SUM(Tabela1[[#This Row],[201805]:[201807]])</f>
        <v>26222.393999999997</v>
      </c>
      <c r="R713" s="16">
        <f>SUM(Tabela1[[#This Row],[201905]:[201906]])</f>
        <v>0</v>
      </c>
      <c r="S713" s="16">
        <v>100000</v>
      </c>
      <c r="T713" s="16">
        <f>Tabela1[[#This Row],[Total 2019]]-Tabela1[[#This Row],[Total 2018]]</f>
        <v>-26222.393999999997</v>
      </c>
      <c r="U713" s="40">
        <f>Tabela1[[#This Row],[Total 2019]]/Tabela1[[#This Row],[Meta]]</f>
        <v>0</v>
      </c>
      <c r="V713" s="17">
        <f>IFERROR(Tabela1[[#This Row],[Total 2019]]/Tabela1[[#This Row],[Total 2018]]-1,0)</f>
        <v>-1</v>
      </c>
      <c r="W71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13" s="48"/>
      <c r="Y713" s="19"/>
      <c r="Z713" s="68"/>
    </row>
    <row r="714" spans="3:26" x14ac:dyDescent="0.35">
      <c r="C714" s="11" t="s">
        <v>2702</v>
      </c>
      <c r="D714" s="12" t="s">
        <v>2699</v>
      </c>
      <c r="E714" s="12">
        <v>694</v>
      </c>
      <c r="F714" s="13" t="s">
        <v>2141</v>
      </c>
      <c r="G714" s="14">
        <v>1</v>
      </c>
      <c r="H714" s="14" t="s">
        <v>1371</v>
      </c>
      <c r="I714" s="13">
        <v>7</v>
      </c>
      <c r="J714" s="15" t="s">
        <v>1406</v>
      </c>
      <c r="K714" s="15" t="s">
        <v>2707</v>
      </c>
      <c r="L714" s="16"/>
      <c r="M714" s="16">
        <v>7992.9674999999997</v>
      </c>
      <c r="N714" s="16"/>
      <c r="O714" s="16"/>
      <c r="P714" s="16"/>
      <c r="Q714" s="16">
        <f>SUM(Tabela1[[#This Row],[201805]:[201807]])</f>
        <v>7992.9674999999997</v>
      </c>
      <c r="R714" s="16">
        <f>SUM(Tabela1[[#This Row],[201905]:[201906]])</f>
        <v>0</v>
      </c>
      <c r="S714" s="16">
        <v>100000</v>
      </c>
      <c r="T714" s="16">
        <f>Tabela1[[#This Row],[Total 2019]]-Tabela1[[#This Row],[Total 2018]]</f>
        <v>-7992.9674999999997</v>
      </c>
      <c r="U714" s="40">
        <f>Tabela1[[#This Row],[Total 2019]]/Tabela1[[#This Row],[Meta]]</f>
        <v>0</v>
      </c>
      <c r="V714" s="17">
        <f>IFERROR(Tabela1[[#This Row],[Total 2019]]/Tabela1[[#This Row],[Total 2018]]-1,0)</f>
        <v>-1</v>
      </c>
      <c r="W71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14" s="48"/>
      <c r="Y714" s="19"/>
      <c r="Z714" s="68"/>
    </row>
    <row r="715" spans="3:26" x14ac:dyDescent="0.35">
      <c r="C715" s="11" t="s">
        <v>2704</v>
      </c>
      <c r="D715" s="12" t="s">
        <v>2700</v>
      </c>
      <c r="E715" s="12">
        <v>695</v>
      </c>
      <c r="F715" s="13" t="s">
        <v>2142</v>
      </c>
      <c r="G715" s="14">
        <v>3</v>
      </c>
      <c r="H715" s="14" t="s">
        <v>1370</v>
      </c>
      <c r="I715" s="13">
        <v>8</v>
      </c>
      <c r="J715" s="15" t="s">
        <v>1407</v>
      </c>
      <c r="K715" s="15" t="s">
        <v>2706</v>
      </c>
      <c r="L715" s="16"/>
      <c r="M715" s="16"/>
      <c r="N715" s="16"/>
      <c r="O715" s="16">
        <v>4171.5829999999996</v>
      </c>
      <c r="P715" s="16">
        <v>3154.2089999999998</v>
      </c>
      <c r="Q715" s="16">
        <f>SUM(Tabela1[[#This Row],[201805]:[201807]])</f>
        <v>0</v>
      </c>
      <c r="R715" s="16">
        <f>SUM(Tabela1[[#This Row],[201905]:[201906]])</f>
        <v>7325.7919999999995</v>
      </c>
      <c r="S715" s="16">
        <v>100000</v>
      </c>
      <c r="T715" s="16">
        <f>Tabela1[[#This Row],[Total 2019]]-Tabela1[[#This Row],[Total 2018]]</f>
        <v>7325.7919999999995</v>
      </c>
      <c r="U715" s="40">
        <f>Tabela1[[#This Row],[Total 2019]]/Tabela1[[#This Row],[Meta]]</f>
        <v>7.325791999999999E-2</v>
      </c>
      <c r="V715" s="17">
        <f>IFERROR(Tabela1[[#This Row],[Total 2019]]/Tabela1[[#This Row],[Total 2018]]-1,0)</f>
        <v>0</v>
      </c>
      <c r="W71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715" s="48"/>
      <c r="Y715" s="19"/>
      <c r="Z715" s="68"/>
    </row>
    <row r="716" spans="3:26" x14ac:dyDescent="0.35">
      <c r="C716" s="11" t="s">
        <v>2704</v>
      </c>
      <c r="D716" s="12" t="s">
        <v>2700</v>
      </c>
      <c r="E716" s="12">
        <v>696</v>
      </c>
      <c r="F716" s="13" t="s">
        <v>2143</v>
      </c>
      <c r="G716" s="14">
        <v>1</v>
      </c>
      <c r="H716" s="14" t="s">
        <v>1372</v>
      </c>
      <c r="I716" s="13">
        <v>10</v>
      </c>
      <c r="J716" s="15" t="s">
        <v>1409</v>
      </c>
      <c r="K716" s="15" t="s">
        <v>2708</v>
      </c>
      <c r="L716" s="16">
        <v>3208.91</v>
      </c>
      <c r="M716" s="16">
        <v>8203.1075000000019</v>
      </c>
      <c r="N716" s="16">
        <v>4858.4234999999999</v>
      </c>
      <c r="O716" s="16"/>
      <c r="P716" s="16"/>
      <c r="Q716" s="16">
        <f>SUM(Tabela1[[#This Row],[201805]:[201807]])</f>
        <v>16270.441000000003</v>
      </c>
      <c r="R716" s="16">
        <f>SUM(Tabela1[[#This Row],[201905]:[201906]])</f>
        <v>0</v>
      </c>
      <c r="S716" s="16">
        <v>100000</v>
      </c>
      <c r="T716" s="16">
        <f>Tabela1[[#This Row],[Total 2019]]-Tabela1[[#This Row],[Total 2018]]</f>
        <v>-16270.441000000003</v>
      </c>
      <c r="U716" s="40">
        <f>Tabela1[[#This Row],[Total 2019]]/Tabela1[[#This Row],[Meta]]</f>
        <v>0</v>
      </c>
      <c r="V716" s="17">
        <f>IFERROR(Tabela1[[#This Row],[Total 2019]]/Tabela1[[#This Row],[Total 2018]]-1,0)</f>
        <v>-1</v>
      </c>
      <c r="W71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16" s="48"/>
      <c r="Y716" s="19"/>
      <c r="Z716" s="68"/>
    </row>
    <row r="717" spans="3:26" x14ac:dyDescent="0.35">
      <c r="C717" s="11" t="s">
        <v>2703</v>
      </c>
      <c r="D717" s="12" t="s">
        <v>2698</v>
      </c>
      <c r="E717" s="12">
        <v>697</v>
      </c>
      <c r="F717" s="13" t="s">
        <v>2144</v>
      </c>
      <c r="G717" s="14">
        <v>1</v>
      </c>
      <c r="H717" s="14" t="s">
        <v>1372</v>
      </c>
      <c r="I717" s="13">
        <v>13</v>
      </c>
      <c r="J717" s="15" t="s">
        <v>1412</v>
      </c>
      <c r="K717" s="15" t="s">
        <v>2709</v>
      </c>
      <c r="L717" s="16">
        <v>250.249</v>
      </c>
      <c r="M717" s="16">
        <v>925.92700000000002</v>
      </c>
      <c r="N717" s="16"/>
      <c r="O717" s="16"/>
      <c r="P717" s="16"/>
      <c r="Q717" s="16">
        <f>SUM(Tabela1[[#This Row],[201805]:[201807]])</f>
        <v>1176.1759999999999</v>
      </c>
      <c r="R717" s="16">
        <f>SUM(Tabela1[[#This Row],[201905]:[201906]])</f>
        <v>0</v>
      </c>
      <c r="S717" s="16">
        <v>100000</v>
      </c>
      <c r="T717" s="16">
        <f>Tabela1[[#This Row],[Total 2019]]-Tabela1[[#This Row],[Total 2018]]</f>
        <v>-1176.1759999999999</v>
      </c>
      <c r="U717" s="40">
        <f>Tabela1[[#This Row],[Total 2019]]/Tabela1[[#This Row],[Meta]]</f>
        <v>0</v>
      </c>
      <c r="V717" s="17">
        <f>IFERROR(Tabela1[[#This Row],[Total 2019]]/Tabela1[[#This Row],[Total 2018]]-1,0)</f>
        <v>-1</v>
      </c>
      <c r="W71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17" s="48"/>
      <c r="Y717" s="19"/>
      <c r="Z717" s="68"/>
    </row>
    <row r="718" spans="3:26" x14ac:dyDescent="0.35">
      <c r="C718" s="11" t="s">
        <v>2702</v>
      </c>
      <c r="D718" s="12" t="s">
        <v>2698</v>
      </c>
      <c r="E718" s="12">
        <v>698</v>
      </c>
      <c r="F718" s="13" t="s">
        <v>2145</v>
      </c>
      <c r="G718" s="14">
        <v>1</v>
      </c>
      <c r="H718" s="14" t="s">
        <v>1372</v>
      </c>
      <c r="I718" s="13">
        <v>21</v>
      </c>
      <c r="J718" s="15" t="s">
        <v>1420</v>
      </c>
      <c r="K718" s="15" t="s">
        <v>2708</v>
      </c>
      <c r="L718" s="16"/>
      <c r="M718" s="16">
        <v>1561.5435</v>
      </c>
      <c r="N718" s="16"/>
      <c r="O718" s="16"/>
      <c r="P718" s="16"/>
      <c r="Q718" s="16">
        <f>SUM(Tabela1[[#This Row],[201805]:[201807]])</f>
        <v>1561.5435</v>
      </c>
      <c r="R718" s="16">
        <f>SUM(Tabela1[[#This Row],[201905]:[201906]])</f>
        <v>0</v>
      </c>
      <c r="S718" s="16">
        <v>100000</v>
      </c>
      <c r="T718" s="16">
        <f>Tabela1[[#This Row],[Total 2019]]-Tabela1[[#This Row],[Total 2018]]</f>
        <v>-1561.5435</v>
      </c>
      <c r="U718" s="40">
        <f>Tabela1[[#This Row],[Total 2019]]/Tabela1[[#This Row],[Meta]]</f>
        <v>0</v>
      </c>
      <c r="V718" s="17">
        <f>IFERROR(Tabela1[[#This Row],[Total 2019]]/Tabela1[[#This Row],[Total 2018]]-1,0)</f>
        <v>-1</v>
      </c>
      <c r="W71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18" s="48"/>
      <c r="Y718" s="19"/>
      <c r="Z718" s="68"/>
    </row>
    <row r="719" spans="3:26" x14ac:dyDescent="0.35">
      <c r="C719" s="11" t="s">
        <v>2703</v>
      </c>
      <c r="D719" s="12" t="s">
        <v>2698</v>
      </c>
      <c r="E719" s="12">
        <v>699</v>
      </c>
      <c r="F719" s="13" t="s">
        <v>2146</v>
      </c>
      <c r="G719" s="14">
        <v>3</v>
      </c>
      <c r="H719" s="14" t="s">
        <v>1371</v>
      </c>
      <c r="I719" s="13">
        <v>12</v>
      </c>
      <c r="J719" s="15" t="s">
        <v>1411</v>
      </c>
      <c r="K719" s="15" t="s">
        <v>2707</v>
      </c>
      <c r="L719" s="16">
        <v>5531.7170000000006</v>
      </c>
      <c r="M719" s="16">
        <v>4011.4509999999996</v>
      </c>
      <c r="N719" s="16">
        <v>1959.7169999999996</v>
      </c>
      <c r="O719" s="16"/>
      <c r="P719" s="16"/>
      <c r="Q719" s="16">
        <f>SUM(Tabela1[[#This Row],[201805]:[201807]])</f>
        <v>11502.884999999998</v>
      </c>
      <c r="R719" s="16">
        <f>SUM(Tabela1[[#This Row],[201905]:[201906]])</f>
        <v>0</v>
      </c>
      <c r="S719" s="16">
        <v>100000</v>
      </c>
      <c r="T719" s="16">
        <f>Tabela1[[#This Row],[Total 2019]]-Tabela1[[#This Row],[Total 2018]]</f>
        <v>-11502.884999999998</v>
      </c>
      <c r="U719" s="40">
        <f>Tabela1[[#This Row],[Total 2019]]/Tabela1[[#This Row],[Meta]]</f>
        <v>0</v>
      </c>
      <c r="V719" s="17">
        <f>IFERROR(Tabela1[[#This Row],[Total 2019]]/Tabela1[[#This Row],[Total 2018]]-1,0)</f>
        <v>-1</v>
      </c>
      <c r="W71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19" s="48"/>
      <c r="Y719" s="19"/>
      <c r="Z719" s="68"/>
    </row>
    <row r="720" spans="3:26" x14ac:dyDescent="0.35">
      <c r="C720" s="11" t="s">
        <v>2704</v>
      </c>
      <c r="D720" s="12" t="s">
        <v>2700</v>
      </c>
      <c r="E720" s="12">
        <v>700</v>
      </c>
      <c r="F720" s="13" t="s">
        <v>2147</v>
      </c>
      <c r="G720" s="14">
        <v>2</v>
      </c>
      <c r="H720" s="14" t="s">
        <v>1370</v>
      </c>
      <c r="I720" s="13">
        <v>34</v>
      </c>
      <c r="J720" s="15" t="s">
        <v>1433</v>
      </c>
      <c r="K720" s="15" t="s">
        <v>2706</v>
      </c>
      <c r="L720" s="16"/>
      <c r="M720" s="16">
        <v>5957.5259999999998</v>
      </c>
      <c r="N720" s="16">
        <v>3798.6414999999997</v>
      </c>
      <c r="O720" s="16">
        <v>3944.6374999999998</v>
      </c>
      <c r="P720" s="16"/>
      <c r="Q720" s="16">
        <f>SUM(Tabela1[[#This Row],[201805]:[201807]])</f>
        <v>9756.1674999999996</v>
      </c>
      <c r="R720" s="16">
        <f>SUM(Tabela1[[#This Row],[201905]:[201906]])</f>
        <v>3944.6374999999998</v>
      </c>
      <c r="S720" s="16">
        <v>100000</v>
      </c>
      <c r="T720" s="16">
        <f>Tabela1[[#This Row],[Total 2019]]-Tabela1[[#This Row],[Total 2018]]</f>
        <v>-5811.53</v>
      </c>
      <c r="U720" s="40">
        <f>Tabela1[[#This Row],[Total 2019]]/Tabela1[[#This Row],[Meta]]</f>
        <v>3.9446374999999999E-2</v>
      </c>
      <c r="V720" s="17">
        <f>IFERROR(Tabela1[[#This Row],[Total 2019]]/Tabela1[[#This Row],[Total 2018]]-1,0)</f>
        <v>-0.5956775547365295</v>
      </c>
      <c r="W72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720" s="48"/>
      <c r="Y720" s="19"/>
      <c r="Z720" s="68"/>
    </row>
    <row r="721" spans="3:26" x14ac:dyDescent="0.35">
      <c r="C721" s="11" t="s">
        <v>2702</v>
      </c>
      <c r="D721" s="12" t="s">
        <v>2698</v>
      </c>
      <c r="E721" s="12">
        <v>701</v>
      </c>
      <c r="F721" s="13" t="s">
        <v>2148</v>
      </c>
      <c r="G721" s="14">
        <v>3</v>
      </c>
      <c r="H721" s="14" t="s">
        <v>1371</v>
      </c>
      <c r="I721" s="13">
        <v>12</v>
      </c>
      <c r="J721" s="15" t="s">
        <v>1411</v>
      </c>
      <c r="K721" s="15" t="s">
        <v>2707</v>
      </c>
      <c r="L721" s="16">
        <v>4433.5644999999995</v>
      </c>
      <c r="M721" s="16">
        <v>4080.8199999999997</v>
      </c>
      <c r="N721" s="16">
        <v>1554.3899999999999</v>
      </c>
      <c r="O721" s="16"/>
      <c r="P721" s="16"/>
      <c r="Q721" s="16">
        <f>SUM(Tabela1[[#This Row],[201805]:[201807]])</f>
        <v>10068.7745</v>
      </c>
      <c r="R721" s="16">
        <f>SUM(Tabela1[[#This Row],[201905]:[201906]])</f>
        <v>0</v>
      </c>
      <c r="S721" s="16">
        <v>100000</v>
      </c>
      <c r="T721" s="16">
        <f>Tabela1[[#This Row],[Total 2019]]-Tabela1[[#This Row],[Total 2018]]</f>
        <v>-10068.7745</v>
      </c>
      <c r="U721" s="40">
        <f>Tabela1[[#This Row],[Total 2019]]/Tabela1[[#This Row],[Meta]]</f>
        <v>0</v>
      </c>
      <c r="V721" s="17">
        <f>IFERROR(Tabela1[[#This Row],[Total 2019]]/Tabela1[[#This Row],[Total 2018]]-1,0)</f>
        <v>-1</v>
      </c>
      <c r="W72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21" s="48"/>
      <c r="Y721" s="19"/>
      <c r="Z721" s="68"/>
    </row>
    <row r="722" spans="3:26" x14ac:dyDescent="0.35">
      <c r="C722" s="11" t="s">
        <v>2702</v>
      </c>
      <c r="D722" s="12" t="s">
        <v>2699</v>
      </c>
      <c r="E722" s="12">
        <v>702</v>
      </c>
      <c r="F722" s="13" t="s">
        <v>2149</v>
      </c>
      <c r="G722" s="14">
        <v>1</v>
      </c>
      <c r="H722" s="14" t="s">
        <v>1372</v>
      </c>
      <c r="I722" s="13">
        <v>22</v>
      </c>
      <c r="J722" s="15" t="s">
        <v>1421</v>
      </c>
      <c r="K722" s="15" t="s">
        <v>2708</v>
      </c>
      <c r="L722" s="16"/>
      <c r="M722" s="16">
        <v>5603.9834999999994</v>
      </c>
      <c r="N722" s="16">
        <v>2001.4124999999999</v>
      </c>
      <c r="O722" s="16"/>
      <c r="P722" s="16"/>
      <c r="Q722" s="16">
        <f>SUM(Tabela1[[#This Row],[201805]:[201807]])</f>
        <v>7605.3959999999988</v>
      </c>
      <c r="R722" s="16">
        <f>SUM(Tabela1[[#This Row],[201905]:[201906]])</f>
        <v>0</v>
      </c>
      <c r="S722" s="16">
        <v>100000</v>
      </c>
      <c r="T722" s="16">
        <f>Tabela1[[#This Row],[Total 2019]]-Tabela1[[#This Row],[Total 2018]]</f>
        <v>-7605.3959999999988</v>
      </c>
      <c r="U722" s="40">
        <f>Tabela1[[#This Row],[Total 2019]]/Tabela1[[#This Row],[Meta]]</f>
        <v>0</v>
      </c>
      <c r="V722" s="17">
        <f>IFERROR(Tabela1[[#This Row],[Total 2019]]/Tabela1[[#This Row],[Total 2018]]-1,0)</f>
        <v>-1</v>
      </c>
      <c r="W72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22" s="48"/>
      <c r="Y722" s="19"/>
      <c r="Z722" s="68"/>
    </row>
    <row r="723" spans="3:26" x14ac:dyDescent="0.35">
      <c r="C723" s="11" t="s">
        <v>2702</v>
      </c>
      <c r="D723" s="12" t="s">
        <v>2699</v>
      </c>
      <c r="E723" s="12">
        <v>703</v>
      </c>
      <c r="F723" s="13" t="s">
        <v>2150</v>
      </c>
      <c r="G723" s="14">
        <v>2</v>
      </c>
      <c r="H723" s="14" t="s">
        <v>1371</v>
      </c>
      <c r="I723" s="13">
        <v>9</v>
      </c>
      <c r="J723" s="15" t="s">
        <v>1408</v>
      </c>
      <c r="K723" s="15" t="s">
        <v>2707</v>
      </c>
      <c r="L723" s="16"/>
      <c r="M723" s="16">
        <v>2347.3645000000001</v>
      </c>
      <c r="N723" s="16"/>
      <c r="O723" s="16">
        <v>1545.3744999999999</v>
      </c>
      <c r="P723" s="16">
        <v>7588.8659999999991</v>
      </c>
      <c r="Q723" s="16">
        <f>SUM(Tabela1[[#This Row],[201805]:[201807]])</f>
        <v>2347.3645000000001</v>
      </c>
      <c r="R723" s="16">
        <f>SUM(Tabela1[[#This Row],[201905]:[201906]])</f>
        <v>9134.2404999999999</v>
      </c>
      <c r="S723" s="16">
        <v>100000</v>
      </c>
      <c r="T723" s="16">
        <f>Tabela1[[#This Row],[Total 2019]]-Tabela1[[#This Row],[Total 2018]]</f>
        <v>6786.8760000000002</v>
      </c>
      <c r="U723" s="40">
        <f>Tabela1[[#This Row],[Total 2019]]/Tabela1[[#This Row],[Meta]]</f>
        <v>9.1342405000000002E-2</v>
      </c>
      <c r="V723" s="17">
        <f>IFERROR(Tabela1[[#This Row],[Total 2019]]/Tabela1[[#This Row],[Total 2018]]-1,0)</f>
        <v>2.8912748744389716</v>
      </c>
      <c r="W72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723" s="48"/>
      <c r="Y723" s="19"/>
      <c r="Z723" s="68"/>
    </row>
    <row r="724" spans="3:26" x14ac:dyDescent="0.35">
      <c r="C724" s="11" t="s">
        <v>2703</v>
      </c>
      <c r="D724" s="12" t="s">
        <v>2699</v>
      </c>
      <c r="E724" s="12">
        <v>704</v>
      </c>
      <c r="F724" s="13" t="s">
        <v>2151</v>
      </c>
      <c r="G724" s="14">
        <v>2</v>
      </c>
      <c r="H724" s="14" t="s">
        <v>1370</v>
      </c>
      <c r="I724" s="13">
        <v>8</v>
      </c>
      <c r="J724" s="15" t="s">
        <v>1407</v>
      </c>
      <c r="K724" s="15" t="s">
        <v>2706</v>
      </c>
      <c r="L724" s="16">
        <v>3482.8899999999994</v>
      </c>
      <c r="M724" s="16">
        <v>2731.877</v>
      </c>
      <c r="N724" s="16"/>
      <c r="O724" s="16"/>
      <c r="P724" s="16"/>
      <c r="Q724" s="16">
        <f>SUM(Tabela1[[#This Row],[201805]:[201807]])</f>
        <v>6214.7669999999998</v>
      </c>
      <c r="R724" s="16">
        <f>SUM(Tabela1[[#This Row],[201905]:[201906]])</f>
        <v>0</v>
      </c>
      <c r="S724" s="16">
        <v>100000</v>
      </c>
      <c r="T724" s="16">
        <f>Tabela1[[#This Row],[Total 2019]]-Tabela1[[#This Row],[Total 2018]]</f>
        <v>-6214.7669999999998</v>
      </c>
      <c r="U724" s="40">
        <f>Tabela1[[#This Row],[Total 2019]]/Tabela1[[#This Row],[Meta]]</f>
        <v>0</v>
      </c>
      <c r="V724" s="17">
        <f>IFERROR(Tabela1[[#This Row],[Total 2019]]/Tabela1[[#This Row],[Total 2018]]-1,0)</f>
        <v>-1</v>
      </c>
      <c r="W72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24" s="48"/>
      <c r="Y724" s="19"/>
      <c r="Z724" s="68"/>
    </row>
    <row r="725" spans="3:26" x14ac:dyDescent="0.35">
      <c r="C725" s="11" t="s">
        <v>2702</v>
      </c>
      <c r="D725" s="12" t="s">
        <v>2700</v>
      </c>
      <c r="E725" s="12">
        <v>705</v>
      </c>
      <c r="F725" s="13" t="s">
        <v>2152</v>
      </c>
      <c r="G725" s="14">
        <v>3</v>
      </c>
      <c r="H725" s="14" t="s">
        <v>1372</v>
      </c>
      <c r="I725" s="13">
        <v>17</v>
      </c>
      <c r="J725" s="15" t="s">
        <v>1416</v>
      </c>
      <c r="K725" s="15" t="s">
        <v>2708</v>
      </c>
      <c r="L725" s="16">
        <v>6987.7629999999999</v>
      </c>
      <c r="M725" s="16">
        <v>11470.157500000001</v>
      </c>
      <c r="N725" s="16">
        <v>2676.3209999999999</v>
      </c>
      <c r="O725" s="16">
        <v>4421.3664999999992</v>
      </c>
      <c r="P725" s="16">
        <v>2709.6280000000002</v>
      </c>
      <c r="Q725" s="16">
        <f>SUM(Tabela1[[#This Row],[201805]:[201807]])</f>
        <v>21134.2415</v>
      </c>
      <c r="R725" s="16">
        <f>SUM(Tabela1[[#This Row],[201905]:[201906]])</f>
        <v>7130.9944999999989</v>
      </c>
      <c r="S725" s="16">
        <v>100000</v>
      </c>
      <c r="T725" s="16">
        <f>Tabela1[[#This Row],[Total 2019]]-Tabela1[[#This Row],[Total 2018]]</f>
        <v>-14003.247000000001</v>
      </c>
      <c r="U725" s="40">
        <f>Tabela1[[#This Row],[Total 2019]]/Tabela1[[#This Row],[Meta]]</f>
        <v>7.1309944999999986E-2</v>
      </c>
      <c r="V725" s="17">
        <f>IFERROR(Tabela1[[#This Row],[Total 2019]]/Tabela1[[#This Row],[Total 2018]]-1,0)</f>
        <v>-0.66258573793623021</v>
      </c>
      <c r="W72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725" s="48"/>
      <c r="Y725" s="19"/>
      <c r="Z725" s="68"/>
    </row>
    <row r="726" spans="3:26" x14ac:dyDescent="0.35">
      <c r="C726" s="11" t="s">
        <v>2702</v>
      </c>
      <c r="D726" s="12" t="s">
        <v>2700</v>
      </c>
      <c r="E726" s="12">
        <v>706</v>
      </c>
      <c r="F726" s="13" t="s">
        <v>2153</v>
      </c>
      <c r="G726" s="14">
        <v>3</v>
      </c>
      <c r="H726" s="14" t="s">
        <v>1372</v>
      </c>
      <c r="I726" s="13">
        <v>27</v>
      </c>
      <c r="J726" s="15" t="s">
        <v>1426</v>
      </c>
      <c r="K726" s="15" t="s">
        <v>2708</v>
      </c>
      <c r="L726" s="16"/>
      <c r="M726" s="16">
        <v>2996.433</v>
      </c>
      <c r="N726" s="16">
        <v>2336.7624999999998</v>
      </c>
      <c r="O726" s="16"/>
      <c r="P726" s="16"/>
      <c r="Q726" s="16">
        <f>SUM(Tabela1[[#This Row],[201805]:[201807]])</f>
        <v>5333.1954999999998</v>
      </c>
      <c r="R726" s="16">
        <f>SUM(Tabela1[[#This Row],[201905]:[201906]])</f>
        <v>0</v>
      </c>
      <c r="S726" s="16">
        <v>100000</v>
      </c>
      <c r="T726" s="16">
        <f>Tabela1[[#This Row],[Total 2019]]-Tabela1[[#This Row],[Total 2018]]</f>
        <v>-5333.1954999999998</v>
      </c>
      <c r="U726" s="40">
        <f>Tabela1[[#This Row],[Total 2019]]/Tabela1[[#This Row],[Meta]]</f>
        <v>0</v>
      </c>
      <c r="V726" s="17">
        <f>IFERROR(Tabela1[[#This Row],[Total 2019]]/Tabela1[[#This Row],[Total 2018]]-1,0)</f>
        <v>-1</v>
      </c>
      <c r="W72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26" s="48"/>
      <c r="Y726" s="19"/>
      <c r="Z726" s="68"/>
    </row>
    <row r="727" spans="3:26" x14ac:dyDescent="0.35">
      <c r="C727" s="11" t="s">
        <v>2702</v>
      </c>
      <c r="D727" s="12" t="s">
        <v>2699</v>
      </c>
      <c r="E727" s="12">
        <v>707</v>
      </c>
      <c r="F727" s="13" t="s">
        <v>2154</v>
      </c>
      <c r="G727" s="14">
        <v>1</v>
      </c>
      <c r="H727" s="14" t="s">
        <v>1371</v>
      </c>
      <c r="I727" s="13">
        <v>12</v>
      </c>
      <c r="J727" s="15" t="s">
        <v>1411</v>
      </c>
      <c r="K727" s="15" t="s">
        <v>2707</v>
      </c>
      <c r="L727" s="16">
        <v>1931.6444999999999</v>
      </c>
      <c r="M727" s="16">
        <v>2323.6525000000001</v>
      </c>
      <c r="N727" s="16">
        <v>2890.9355</v>
      </c>
      <c r="O727" s="16">
        <v>3107.2029999999995</v>
      </c>
      <c r="P727" s="16">
        <v>2435.8949999999995</v>
      </c>
      <c r="Q727" s="16">
        <f>SUM(Tabela1[[#This Row],[201805]:[201807]])</f>
        <v>7146.2325000000001</v>
      </c>
      <c r="R727" s="16">
        <f>SUM(Tabela1[[#This Row],[201905]:[201906]])</f>
        <v>5543.097999999999</v>
      </c>
      <c r="S727" s="16">
        <v>100000</v>
      </c>
      <c r="T727" s="16">
        <f>Tabela1[[#This Row],[Total 2019]]-Tabela1[[#This Row],[Total 2018]]</f>
        <v>-1603.134500000001</v>
      </c>
      <c r="U727" s="40">
        <f>Tabela1[[#This Row],[Total 2019]]/Tabela1[[#This Row],[Meta]]</f>
        <v>5.5430979999999991E-2</v>
      </c>
      <c r="V727" s="17">
        <f>IFERROR(Tabela1[[#This Row],[Total 2019]]/Tabela1[[#This Row],[Total 2018]]-1,0)</f>
        <v>-0.22433282152518841</v>
      </c>
      <c r="W72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727" s="48"/>
      <c r="Y727" s="19"/>
      <c r="Z727" s="68"/>
    </row>
    <row r="728" spans="3:26" x14ac:dyDescent="0.35">
      <c r="C728" s="11" t="s">
        <v>2704</v>
      </c>
      <c r="D728" s="12" t="s">
        <v>2698</v>
      </c>
      <c r="E728" s="12">
        <v>708</v>
      </c>
      <c r="F728" s="13" t="s">
        <v>2155</v>
      </c>
      <c r="G728" s="14">
        <v>3</v>
      </c>
      <c r="H728" s="14" t="s">
        <v>1372</v>
      </c>
      <c r="I728" s="13">
        <v>23</v>
      </c>
      <c r="J728" s="15" t="s">
        <v>1422</v>
      </c>
      <c r="K728" s="15" t="s">
        <v>2708</v>
      </c>
      <c r="L728" s="16"/>
      <c r="M728" s="16"/>
      <c r="N728" s="16"/>
      <c r="O728" s="16">
        <v>1976.3894999999998</v>
      </c>
      <c r="P728" s="16">
        <v>2481.4665</v>
      </c>
      <c r="Q728" s="16">
        <f>SUM(Tabela1[[#This Row],[201805]:[201807]])</f>
        <v>0</v>
      </c>
      <c r="R728" s="16">
        <f>SUM(Tabela1[[#This Row],[201905]:[201906]])</f>
        <v>4457.8559999999998</v>
      </c>
      <c r="S728" s="16">
        <v>100000</v>
      </c>
      <c r="T728" s="16">
        <f>Tabela1[[#This Row],[Total 2019]]-Tabela1[[#This Row],[Total 2018]]</f>
        <v>4457.8559999999998</v>
      </c>
      <c r="U728" s="40">
        <f>Tabela1[[#This Row],[Total 2019]]/Tabela1[[#This Row],[Meta]]</f>
        <v>4.4578559999999996E-2</v>
      </c>
      <c r="V728" s="17">
        <f>IFERROR(Tabela1[[#This Row],[Total 2019]]/Tabela1[[#This Row],[Total 2018]]-1,0)</f>
        <v>0</v>
      </c>
      <c r="W72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728" s="48"/>
      <c r="Y728" s="19"/>
      <c r="Z728" s="68"/>
    </row>
    <row r="729" spans="3:26" x14ac:dyDescent="0.35">
      <c r="C729" s="11" t="s">
        <v>2702</v>
      </c>
      <c r="D729" s="12" t="s">
        <v>2700</v>
      </c>
      <c r="E729" s="12">
        <v>709</v>
      </c>
      <c r="F729" s="13" t="s">
        <v>2156</v>
      </c>
      <c r="G729" s="14">
        <v>3</v>
      </c>
      <c r="H729" s="14" t="s">
        <v>1372</v>
      </c>
      <c r="I729" s="13">
        <v>13</v>
      </c>
      <c r="J729" s="15" t="s">
        <v>1412</v>
      </c>
      <c r="K729" s="15" t="s">
        <v>2709</v>
      </c>
      <c r="L729" s="16"/>
      <c r="M729" s="16">
        <v>1990.0314999999998</v>
      </c>
      <c r="N729" s="16"/>
      <c r="O729" s="16"/>
      <c r="P729" s="16"/>
      <c r="Q729" s="16">
        <f>SUM(Tabela1[[#This Row],[201805]:[201807]])</f>
        <v>1990.0314999999998</v>
      </c>
      <c r="R729" s="16">
        <f>SUM(Tabela1[[#This Row],[201905]:[201906]])</f>
        <v>0</v>
      </c>
      <c r="S729" s="16">
        <v>100000</v>
      </c>
      <c r="T729" s="16">
        <f>Tabela1[[#This Row],[Total 2019]]-Tabela1[[#This Row],[Total 2018]]</f>
        <v>-1990.0314999999998</v>
      </c>
      <c r="U729" s="40">
        <f>Tabela1[[#This Row],[Total 2019]]/Tabela1[[#This Row],[Meta]]</f>
        <v>0</v>
      </c>
      <c r="V729" s="17">
        <f>IFERROR(Tabela1[[#This Row],[Total 2019]]/Tabela1[[#This Row],[Total 2018]]-1,0)</f>
        <v>-1</v>
      </c>
      <c r="W72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29" s="48"/>
      <c r="Y729" s="19"/>
      <c r="Z729" s="68"/>
    </row>
    <row r="730" spans="3:26" x14ac:dyDescent="0.35">
      <c r="C730" s="11" t="s">
        <v>2702</v>
      </c>
      <c r="D730" s="12" t="s">
        <v>2699</v>
      </c>
      <c r="E730" s="12">
        <v>710</v>
      </c>
      <c r="F730" s="13" t="s">
        <v>2157</v>
      </c>
      <c r="G730" s="14">
        <v>1</v>
      </c>
      <c r="H730" s="14" t="s">
        <v>1370</v>
      </c>
      <c r="I730" s="13">
        <v>19</v>
      </c>
      <c r="J730" s="15" t="s">
        <v>1418</v>
      </c>
      <c r="K730" s="15" t="s">
        <v>2706</v>
      </c>
      <c r="L730" s="16"/>
      <c r="M730" s="16">
        <v>937.47900000000004</v>
      </c>
      <c r="N730" s="16"/>
      <c r="O730" s="16"/>
      <c r="P730" s="16"/>
      <c r="Q730" s="16">
        <f>SUM(Tabela1[[#This Row],[201805]:[201807]])</f>
        <v>937.47900000000004</v>
      </c>
      <c r="R730" s="16">
        <f>SUM(Tabela1[[#This Row],[201905]:[201906]])</f>
        <v>0</v>
      </c>
      <c r="S730" s="16">
        <v>100000</v>
      </c>
      <c r="T730" s="16">
        <f>Tabela1[[#This Row],[Total 2019]]-Tabela1[[#This Row],[Total 2018]]</f>
        <v>-937.47900000000004</v>
      </c>
      <c r="U730" s="40">
        <f>Tabela1[[#This Row],[Total 2019]]/Tabela1[[#This Row],[Meta]]</f>
        <v>0</v>
      </c>
      <c r="V730" s="17">
        <f>IFERROR(Tabela1[[#This Row],[Total 2019]]/Tabela1[[#This Row],[Total 2018]]-1,0)</f>
        <v>-1</v>
      </c>
      <c r="W73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30" s="48"/>
      <c r="Y730" s="19"/>
      <c r="Z730" s="68"/>
    </row>
    <row r="731" spans="3:26" x14ac:dyDescent="0.35">
      <c r="C731" s="11" t="s">
        <v>2704</v>
      </c>
      <c r="D731" s="12" t="s">
        <v>2699</v>
      </c>
      <c r="E731" s="12">
        <v>711</v>
      </c>
      <c r="F731" s="13" t="s">
        <v>2158</v>
      </c>
      <c r="G731" s="14">
        <v>2</v>
      </c>
      <c r="H731" s="14" t="s">
        <v>1372</v>
      </c>
      <c r="I731" s="13">
        <v>18</v>
      </c>
      <c r="J731" s="15" t="s">
        <v>1417</v>
      </c>
      <c r="K731" s="15" t="s">
        <v>2708</v>
      </c>
      <c r="L731" s="16">
        <v>2066.2214999999997</v>
      </c>
      <c r="M731" s="16">
        <v>4922.0734999999995</v>
      </c>
      <c r="N731" s="16">
        <v>2105.0765000000001</v>
      </c>
      <c r="O731" s="16"/>
      <c r="P731" s="16"/>
      <c r="Q731" s="16">
        <f>SUM(Tabela1[[#This Row],[201805]:[201807]])</f>
        <v>9093.3714999999993</v>
      </c>
      <c r="R731" s="16">
        <f>SUM(Tabela1[[#This Row],[201905]:[201906]])</f>
        <v>0</v>
      </c>
      <c r="S731" s="16">
        <v>100000</v>
      </c>
      <c r="T731" s="16">
        <f>Tabela1[[#This Row],[Total 2019]]-Tabela1[[#This Row],[Total 2018]]</f>
        <v>-9093.3714999999993</v>
      </c>
      <c r="U731" s="40">
        <f>Tabela1[[#This Row],[Total 2019]]/Tabela1[[#This Row],[Meta]]</f>
        <v>0</v>
      </c>
      <c r="V731" s="17">
        <f>IFERROR(Tabela1[[#This Row],[Total 2019]]/Tabela1[[#This Row],[Total 2018]]-1,0)</f>
        <v>-1</v>
      </c>
      <c r="W73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31" s="48"/>
      <c r="Y731" s="19"/>
      <c r="Z731" s="68"/>
    </row>
    <row r="732" spans="3:26" x14ac:dyDescent="0.35">
      <c r="C732" s="11" t="s">
        <v>2703</v>
      </c>
      <c r="D732" s="12" t="s">
        <v>2700</v>
      </c>
      <c r="E732" s="12">
        <v>712</v>
      </c>
      <c r="F732" s="13" t="s">
        <v>2159</v>
      </c>
      <c r="G732" s="14">
        <v>2</v>
      </c>
      <c r="H732" s="14" t="s">
        <v>1370</v>
      </c>
      <c r="I732" s="13">
        <v>1</v>
      </c>
      <c r="J732" s="15" t="s">
        <v>1400</v>
      </c>
      <c r="K732" s="15" t="s">
        <v>2706</v>
      </c>
      <c r="L732" s="16">
        <v>971.45099999999991</v>
      </c>
      <c r="M732" s="16">
        <v>3365.9449999999997</v>
      </c>
      <c r="N732" s="16"/>
      <c r="O732" s="16"/>
      <c r="P732" s="16"/>
      <c r="Q732" s="16">
        <f>SUM(Tabela1[[#This Row],[201805]:[201807]])</f>
        <v>4337.3959999999997</v>
      </c>
      <c r="R732" s="16">
        <f>SUM(Tabela1[[#This Row],[201905]:[201906]])</f>
        <v>0</v>
      </c>
      <c r="S732" s="16">
        <v>100000</v>
      </c>
      <c r="T732" s="16">
        <f>Tabela1[[#This Row],[Total 2019]]-Tabela1[[#This Row],[Total 2018]]</f>
        <v>-4337.3959999999997</v>
      </c>
      <c r="U732" s="40">
        <f>Tabela1[[#This Row],[Total 2019]]/Tabela1[[#This Row],[Meta]]</f>
        <v>0</v>
      </c>
      <c r="V732" s="17">
        <f>IFERROR(Tabela1[[#This Row],[Total 2019]]/Tabela1[[#This Row],[Total 2018]]-1,0)</f>
        <v>-1</v>
      </c>
      <c r="W73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32" s="48"/>
      <c r="Y732" s="19"/>
      <c r="Z732" s="68"/>
    </row>
    <row r="733" spans="3:26" x14ac:dyDescent="0.35">
      <c r="C733" s="11" t="s">
        <v>2702</v>
      </c>
      <c r="D733" s="12" t="s">
        <v>2698</v>
      </c>
      <c r="E733" s="12">
        <v>713</v>
      </c>
      <c r="F733" s="13" t="s">
        <v>2160</v>
      </c>
      <c r="G733" s="14">
        <v>3</v>
      </c>
      <c r="H733" s="14" t="s">
        <v>1370</v>
      </c>
      <c r="I733" s="13">
        <v>15</v>
      </c>
      <c r="J733" s="15" t="s">
        <v>1414</v>
      </c>
      <c r="K733" s="15" t="s">
        <v>2706</v>
      </c>
      <c r="L733" s="16"/>
      <c r="M733" s="16"/>
      <c r="N733" s="16">
        <v>4810.9995000000008</v>
      </c>
      <c r="O733" s="16"/>
      <c r="P733" s="16"/>
      <c r="Q733" s="16">
        <f>SUM(Tabela1[[#This Row],[201805]:[201807]])</f>
        <v>4810.9995000000008</v>
      </c>
      <c r="R733" s="16">
        <f>SUM(Tabela1[[#This Row],[201905]:[201906]])</f>
        <v>0</v>
      </c>
      <c r="S733" s="16">
        <v>100000</v>
      </c>
      <c r="T733" s="16">
        <f>Tabela1[[#This Row],[Total 2019]]-Tabela1[[#This Row],[Total 2018]]</f>
        <v>-4810.9995000000008</v>
      </c>
      <c r="U733" s="40">
        <f>Tabela1[[#This Row],[Total 2019]]/Tabela1[[#This Row],[Meta]]</f>
        <v>0</v>
      </c>
      <c r="V733" s="17">
        <f>IFERROR(Tabela1[[#This Row],[Total 2019]]/Tabela1[[#This Row],[Total 2018]]-1,0)</f>
        <v>-1</v>
      </c>
      <c r="W73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33" s="48"/>
      <c r="Y733" s="19"/>
      <c r="Z733" s="68"/>
    </row>
    <row r="734" spans="3:26" x14ac:dyDescent="0.35">
      <c r="C734" s="11" t="s">
        <v>2703</v>
      </c>
      <c r="D734" s="12" t="s">
        <v>2699</v>
      </c>
      <c r="E734" s="12">
        <v>714</v>
      </c>
      <c r="F734" s="13" t="s">
        <v>2161</v>
      </c>
      <c r="G734" s="14">
        <v>3</v>
      </c>
      <c r="H734" s="14" t="s">
        <v>1372</v>
      </c>
      <c r="I734" s="13">
        <v>20</v>
      </c>
      <c r="J734" s="15" t="s">
        <v>1419</v>
      </c>
      <c r="K734" s="15" t="s">
        <v>2708</v>
      </c>
      <c r="L734" s="16">
        <v>991.11599999999987</v>
      </c>
      <c r="M734" s="16">
        <v>2165.0785000000001</v>
      </c>
      <c r="N734" s="16"/>
      <c r="O734" s="16"/>
      <c r="P734" s="16"/>
      <c r="Q734" s="16">
        <f>SUM(Tabela1[[#This Row],[201805]:[201807]])</f>
        <v>3156.1945000000001</v>
      </c>
      <c r="R734" s="16">
        <f>SUM(Tabela1[[#This Row],[201905]:[201906]])</f>
        <v>0</v>
      </c>
      <c r="S734" s="16">
        <v>100000</v>
      </c>
      <c r="T734" s="16">
        <f>Tabela1[[#This Row],[Total 2019]]-Tabela1[[#This Row],[Total 2018]]</f>
        <v>-3156.1945000000001</v>
      </c>
      <c r="U734" s="40">
        <f>Tabela1[[#This Row],[Total 2019]]/Tabela1[[#This Row],[Meta]]</f>
        <v>0</v>
      </c>
      <c r="V734" s="17">
        <f>IFERROR(Tabela1[[#This Row],[Total 2019]]/Tabela1[[#This Row],[Total 2018]]-1,0)</f>
        <v>-1</v>
      </c>
      <c r="W73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34" s="48"/>
      <c r="Y734" s="19"/>
      <c r="Z734" s="68"/>
    </row>
    <row r="735" spans="3:26" x14ac:dyDescent="0.35">
      <c r="C735" s="11" t="s">
        <v>2702</v>
      </c>
      <c r="D735" s="12" t="s">
        <v>2699</v>
      </c>
      <c r="E735" s="12">
        <v>715</v>
      </c>
      <c r="F735" s="13" t="s">
        <v>2162</v>
      </c>
      <c r="G735" s="14">
        <v>2</v>
      </c>
      <c r="H735" s="14" t="s">
        <v>1371</v>
      </c>
      <c r="I735" s="13">
        <v>24</v>
      </c>
      <c r="J735" s="15" t="s">
        <v>1423</v>
      </c>
      <c r="K735" s="15" t="s">
        <v>2707</v>
      </c>
      <c r="L735" s="16">
        <v>7298.0519999999997</v>
      </c>
      <c r="M735" s="16">
        <v>2818.2129999999997</v>
      </c>
      <c r="N735" s="16"/>
      <c r="O735" s="16"/>
      <c r="P735" s="16"/>
      <c r="Q735" s="16">
        <f>SUM(Tabela1[[#This Row],[201805]:[201807]])</f>
        <v>10116.264999999999</v>
      </c>
      <c r="R735" s="16">
        <f>SUM(Tabela1[[#This Row],[201905]:[201906]])</f>
        <v>0</v>
      </c>
      <c r="S735" s="16">
        <v>100000</v>
      </c>
      <c r="T735" s="16">
        <f>Tabela1[[#This Row],[Total 2019]]-Tabela1[[#This Row],[Total 2018]]</f>
        <v>-10116.264999999999</v>
      </c>
      <c r="U735" s="40">
        <f>Tabela1[[#This Row],[Total 2019]]/Tabela1[[#This Row],[Meta]]</f>
        <v>0</v>
      </c>
      <c r="V735" s="17">
        <f>IFERROR(Tabela1[[#This Row],[Total 2019]]/Tabela1[[#This Row],[Total 2018]]-1,0)</f>
        <v>-1</v>
      </c>
      <c r="W73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35" s="48"/>
      <c r="Y735" s="19"/>
      <c r="Z735" s="68"/>
    </row>
    <row r="736" spans="3:26" x14ac:dyDescent="0.35">
      <c r="C736" s="11" t="s">
        <v>2702</v>
      </c>
      <c r="D736" s="12" t="s">
        <v>2699</v>
      </c>
      <c r="E736" s="12">
        <v>716</v>
      </c>
      <c r="F736" s="13" t="s">
        <v>2163</v>
      </c>
      <c r="G736" s="14">
        <v>2</v>
      </c>
      <c r="H736" s="14" t="s">
        <v>1370</v>
      </c>
      <c r="I736" s="13">
        <v>8</v>
      </c>
      <c r="J736" s="15" t="s">
        <v>1407</v>
      </c>
      <c r="K736" s="15" t="s">
        <v>2706</v>
      </c>
      <c r="L736" s="16"/>
      <c r="M736" s="16">
        <v>1519.2399999999998</v>
      </c>
      <c r="N736" s="16"/>
      <c r="O736" s="16"/>
      <c r="P736" s="16"/>
      <c r="Q736" s="16">
        <f>SUM(Tabela1[[#This Row],[201805]:[201807]])</f>
        <v>1519.2399999999998</v>
      </c>
      <c r="R736" s="16">
        <f>SUM(Tabela1[[#This Row],[201905]:[201906]])</f>
        <v>0</v>
      </c>
      <c r="S736" s="16">
        <v>100000</v>
      </c>
      <c r="T736" s="16">
        <f>Tabela1[[#This Row],[Total 2019]]-Tabela1[[#This Row],[Total 2018]]</f>
        <v>-1519.2399999999998</v>
      </c>
      <c r="U736" s="40">
        <f>Tabela1[[#This Row],[Total 2019]]/Tabela1[[#This Row],[Meta]]</f>
        <v>0</v>
      </c>
      <c r="V736" s="17">
        <f>IFERROR(Tabela1[[#This Row],[Total 2019]]/Tabela1[[#This Row],[Total 2018]]-1,0)</f>
        <v>-1</v>
      </c>
      <c r="W73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36" s="48"/>
      <c r="Y736" s="19"/>
      <c r="Z736" s="68"/>
    </row>
    <row r="737" spans="3:26" x14ac:dyDescent="0.35">
      <c r="C737" s="11" t="s">
        <v>2702</v>
      </c>
      <c r="D737" s="12" t="s">
        <v>2699</v>
      </c>
      <c r="E737" s="12">
        <v>717</v>
      </c>
      <c r="F737" s="13" t="s">
        <v>2164</v>
      </c>
      <c r="G737" s="14">
        <v>2</v>
      </c>
      <c r="H737" s="14" t="s">
        <v>1371</v>
      </c>
      <c r="I737" s="13">
        <v>14</v>
      </c>
      <c r="J737" s="15" t="s">
        <v>1413</v>
      </c>
      <c r="K737" s="15" t="s">
        <v>2707</v>
      </c>
      <c r="L737" s="16"/>
      <c r="M737" s="16">
        <v>1869.0964999999999</v>
      </c>
      <c r="N737" s="16"/>
      <c r="O737" s="16"/>
      <c r="P737" s="16"/>
      <c r="Q737" s="16">
        <f>SUM(Tabela1[[#This Row],[201805]:[201807]])</f>
        <v>1869.0964999999999</v>
      </c>
      <c r="R737" s="16">
        <f>SUM(Tabela1[[#This Row],[201905]:[201906]])</f>
        <v>0</v>
      </c>
      <c r="S737" s="16">
        <v>100000</v>
      </c>
      <c r="T737" s="16">
        <f>Tabela1[[#This Row],[Total 2019]]-Tabela1[[#This Row],[Total 2018]]</f>
        <v>-1869.0964999999999</v>
      </c>
      <c r="U737" s="40">
        <f>Tabela1[[#This Row],[Total 2019]]/Tabela1[[#This Row],[Meta]]</f>
        <v>0</v>
      </c>
      <c r="V737" s="17">
        <f>IFERROR(Tabela1[[#This Row],[Total 2019]]/Tabela1[[#This Row],[Total 2018]]-1,0)</f>
        <v>-1</v>
      </c>
      <c r="W73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37" s="48"/>
      <c r="Y737" s="19"/>
      <c r="Z737" s="68"/>
    </row>
    <row r="738" spans="3:26" x14ac:dyDescent="0.35">
      <c r="C738" s="11" t="s">
        <v>2702</v>
      </c>
      <c r="D738" s="12" t="s">
        <v>2700</v>
      </c>
      <c r="E738" s="12">
        <v>718</v>
      </c>
      <c r="F738" s="13" t="s">
        <v>2165</v>
      </c>
      <c r="G738" s="14">
        <v>2</v>
      </c>
      <c r="H738" s="14" t="s">
        <v>1372</v>
      </c>
      <c r="I738" s="13">
        <v>18</v>
      </c>
      <c r="J738" s="15" t="s">
        <v>1417</v>
      </c>
      <c r="K738" s="15" t="s">
        <v>2708</v>
      </c>
      <c r="L738" s="16"/>
      <c r="M738" s="16">
        <v>4087.9829999999993</v>
      </c>
      <c r="N738" s="16"/>
      <c r="O738" s="16"/>
      <c r="P738" s="16"/>
      <c r="Q738" s="16">
        <f>SUM(Tabela1[[#This Row],[201805]:[201807]])</f>
        <v>4087.9829999999993</v>
      </c>
      <c r="R738" s="16">
        <f>SUM(Tabela1[[#This Row],[201905]:[201906]])</f>
        <v>0</v>
      </c>
      <c r="S738" s="16">
        <v>100000</v>
      </c>
      <c r="T738" s="16">
        <f>Tabela1[[#This Row],[Total 2019]]-Tabela1[[#This Row],[Total 2018]]</f>
        <v>-4087.9829999999993</v>
      </c>
      <c r="U738" s="40">
        <f>Tabela1[[#This Row],[Total 2019]]/Tabela1[[#This Row],[Meta]]</f>
        <v>0</v>
      </c>
      <c r="V738" s="17">
        <f>IFERROR(Tabela1[[#This Row],[Total 2019]]/Tabela1[[#This Row],[Total 2018]]-1,0)</f>
        <v>-1</v>
      </c>
      <c r="W73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38" s="48"/>
      <c r="Y738" s="19"/>
      <c r="Z738" s="68"/>
    </row>
    <row r="739" spans="3:26" x14ac:dyDescent="0.35">
      <c r="C739" s="11" t="s">
        <v>2702</v>
      </c>
      <c r="D739" s="12" t="s">
        <v>2698</v>
      </c>
      <c r="E739" s="12">
        <v>719</v>
      </c>
      <c r="F739" s="13" t="s">
        <v>2166</v>
      </c>
      <c r="G739" s="14">
        <v>2</v>
      </c>
      <c r="H739" s="14" t="s">
        <v>1370</v>
      </c>
      <c r="I739" s="13">
        <v>8</v>
      </c>
      <c r="J739" s="15" t="s">
        <v>1407</v>
      </c>
      <c r="K739" s="15" t="s">
        <v>2706</v>
      </c>
      <c r="L739" s="16">
        <v>2467.9859999999999</v>
      </c>
      <c r="M739" s="16">
        <v>4388.6390000000001</v>
      </c>
      <c r="N739" s="16"/>
      <c r="O739" s="16"/>
      <c r="P739" s="16"/>
      <c r="Q739" s="16">
        <f>SUM(Tabela1[[#This Row],[201805]:[201807]])</f>
        <v>6856.625</v>
      </c>
      <c r="R739" s="16">
        <f>SUM(Tabela1[[#This Row],[201905]:[201906]])</f>
        <v>0</v>
      </c>
      <c r="S739" s="16">
        <v>100000</v>
      </c>
      <c r="T739" s="16">
        <f>Tabela1[[#This Row],[Total 2019]]-Tabela1[[#This Row],[Total 2018]]</f>
        <v>-6856.625</v>
      </c>
      <c r="U739" s="40">
        <f>Tabela1[[#This Row],[Total 2019]]/Tabela1[[#This Row],[Meta]]</f>
        <v>0</v>
      </c>
      <c r="V739" s="17">
        <f>IFERROR(Tabela1[[#This Row],[Total 2019]]/Tabela1[[#This Row],[Total 2018]]-1,0)</f>
        <v>-1</v>
      </c>
      <c r="W73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39" s="48"/>
      <c r="Y739" s="19"/>
      <c r="Z739" s="68"/>
    </row>
    <row r="740" spans="3:26" x14ac:dyDescent="0.35">
      <c r="C740" s="11" t="s">
        <v>2703</v>
      </c>
      <c r="D740" s="12" t="s">
        <v>2698</v>
      </c>
      <c r="E740" s="12">
        <v>720</v>
      </c>
      <c r="F740" s="13" t="s">
        <v>2167</v>
      </c>
      <c r="G740" s="14">
        <v>2</v>
      </c>
      <c r="H740" s="14" t="s">
        <v>1373</v>
      </c>
      <c r="I740" s="13">
        <v>28</v>
      </c>
      <c r="J740" s="15" t="s">
        <v>1427</v>
      </c>
      <c r="K740" s="15" t="s">
        <v>2710</v>
      </c>
      <c r="L740" s="16">
        <v>8769.5354999999981</v>
      </c>
      <c r="M740" s="16"/>
      <c r="N740" s="16"/>
      <c r="O740" s="16"/>
      <c r="P740" s="16"/>
      <c r="Q740" s="16">
        <f>SUM(Tabela1[[#This Row],[201805]:[201807]])</f>
        <v>8769.5354999999981</v>
      </c>
      <c r="R740" s="16">
        <f>SUM(Tabela1[[#This Row],[201905]:[201906]])</f>
        <v>0</v>
      </c>
      <c r="S740" s="16">
        <v>100000</v>
      </c>
      <c r="T740" s="16">
        <f>Tabela1[[#This Row],[Total 2019]]-Tabela1[[#This Row],[Total 2018]]</f>
        <v>-8769.5354999999981</v>
      </c>
      <c r="U740" s="40">
        <f>Tabela1[[#This Row],[Total 2019]]/Tabela1[[#This Row],[Meta]]</f>
        <v>0</v>
      </c>
      <c r="V740" s="17">
        <f>IFERROR(Tabela1[[#This Row],[Total 2019]]/Tabela1[[#This Row],[Total 2018]]-1,0)</f>
        <v>-1</v>
      </c>
      <c r="W74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40" s="48"/>
      <c r="Y740" s="19"/>
      <c r="Z740" s="68"/>
    </row>
    <row r="741" spans="3:26" x14ac:dyDescent="0.35">
      <c r="C741" s="11" t="s">
        <v>2703</v>
      </c>
      <c r="D741" s="12" t="s">
        <v>2700</v>
      </c>
      <c r="E741" s="12">
        <v>721</v>
      </c>
      <c r="F741" s="13" t="s">
        <v>2168</v>
      </c>
      <c r="G741" s="14">
        <v>2</v>
      </c>
      <c r="H741" s="14" t="s">
        <v>1372</v>
      </c>
      <c r="I741" s="13">
        <v>22</v>
      </c>
      <c r="J741" s="15" t="s">
        <v>1421</v>
      </c>
      <c r="K741" s="15" t="s">
        <v>2708</v>
      </c>
      <c r="L741" s="16">
        <v>3944.5614999999998</v>
      </c>
      <c r="M741" s="16">
        <v>2212.0085000000004</v>
      </c>
      <c r="N741" s="16"/>
      <c r="O741" s="16"/>
      <c r="P741" s="16"/>
      <c r="Q741" s="16">
        <f>SUM(Tabela1[[#This Row],[201805]:[201807]])</f>
        <v>6156.57</v>
      </c>
      <c r="R741" s="16">
        <f>SUM(Tabela1[[#This Row],[201905]:[201906]])</f>
        <v>0</v>
      </c>
      <c r="S741" s="16">
        <v>100000</v>
      </c>
      <c r="T741" s="16">
        <f>Tabela1[[#This Row],[Total 2019]]-Tabela1[[#This Row],[Total 2018]]</f>
        <v>-6156.57</v>
      </c>
      <c r="U741" s="40">
        <f>Tabela1[[#This Row],[Total 2019]]/Tabela1[[#This Row],[Meta]]</f>
        <v>0</v>
      </c>
      <c r="V741" s="17">
        <f>IFERROR(Tabela1[[#This Row],[Total 2019]]/Tabela1[[#This Row],[Total 2018]]-1,0)</f>
        <v>-1</v>
      </c>
      <c r="W74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41" s="48"/>
      <c r="Y741" s="19"/>
      <c r="Z741" s="68"/>
    </row>
    <row r="742" spans="3:26" x14ac:dyDescent="0.35">
      <c r="C742" s="11" t="s">
        <v>2703</v>
      </c>
      <c r="D742" s="12" t="s">
        <v>2700</v>
      </c>
      <c r="E742" s="12">
        <v>722</v>
      </c>
      <c r="F742" s="13" t="s">
        <v>2169</v>
      </c>
      <c r="G742" s="14">
        <v>1</v>
      </c>
      <c r="H742" s="14" t="s">
        <v>1370</v>
      </c>
      <c r="I742" s="13">
        <v>1</v>
      </c>
      <c r="J742" s="15" t="s">
        <v>1400</v>
      </c>
      <c r="K742" s="15" t="s">
        <v>2706</v>
      </c>
      <c r="L742" s="16"/>
      <c r="M742" s="16">
        <v>2299.6174999999998</v>
      </c>
      <c r="N742" s="16"/>
      <c r="O742" s="16"/>
      <c r="P742" s="16"/>
      <c r="Q742" s="16">
        <f>SUM(Tabela1[[#This Row],[201805]:[201807]])</f>
        <v>2299.6174999999998</v>
      </c>
      <c r="R742" s="16">
        <f>SUM(Tabela1[[#This Row],[201905]:[201906]])</f>
        <v>0</v>
      </c>
      <c r="S742" s="16">
        <v>100000</v>
      </c>
      <c r="T742" s="16">
        <f>Tabela1[[#This Row],[Total 2019]]-Tabela1[[#This Row],[Total 2018]]</f>
        <v>-2299.6174999999998</v>
      </c>
      <c r="U742" s="40">
        <f>Tabela1[[#This Row],[Total 2019]]/Tabela1[[#This Row],[Meta]]</f>
        <v>0</v>
      </c>
      <c r="V742" s="17">
        <f>IFERROR(Tabela1[[#This Row],[Total 2019]]/Tabela1[[#This Row],[Total 2018]]-1,0)</f>
        <v>-1</v>
      </c>
      <c r="W74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42" s="48"/>
      <c r="Y742" s="19"/>
      <c r="Z742" s="68"/>
    </row>
    <row r="743" spans="3:26" x14ac:dyDescent="0.35">
      <c r="C743" s="11" t="s">
        <v>2702</v>
      </c>
      <c r="D743" s="12" t="s">
        <v>2698</v>
      </c>
      <c r="E743" s="12">
        <v>723</v>
      </c>
      <c r="F743" s="13" t="s">
        <v>2170</v>
      </c>
      <c r="G743" s="14">
        <v>3</v>
      </c>
      <c r="H743" s="14" t="s">
        <v>1371</v>
      </c>
      <c r="I743" s="13">
        <v>7</v>
      </c>
      <c r="J743" s="15" t="s">
        <v>1406</v>
      </c>
      <c r="K743" s="15" t="s">
        <v>2707</v>
      </c>
      <c r="L743" s="16"/>
      <c r="M743" s="16">
        <v>5322.5554999999995</v>
      </c>
      <c r="N743" s="16">
        <v>3856.3539999999994</v>
      </c>
      <c r="O743" s="16"/>
      <c r="P743" s="16"/>
      <c r="Q743" s="16">
        <f>SUM(Tabela1[[#This Row],[201805]:[201807]])</f>
        <v>9178.9094999999979</v>
      </c>
      <c r="R743" s="16">
        <f>SUM(Tabela1[[#This Row],[201905]:[201906]])</f>
        <v>0</v>
      </c>
      <c r="S743" s="16">
        <v>100000</v>
      </c>
      <c r="T743" s="16">
        <f>Tabela1[[#This Row],[Total 2019]]-Tabela1[[#This Row],[Total 2018]]</f>
        <v>-9178.9094999999979</v>
      </c>
      <c r="U743" s="40">
        <f>Tabela1[[#This Row],[Total 2019]]/Tabela1[[#This Row],[Meta]]</f>
        <v>0</v>
      </c>
      <c r="V743" s="17">
        <f>IFERROR(Tabela1[[#This Row],[Total 2019]]/Tabela1[[#This Row],[Total 2018]]-1,0)</f>
        <v>-1</v>
      </c>
      <c r="W74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43" s="48"/>
      <c r="Y743" s="19"/>
      <c r="Z743" s="68"/>
    </row>
    <row r="744" spans="3:26" x14ac:dyDescent="0.35">
      <c r="C744" s="11" t="s">
        <v>2704</v>
      </c>
      <c r="D744" s="12" t="s">
        <v>2698</v>
      </c>
      <c r="E744" s="12">
        <v>724</v>
      </c>
      <c r="F744" s="13" t="s">
        <v>2171</v>
      </c>
      <c r="G744" s="14">
        <v>2</v>
      </c>
      <c r="H744" s="14" t="s">
        <v>1372</v>
      </c>
      <c r="I744" s="13">
        <v>16</v>
      </c>
      <c r="J744" s="15" t="s">
        <v>1415</v>
      </c>
      <c r="K744" s="15" t="s">
        <v>2708</v>
      </c>
      <c r="L744" s="16"/>
      <c r="M744" s="16">
        <v>2021.9039999999998</v>
      </c>
      <c r="N744" s="16"/>
      <c r="O744" s="16"/>
      <c r="P744" s="16"/>
      <c r="Q744" s="16">
        <f>SUM(Tabela1[[#This Row],[201805]:[201807]])</f>
        <v>2021.9039999999998</v>
      </c>
      <c r="R744" s="16">
        <f>SUM(Tabela1[[#This Row],[201905]:[201906]])</f>
        <v>0</v>
      </c>
      <c r="S744" s="16">
        <v>100000</v>
      </c>
      <c r="T744" s="16">
        <f>Tabela1[[#This Row],[Total 2019]]-Tabela1[[#This Row],[Total 2018]]</f>
        <v>-2021.9039999999998</v>
      </c>
      <c r="U744" s="40">
        <f>Tabela1[[#This Row],[Total 2019]]/Tabela1[[#This Row],[Meta]]</f>
        <v>0</v>
      </c>
      <c r="V744" s="17">
        <f>IFERROR(Tabela1[[#This Row],[Total 2019]]/Tabela1[[#This Row],[Total 2018]]-1,0)</f>
        <v>-1</v>
      </c>
      <c r="W74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44" s="48"/>
      <c r="Y744" s="19"/>
      <c r="Z744" s="68"/>
    </row>
    <row r="745" spans="3:26" x14ac:dyDescent="0.35">
      <c r="C745" s="11" t="s">
        <v>2704</v>
      </c>
      <c r="D745" s="12" t="s">
        <v>2698</v>
      </c>
      <c r="E745" s="12">
        <v>725</v>
      </c>
      <c r="F745" s="13" t="s">
        <v>2172</v>
      </c>
      <c r="G745" s="14">
        <v>1</v>
      </c>
      <c r="H745" s="14" t="s">
        <v>1372</v>
      </c>
      <c r="I745" s="13">
        <v>21</v>
      </c>
      <c r="J745" s="15" t="s">
        <v>1420</v>
      </c>
      <c r="K745" s="15" t="s">
        <v>2708</v>
      </c>
      <c r="L745" s="16">
        <v>775.34249999999997</v>
      </c>
      <c r="M745" s="16">
        <v>1272.0974999999999</v>
      </c>
      <c r="N745" s="16">
        <v>719.18799999999999</v>
      </c>
      <c r="O745" s="16">
        <v>3146.8369999999995</v>
      </c>
      <c r="P745" s="16"/>
      <c r="Q745" s="16">
        <f>SUM(Tabela1[[#This Row],[201805]:[201807]])</f>
        <v>2766.6279999999997</v>
      </c>
      <c r="R745" s="16">
        <f>SUM(Tabela1[[#This Row],[201905]:[201906]])</f>
        <v>3146.8369999999995</v>
      </c>
      <c r="S745" s="16">
        <v>100000</v>
      </c>
      <c r="T745" s="16">
        <f>Tabela1[[#This Row],[Total 2019]]-Tabela1[[#This Row],[Total 2018]]</f>
        <v>380.20899999999983</v>
      </c>
      <c r="U745" s="40">
        <f>Tabela1[[#This Row],[Total 2019]]/Tabela1[[#This Row],[Meta]]</f>
        <v>3.1468369999999996E-2</v>
      </c>
      <c r="V745" s="17">
        <f>IFERROR(Tabela1[[#This Row],[Total 2019]]/Tabela1[[#This Row],[Total 2018]]-1,0)</f>
        <v>0.13742686042359131</v>
      </c>
      <c r="W74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745" s="48"/>
      <c r="Y745" s="19"/>
      <c r="Z745" s="68"/>
    </row>
    <row r="746" spans="3:26" x14ac:dyDescent="0.35">
      <c r="C746" s="11" t="s">
        <v>2702</v>
      </c>
      <c r="D746" s="12" t="s">
        <v>2700</v>
      </c>
      <c r="E746" s="12">
        <v>726</v>
      </c>
      <c r="F746" s="13" t="s">
        <v>2173</v>
      </c>
      <c r="G746" s="14">
        <v>1</v>
      </c>
      <c r="H746" s="14" t="s">
        <v>1370</v>
      </c>
      <c r="I746" s="13">
        <v>11</v>
      </c>
      <c r="J746" s="15" t="s">
        <v>1410</v>
      </c>
      <c r="K746" s="15" t="s">
        <v>2706</v>
      </c>
      <c r="L746" s="16">
        <v>4399.5925000000007</v>
      </c>
      <c r="M746" s="16">
        <v>1331.9189999999999</v>
      </c>
      <c r="N746" s="16"/>
      <c r="O746" s="16"/>
      <c r="P746" s="16"/>
      <c r="Q746" s="16">
        <f>SUM(Tabela1[[#This Row],[201805]:[201807]])</f>
        <v>5731.5115000000005</v>
      </c>
      <c r="R746" s="16">
        <f>SUM(Tabela1[[#This Row],[201905]:[201906]])</f>
        <v>0</v>
      </c>
      <c r="S746" s="16">
        <v>100000</v>
      </c>
      <c r="T746" s="16">
        <f>Tabela1[[#This Row],[Total 2019]]-Tabela1[[#This Row],[Total 2018]]</f>
        <v>-5731.5115000000005</v>
      </c>
      <c r="U746" s="40">
        <f>Tabela1[[#This Row],[Total 2019]]/Tabela1[[#This Row],[Meta]]</f>
        <v>0</v>
      </c>
      <c r="V746" s="17">
        <f>IFERROR(Tabela1[[#This Row],[Total 2019]]/Tabela1[[#This Row],[Total 2018]]-1,0)</f>
        <v>-1</v>
      </c>
      <c r="W74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46" s="48"/>
      <c r="Y746" s="19"/>
      <c r="Z746" s="68"/>
    </row>
    <row r="747" spans="3:26" x14ac:dyDescent="0.35">
      <c r="C747" s="11" t="s">
        <v>2704</v>
      </c>
      <c r="D747" s="12" t="s">
        <v>2699</v>
      </c>
      <c r="E747" s="12">
        <v>727</v>
      </c>
      <c r="F747" s="13" t="s">
        <v>2174</v>
      </c>
      <c r="G747" s="14">
        <v>3</v>
      </c>
      <c r="H747" s="14" t="s">
        <v>1372</v>
      </c>
      <c r="I747" s="13">
        <v>22</v>
      </c>
      <c r="J747" s="15" t="s">
        <v>1421</v>
      </c>
      <c r="K747" s="15" t="s">
        <v>2708</v>
      </c>
      <c r="L747" s="16">
        <v>6595.7169999999987</v>
      </c>
      <c r="M747" s="16">
        <v>3686.2849999999994</v>
      </c>
      <c r="N747" s="16"/>
      <c r="O747" s="16">
        <v>6582.8254999999999</v>
      </c>
      <c r="P747" s="16">
        <v>4626.2434999999996</v>
      </c>
      <c r="Q747" s="16">
        <f>SUM(Tabela1[[#This Row],[201805]:[201807]])</f>
        <v>10282.001999999999</v>
      </c>
      <c r="R747" s="16">
        <f>SUM(Tabela1[[#This Row],[201905]:[201906]])</f>
        <v>11209.069</v>
      </c>
      <c r="S747" s="16">
        <v>100000</v>
      </c>
      <c r="T747" s="16">
        <f>Tabela1[[#This Row],[Total 2019]]-Tabela1[[#This Row],[Total 2018]]</f>
        <v>927.06700000000092</v>
      </c>
      <c r="U747" s="40">
        <f>Tabela1[[#This Row],[Total 2019]]/Tabela1[[#This Row],[Meta]]</f>
        <v>0.11209068999999999</v>
      </c>
      <c r="V747" s="17">
        <f>IFERROR(Tabela1[[#This Row],[Total 2019]]/Tabela1[[#This Row],[Total 2018]]-1,0)</f>
        <v>9.0164055599289084E-2</v>
      </c>
      <c r="W74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747" s="48"/>
      <c r="Y747" s="19"/>
      <c r="Z747" s="68"/>
    </row>
    <row r="748" spans="3:26" x14ac:dyDescent="0.35">
      <c r="C748" s="11" t="s">
        <v>2704</v>
      </c>
      <c r="D748" s="12" t="s">
        <v>2700</v>
      </c>
      <c r="E748" s="12">
        <v>728</v>
      </c>
      <c r="F748" s="13" t="s">
        <v>2175</v>
      </c>
      <c r="G748" s="14">
        <v>1</v>
      </c>
      <c r="H748" s="14" t="s">
        <v>1370</v>
      </c>
      <c r="I748" s="13">
        <v>1</v>
      </c>
      <c r="J748" s="15" t="s">
        <v>1400</v>
      </c>
      <c r="K748" s="15" t="s">
        <v>2706</v>
      </c>
      <c r="L748" s="16">
        <v>5322.7834999999995</v>
      </c>
      <c r="M748" s="16">
        <v>6358.9865</v>
      </c>
      <c r="N748" s="16"/>
      <c r="O748" s="16">
        <v>7331.0739999999996</v>
      </c>
      <c r="P748" s="16">
        <v>3501.0064999999995</v>
      </c>
      <c r="Q748" s="16">
        <f>SUM(Tabela1[[#This Row],[201805]:[201807]])</f>
        <v>11681.77</v>
      </c>
      <c r="R748" s="16">
        <f>SUM(Tabela1[[#This Row],[201905]:[201906]])</f>
        <v>10832.0805</v>
      </c>
      <c r="S748" s="16">
        <v>100000</v>
      </c>
      <c r="T748" s="16">
        <f>Tabela1[[#This Row],[Total 2019]]-Tabela1[[#This Row],[Total 2018]]</f>
        <v>-849.68950000000041</v>
      </c>
      <c r="U748" s="40">
        <f>Tabela1[[#This Row],[Total 2019]]/Tabela1[[#This Row],[Meta]]</f>
        <v>0.10832080500000001</v>
      </c>
      <c r="V748" s="17">
        <f>IFERROR(Tabela1[[#This Row],[Total 2019]]/Tabela1[[#This Row],[Total 2018]]-1,0)</f>
        <v>-7.2736366149992682E-2</v>
      </c>
      <c r="W74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748" s="48"/>
      <c r="Y748" s="19"/>
      <c r="Z748" s="68"/>
    </row>
    <row r="749" spans="3:26" x14ac:dyDescent="0.35">
      <c r="C749" s="11" t="s">
        <v>2702</v>
      </c>
      <c r="D749" s="12" t="s">
        <v>2698</v>
      </c>
      <c r="E749" s="12">
        <v>729</v>
      </c>
      <c r="F749" s="13" t="s">
        <v>2176</v>
      </c>
      <c r="G749" s="14">
        <v>1</v>
      </c>
      <c r="H749" s="14" t="s">
        <v>1372</v>
      </c>
      <c r="I749" s="13">
        <v>25</v>
      </c>
      <c r="J749" s="15" t="s">
        <v>1424</v>
      </c>
      <c r="K749" s="15" t="s">
        <v>2708</v>
      </c>
      <c r="L749" s="16">
        <v>1283.0319999999999</v>
      </c>
      <c r="M749" s="16">
        <v>3437.4894999999997</v>
      </c>
      <c r="N749" s="16">
        <v>1548.4144999999999</v>
      </c>
      <c r="O749" s="16">
        <v>5739.0640000000003</v>
      </c>
      <c r="P749" s="16">
        <v>1242.2485000000001</v>
      </c>
      <c r="Q749" s="16">
        <f>SUM(Tabela1[[#This Row],[201805]:[201807]])</f>
        <v>6268.9359999999997</v>
      </c>
      <c r="R749" s="16">
        <f>SUM(Tabela1[[#This Row],[201905]:[201906]])</f>
        <v>6981.3125</v>
      </c>
      <c r="S749" s="16">
        <v>100000</v>
      </c>
      <c r="T749" s="16">
        <f>Tabela1[[#This Row],[Total 2019]]-Tabela1[[#This Row],[Total 2018]]</f>
        <v>712.37650000000031</v>
      </c>
      <c r="U749" s="40">
        <f>Tabela1[[#This Row],[Total 2019]]/Tabela1[[#This Row],[Meta]]</f>
        <v>6.9813125000000004E-2</v>
      </c>
      <c r="V749" s="17">
        <f>IFERROR(Tabela1[[#This Row],[Total 2019]]/Tabela1[[#This Row],[Total 2018]]-1,0)</f>
        <v>0.1136359503430886</v>
      </c>
      <c r="W74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749" s="48"/>
      <c r="Y749" s="19"/>
      <c r="Z749" s="68"/>
    </row>
    <row r="750" spans="3:26" x14ac:dyDescent="0.35">
      <c r="C750" s="11" t="s">
        <v>2702</v>
      </c>
      <c r="D750" s="12" t="s">
        <v>2698</v>
      </c>
      <c r="E750" s="12">
        <v>730</v>
      </c>
      <c r="F750" s="13" t="s">
        <v>2177</v>
      </c>
      <c r="G750" s="14">
        <v>3</v>
      </c>
      <c r="H750" s="14" t="s">
        <v>1372</v>
      </c>
      <c r="I750" s="13">
        <v>25</v>
      </c>
      <c r="J750" s="15" t="s">
        <v>1424</v>
      </c>
      <c r="K750" s="15" t="s">
        <v>2708</v>
      </c>
      <c r="L750" s="16"/>
      <c r="M750" s="16"/>
      <c r="N750" s="16"/>
      <c r="O750" s="16">
        <v>6100.8240000000005</v>
      </c>
      <c r="P750" s="16">
        <v>1964.6949999999999</v>
      </c>
      <c r="Q750" s="16">
        <f>SUM(Tabela1[[#This Row],[201805]:[201807]])</f>
        <v>0</v>
      </c>
      <c r="R750" s="16">
        <f>SUM(Tabela1[[#This Row],[201905]:[201906]])</f>
        <v>8065.5190000000002</v>
      </c>
      <c r="S750" s="16">
        <v>100000</v>
      </c>
      <c r="T750" s="16">
        <f>Tabela1[[#This Row],[Total 2019]]-Tabela1[[#This Row],[Total 2018]]</f>
        <v>8065.5190000000002</v>
      </c>
      <c r="U750" s="40">
        <f>Tabela1[[#This Row],[Total 2019]]/Tabela1[[#This Row],[Meta]]</f>
        <v>8.0655190000000002E-2</v>
      </c>
      <c r="V750" s="17">
        <f>IFERROR(Tabela1[[#This Row],[Total 2019]]/Tabela1[[#This Row],[Total 2018]]-1,0)</f>
        <v>0</v>
      </c>
      <c r="W75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750" s="48"/>
      <c r="Y750" s="19"/>
      <c r="Z750" s="68"/>
    </row>
    <row r="751" spans="3:26" x14ac:dyDescent="0.35">
      <c r="C751" s="11" t="s">
        <v>2702</v>
      </c>
      <c r="D751" s="12" t="s">
        <v>2698</v>
      </c>
      <c r="E751" s="12">
        <v>731</v>
      </c>
      <c r="F751" s="13" t="s">
        <v>2178</v>
      </c>
      <c r="G751" s="14">
        <v>2</v>
      </c>
      <c r="H751" s="14" t="s">
        <v>1370</v>
      </c>
      <c r="I751" s="13">
        <v>29</v>
      </c>
      <c r="J751" s="15" t="s">
        <v>1428</v>
      </c>
      <c r="K751" s="15" t="s">
        <v>2706</v>
      </c>
      <c r="L751" s="16">
        <v>5864.1219999999994</v>
      </c>
      <c r="M751" s="16">
        <v>2952.4480000000003</v>
      </c>
      <c r="N751" s="16"/>
      <c r="O751" s="16">
        <v>9883.847499999998</v>
      </c>
      <c r="P751" s="16">
        <v>3377.1075000000001</v>
      </c>
      <c r="Q751" s="16">
        <f>SUM(Tabela1[[#This Row],[201805]:[201807]])</f>
        <v>8816.57</v>
      </c>
      <c r="R751" s="16">
        <f>SUM(Tabela1[[#This Row],[201905]:[201906]])</f>
        <v>13260.954999999998</v>
      </c>
      <c r="S751" s="16">
        <v>100000</v>
      </c>
      <c r="T751" s="16">
        <f>Tabela1[[#This Row],[Total 2019]]-Tabela1[[#This Row],[Total 2018]]</f>
        <v>4444.3849999999984</v>
      </c>
      <c r="U751" s="40">
        <f>Tabela1[[#This Row],[Total 2019]]/Tabela1[[#This Row],[Meta]]</f>
        <v>0.13260954999999999</v>
      </c>
      <c r="V751" s="17">
        <f>IFERROR(Tabela1[[#This Row],[Total 2019]]/Tabela1[[#This Row],[Total 2018]]-1,0)</f>
        <v>0.50409456285153964</v>
      </c>
      <c r="W75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751" s="48"/>
      <c r="Y751" s="19"/>
      <c r="Z751" s="68"/>
    </row>
    <row r="752" spans="3:26" x14ac:dyDescent="0.35">
      <c r="C752" s="11" t="s">
        <v>2702</v>
      </c>
      <c r="D752" s="12" t="s">
        <v>2698</v>
      </c>
      <c r="E752" s="12">
        <v>732</v>
      </c>
      <c r="F752" s="13" t="s">
        <v>2179</v>
      </c>
      <c r="G752" s="14">
        <v>2</v>
      </c>
      <c r="H752" s="14" t="s">
        <v>1372</v>
      </c>
      <c r="I752" s="13">
        <v>21</v>
      </c>
      <c r="J752" s="15" t="s">
        <v>1420</v>
      </c>
      <c r="K752" s="15" t="s">
        <v>2708</v>
      </c>
      <c r="L752" s="16"/>
      <c r="M752" s="16">
        <v>4748.8409999999994</v>
      </c>
      <c r="N752" s="16">
        <v>3765.4485</v>
      </c>
      <c r="O752" s="16">
        <v>13568.707500000002</v>
      </c>
      <c r="P752" s="16"/>
      <c r="Q752" s="16">
        <f>SUM(Tabela1[[#This Row],[201805]:[201807]])</f>
        <v>8514.289499999999</v>
      </c>
      <c r="R752" s="16">
        <f>SUM(Tabela1[[#This Row],[201905]:[201906]])</f>
        <v>13568.707500000002</v>
      </c>
      <c r="S752" s="16">
        <v>100000</v>
      </c>
      <c r="T752" s="16">
        <f>Tabela1[[#This Row],[Total 2019]]-Tabela1[[#This Row],[Total 2018]]</f>
        <v>5054.4180000000033</v>
      </c>
      <c r="U752" s="40">
        <f>Tabela1[[#This Row],[Total 2019]]/Tabela1[[#This Row],[Meta]]</f>
        <v>0.13568707500000002</v>
      </c>
      <c r="V752" s="17">
        <f>IFERROR(Tabela1[[#This Row],[Total 2019]]/Tabela1[[#This Row],[Total 2018]]-1,0)</f>
        <v>0.59363943403615815</v>
      </c>
      <c r="W75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752" s="48"/>
      <c r="Y752" s="19"/>
      <c r="Z752" s="68"/>
    </row>
    <row r="753" spans="3:26" x14ac:dyDescent="0.35">
      <c r="C753" s="11" t="s">
        <v>2703</v>
      </c>
      <c r="D753" s="12" t="s">
        <v>2698</v>
      </c>
      <c r="E753" s="12">
        <v>733</v>
      </c>
      <c r="F753" s="13" t="s">
        <v>2180</v>
      </c>
      <c r="G753" s="14">
        <v>3</v>
      </c>
      <c r="H753" s="14" t="s">
        <v>1372</v>
      </c>
      <c r="I753" s="13">
        <v>10</v>
      </c>
      <c r="J753" s="15" t="s">
        <v>1409</v>
      </c>
      <c r="K753" s="15" t="s">
        <v>2708</v>
      </c>
      <c r="L753" s="16">
        <v>1680.0464999999999</v>
      </c>
      <c r="M753" s="16">
        <v>759.55349999999999</v>
      </c>
      <c r="N753" s="16"/>
      <c r="O753" s="16"/>
      <c r="P753" s="16"/>
      <c r="Q753" s="16">
        <f>SUM(Tabela1[[#This Row],[201805]:[201807]])</f>
        <v>2439.6</v>
      </c>
      <c r="R753" s="16">
        <f>SUM(Tabela1[[#This Row],[201905]:[201906]])</f>
        <v>0</v>
      </c>
      <c r="S753" s="16">
        <v>100000</v>
      </c>
      <c r="T753" s="16">
        <f>Tabela1[[#This Row],[Total 2019]]-Tabela1[[#This Row],[Total 2018]]</f>
        <v>-2439.6</v>
      </c>
      <c r="U753" s="40">
        <f>Tabela1[[#This Row],[Total 2019]]/Tabela1[[#This Row],[Meta]]</f>
        <v>0</v>
      </c>
      <c r="V753" s="17">
        <f>IFERROR(Tabela1[[#This Row],[Total 2019]]/Tabela1[[#This Row],[Total 2018]]-1,0)</f>
        <v>-1</v>
      </c>
      <c r="W75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53" s="48"/>
      <c r="Y753" s="19"/>
      <c r="Z753" s="68"/>
    </row>
    <row r="754" spans="3:26" x14ac:dyDescent="0.35">
      <c r="C754" s="11" t="s">
        <v>2704</v>
      </c>
      <c r="D754" s="12" t="s">
        <v>2699</v>
      </c>
      <c r="E754" s="12">
        <v>734</v>
      </c>
      <c r="F754" s="13" t="s">
        <v>2181</v>
      </c>
      <c r="G754" s="14">
        <v>2</v>
      </c>
      <c r="H754" s="14" t="s">
        <v>1372</v>
      </c>
      <c r="I754" s="13">
        <v>23</v>
      </c>
      <c r="J754" s="15" t="s">
        <v>1422</v>
      </c>
      <c r="K754" s="15" t="s">
        <v>2708</v>
      </c>
      <c r="L754" s="16"/>
      <c r="M754" s="16">
        <v>1082.126</v>
      </c>
      <c r="N754" s="16"/>
      <c r="O754" s="16"/>
      <c r="P754" s="16"/>
      <c r="Q754" s="16">
        <f>SUM(Tabela1[[#This Row],[201805]:[201807]])</f>
        <v>1082.126</v>
      </c>
      <c r="R754" s="16">
        <f>SUM(Tabela1[[#This Row],[201905]:[201906]])</f>
        <v>0</v>
      </c>
      <c r="S754" s="16">
        <v>100000</v>
      </c>
      <c r="T754" s="16">
        <f>Tabela1[[#This Row],[Total 2019]]-Tabela1[[#This Row],[Total 2018]]</f>
        <v>-1082.126</v>
      </c>
      <c r="U754" s="40">
        <f>Tabela1[[#This Row],[Total 2019]]/Tabela1[[#This Row],[Meta]]</f>
        <v>0</v>
      </c>
      <c r="V754" s="17">
        <f>IFERROR(Tabela1[[#This Row],[Total 2019]]/Tabela1[[#This Row],[Total 2018]]-1,0)</f>
        <v>-1</v>
      </c>
      <c r="W75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54" s="48"/>
      <c r="Y754" s="19"/>
      <c r="Z754" s="68"/>
    </row>
    <row r="755" spans="3:26" x14ac:dyDescent="0.35">
      <c r="C755" s="11" t="s">
        <v>2702</v>
      </c>
      <c r="D755" s="12" t="s">
        <v>2699</v>
      </c>
      <c r="E755" s="12">
        <v>735</v>
      </c>
      <c r="F755" s="13" t="s">
        <v>2182</v>
      </c>
      <c r="G755" s="14">
        <v>3</v>
      </c>
      <c r="H755" s="14" t="s">
        <v>1371</v>
      </c>
      <c r="I755" s="13">
        <v>7</v>
      </c>
      <c r="J755" s="15" t="s">
        <v>1406</v>
      </c>
      <c r="K755" s="15" t="s">
        <v>2707</v>
      </c>
      <c r="L755" s="16"/>
      <c r="M755" s="16">
        <v>4157.1620000000003</v>
      </c>
      <c r="N755" s="16">
        <v>1814.8134999999997</v>
      </c>
      <c r="O755" s="16"/>
      <c r="P755" s="16"/>
      <c r="Q755" s="16">
        <f>SUM(Tabela1[[#This Row],[201805]:[201807]])</f>
        <v>5971.9755000000005</v>
      </c>
      <c r="R755" s="16">
        <f>SUM(Tabela1[[#This Row],[201905]:[201906]])</f>
        <v>0</v>
      </c>
      <c r="S755" s="16">
        <v>100000</v>
      </c>
      <c r="T755" s="16">
        <f>Tabela1[[#This Row],[Total 2019]]-Tabela1[[#This Row],[Total 2018]]</f>
        <v>-5971.9755000000005</v>
      </c>
      <c r="U755" s="40">
        <f>Tabela1[[#This Row],[Total 2019]]/Tabela1[[#This Row],[Meta]]</f>
        <v>0</v>
      </c>
      <c r="V755" s="17">
        <f>IFERROR(Tabela1[[#This Row],[Total 2019]]/Tabela1[[#This Row],[Total 2018]]-1,0)</f>
        <v>-1</v>
      </c>
      <c r="W75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55" s="48"/>
      <c r="Y755" s="19"/>
      <c r="Z755" s="68"/>
    </row>
    <row r="756" spans="3:26" x14ac:dyDescent="0.35">
      <c r="C756" s="11" t="s">
        <v>2704</v>
      </c>
      <c r="D756" s="12" t="s">
        <v>2699</v>
      </c>
      <c r="E756" s="12">
        <v>736</v>
      </c>
      <c r="F756" s="13" t="s">
        <v>2183</v>
      </c>
      <c r="G756" s="14">
        <v>2</v>
      </c>
      <c r="H756" s="14" t="s">
        <v>1372</v>
      </c>
      <c r="I756" s="13">
        <v>17</v>
      </c>
      <c r="J756" s="15" t="s">
        <v>1416</v>
      </c>
      <c r="K756" s="15" t="s">
        <v>2708</v>
      </c>
      <c r="L756" s="16"/>
      <c r="M756" s="16">
        <v>5902.1695</v>
      </c>
      <c r="N756" s="16"/>
      <c r="O756" s="16"/>
      <c r="P756" s="16"/>
      <c r="Q756" s="16">
        <f>SUM(Tabela1[[#This Row],[201805]:[201807]])</f>
        <v>5902.1695</v>
      </c>
      <c r="R756" s="16">
        <f>SUM(Tabela1[[#This Row],[201905]:[201906]])</f>
        <v>0</v>
      </c>
      <c r="S756" s="16">
        <v>100000</v>
      </c>
      <c r="T756" s="16">
        <f>Tabela1[[#This Row],[Total 2019]]-Tabela1[[#This Row],[Total 2018]]</f>
        <v>-5902.1695</v>
      </c>
      <c r="U756" s="40">
        <f>Tabela1[[#This Row],[Total 2019]]/Tabela1[[#This Row],[Meta]]</f>
        <v>0</v>
      </c>
      <c r="V756" s="17">
        <f>IFERROR(Tabela1[[#This Row],[Total 2019]]/Tabela1[[#This Row],[Total 2018]]-1,0)</f>
        <v>-1</v>
      </c>
      <c r="W75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56" s="48"/>
      <c r="Y756" s="19"/>
      <c r="Z756" s="68"/>
    </row>
    <row r="757" spans="3:26" x14ac:dyDescent="0.35">
      <c r="C757" s="11" t="s">
        <v>2702</v>
      </c>
      <c r="D757" s="12" t="s">
        <v>2700</v>
      </c>
      <c r="E757" s="12">
        <v>737</v>
      </c>
      <c r="F757" s="13" t="s">
        <v>2184</v>
      </c>
      <c r="G757" s="14">
        <v>1</v>
      </c>
      <c r="H757" s="14" t="s">
        <v>1372</v>
      </c>
      <c r="I757" s="13">
        <v>23</v>
      </c>
      <c r="J757" s="15" t="s">
        <v>1422</v>
      </c>
      <c r="K757" s="15" t="s">
        <v>2708</v>
      </c>
      <c r="L757" s="16"/>
      <c r="M757" s="16"/>
      <c r="N757" s="16"/>
      <c r="O757" s="16">
        <v>963.23350000000005</v>
      </c>
      <c r="P757" s="16">
        <v>4304.1554999999998</v>
      </c>
      <c r="Q757" s="16">
        <f>SUM(Tabela1[[#This Row],[201805]:[201807]])</f>
        <v>0</v>
      </c>
      <c r="R757" s="16">
        <f>SUM(Tabela1[[#This Row],[201905]:[201906]])</f>
        <v>5267.3890000000001</v>
      </c>
      <c r="S757" s="16">
        <v>100000</v>
      </c>
      <c r="T757" s="16">
        <f>Tabela1[[#This Row],[Total 2019]]-Tabela1[[#This Row],[Total 2018]]</f>
        <v>5267.3890000000001</v>
      </c>
      <c r="U757" s="40">
        <f>Tabela1[[#This Row],[Total 2019]]/Tabela1[[#This Row],[Meta]]</f>
        <v>5.2673890000000001E-2</v>
      </c>
      <c r="V757" s="17">
        <f>IFERROR(Tabela1[[#This Row],[Total 2019]]/Tabela1[[#This Row],[Total 2018]]-1,0)</f>
        <v>0</v>
      </c>
      <c r="W75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757" s="48"/>
      <c r="Y757" s="19"/>
      <c r="Z757" s="68"/>
    </row>
    <row r="758" spans="3:26" x14ac:dyDescent="0.35">
      <c r="C758" s="11" t="s">
        <v>2703</v>
      </c>
      <c r="D758" s="12" t="s">
        <v>2700</v>
      </c>
      <c r="E758" s="12">
        <v>738</v>
      </c>
      <c r="F758" s="13" t="s">
        <v>2185</v>
      </c>
      <c r="G758" s="14">
        <v>2</v>
      </c>
      <c r="H758" s="14" t="s">
        <v>1370</v>
      </c>
      <c r="I758" s="13">
        <v>1</v>
      </c>
      <c r="J758" s="15" t="s">
        <v>1400</v>
      </c>
      <c r="K758" s="15" t="s">
        <v>2706</v>
      </c>
      <c r="L758" s="16">
        <v>1850.8754999999996</v>
      </c>
      <c r="M758" s="16">
        <v>6624.0744999999997</v>
      </c>
      <c r="N758" s="16">
        <v>3035.7249999999999</v>
      </c>
      <c r="O758" s="16">
        <v>7100.2334999999985</v>
      </c>
      <c r="P758" s="16">
        <v>2779.0634999999997</v>
      </c>
      <c r="Q758" s="16">
        <f>SUM(Tabela1[[#This Row],[201805]:[201807]])</f>
        <v>11510.674999999999</v>
      </c>
      <c r="R758" s="16">
        <f>SUM(Tabela1[[#This Row],[201905]:[201906]])</f>
        <v>9879.2969999999987</v>
      </c>
      <c r="S758" s="16">
        <v>100000</v>
      </c>
      <c r="T758" s="16">
        <f>Tabela1[[#This Row],[Total 2019]]-Tabela1[[#This Row],[Total 2018]]</f>
        <v>-1631.3780000000006</v>
      </c>
      <c r="U758" s="40">
        <f>Tabela1[[#This Row],[Total 2019]]/Tabela1[[#This Row],[Meta]]</f>
        <v>9.879296999999998E-2</v>
      </c>
      <c r="V758" s="17">
        <f>IFERROR(Tabela1[[#This Row],[Total 2019]]/Tabela1[[#This Row],[Total 2018]]-1,0)</f>
        <v>-0.14172739652539934</v>
      </c>
      <c r="W75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758" s="48"/>
      <c r="Y758" s="19"/>
      <c r="Z758" s="68"/>
    </row>
    <row r="759" spans="3:26" x14ac:dyDescent="0.35">
      <c r="C759" s="11" t="s">
        <v>2703</v>
      </c>
      <c r="D759" s="12" t="s">
        <v>2699</v>
      </c>
      <c r="E759" s="12">
        <v>739</v>
      </c>
      <c r="F759" s="13" t="s">
        <v>2186</v>
      </c>
      <c r="G759" s="14">
        <v>1</v>
      </c>
      <c r="H759" s="14" t="s">
        <v>1372</v>
      </c>
      <c r="I759" s="13">
        <v>10</v>
      </c>
      <c r="J759" s="15" t="s">
        <v>1409</v>
      </c>
      <c r="K759" s="15" t="s">
        <v>2708</v>
      </c>
      <c r="L759" s="16">
        <v>2492.0019999999995</v>
      </c>
      <c r="M759" s="16">
        <v>5948.6529999999993</v>
      </c>
      <c r="N759" s="16">
        <v>3453.212</v>
      </c>
      <c r="O759" s="16"/>
      <c r="P759" s="16"/>
      <c r="Q759" s="16">
        <f>SUM(Tabela1[[#This Row],[201805]:[201807]])</f>
        <v>11893.866999999998</v>
      </c>
      <c r="R759" s="16">
        <f>SUM(Tabela1[[#This Row],[201905]:[201906]])</f>
        <v>0</v>
      </c>
      <c r="S759" s="16">
        <v>100000</v>
      </c>
      <c r="T759" s="16">
        <f>Tabela1[[#This Row],[Total 2019]]-Tabela1[[#This Row],[Total 2018]]</f>
        <v>-11893.866999999998</v>
      </c>
      <c r="U759" s="40">
        <f>Tabela1[[#This Row],[Total 2019]]/Tabela1[[#This Row],[Meta]]</f>
        <v>0</v>
      </c>
      <c r="V759" s="17">
        <f>IFERROR(Tabela1[[#This Row],[Total 2019]]/Tabela1[[#This Row],[Total 2018]]-1,0)</f>
        <v>-1</v>
      </c>
      <c r="W75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59" s="48"/>
      <c r="Y759" s="19"/>
      <c r="Z759" s="68"/>
    </row>
    <row r="760" spans="3:26" x14ac:dyDescent="0.35">
      <c r="C760" s="11" t="s">
        <v>2702</v>
      </c>
      <c r="D760" s="12" t="s">
        <v>2699</v>
      </c>
      <c r="E760" s="12">
        <v>740</v>
      </c>
      <c r="F760" s="13" t="s">
        <v>2187</v>
      </c>
      <c r="G760" s="14">
        <v>3</v>
      </c>
      <c r="H760" s="14" t="s">
        <v>1371</v>
      </c>
      <c r="I760" s="13">
        <v>5</v>
      </c>
      <c r="J760" s="15" t="s">
        <v>1404</v>
      </c>
      <c r="K760" s="15" t="s">
        <v>2707</v>
      </c>
      <c r="L760" s="16">
        <v>9812.3219999999983</v>
      </c>
      <c r="M760" s="16">
        <v>2603.6459999999997</v>
      </c>
      <c r="N760" s="16"/>
      <c r="O760" s="16"/>
      <c r="P760" s="16"/>
      <c r="Q760" s="16">
        <f>SUM(Tabela1[[#This Row],[201805]:[201807]])</f>
        <v>12415.967999999997</v>
      </c>
      <c r="R760" s="16">
        <f>SUM(Tabela1[[#This Row],[201905]:[201906]])</f>
        <v>0</v>
      </c>
      <c r="S760" s="16">
        <v>100000</v>
      </c>
      <c r="T760" s="16">
        <f>Tabela1[[#This Row],[Total 2019]]-Tabela1[[#This Row],[Total 2018]]</f>
        <v>-12415.967999999997</v>
      </c>
      <c r="U760" s="40">
        <f>Tabela1[[#This Row],[Total 2019]]/Tabela1[[#This Row],[Meta]]</f>
        <v>0</v>
      </c>
      <c r="V760" s="17">
        <f>IFERROR(Tabela1[[#This Row],[Total 2019]]/Tabela1[[#This Row],[Total 2018]]-1,0)</f>
        <v>-1</v>
      </c>
      <c r="W76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60" s="48"/>
      <c r="Y760" s="19"/>
      <c r="Z760" s="68"/>
    </row>
    <row r="761" spans="3:26" x14ac:dyDescent="0.35">
      <c r="C761" s="11" t="s">
        <v>2702</v>
      </c>
      <c r="D761" s="12" t="s">
        <v>2699</v>
      </c>
      <c r="E761" s="12">
        <v>741</v>
      </c>
      <c r="F761" s="13" t="s">
        <v>2188</v>
      </c>
      <c r="G761" s="14">
        <v>1</v>
      </c>
      <c r="H761" s="14" t="s">
        <v>1372</v>
      </c>
      <c r="I761" s="13">
        <v>10</v>
      </c>
      <c r="J761" s="15" t="s">
        <v>1409</v>
      </c>
      <c r="K761" s="15" t="s">
        <v>2708</v>
      </c>
      <c r="L761" s="16">
        <v>117.0115</v>
      </c>
      <c r="M761" s="16">
        <v>2067.3044999999997</v>
      </c>
      <c r="N761" s="16"/>
      <c r="O761" s="16"/>
      <c r="P761" s="16"/>
      <c r="Q761" s="16">
        <f>SUM(Tabela1[[#This Row],[201805]:[201807]])</f>
        <v>2184.3159999999998</v>
      </c>
      <c r="R761" s="16">
        <f>SUM(Tabela1[[#This Row],[201905]:[201906]])</f>
        <v>0</v>
      </c>
      <c r="S761" s="16">
        <v>100000</v>
      </c>
      <c r="T761" s="16">
        <f>Tabela1[[#This Row],[Total 2019]]-Tabela1[[#This Row],[Total 2018]]</f>
        <v>-2184.3159999999998</v>
      </c>
      <c r="U761" s="40">
        <f>Tabela1[[#This Row],[Total 2019]]/Tabela1[[#This Row],[Meta]]</f>
        <v>0</v>
      </c>
      <c r="V761" s="17">
        <f>IFERROR(Tabela1[[#This Row],[Total 2019]]/Tabela1[[#This Row],[Total 2018]]-1,0)</f>
        <v>-1</v>
      </c>
      <c r="W76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61" s="48"/>
      <c r="Y761" s="19"/>
      <c r="Z761" s="68"/>
    </row>
    <row r="762" spans="3:26" x14ac:dyDescent="0.35">
      <c r="C762" s="11" t="s">
        <v>2702</v>
      </c>
      <c r="D762" s="12" t="s">
        <v>2699</v>
      </c>
      <c r="E762" s="12">
        <v>742</v>
      </c>
      <c r="F762" s="13" t="s">
        <v>2189</v>
      </c>
      <c r="G762" s="14">
        <v>1</v>
      </c>
      <c r="H762" s="14" t="s">
        <v>1370</v>
      </c>
      <c r="I762" s="13">
        <v>30</v>
      </c>
      <c r="J762" s="15" t="s">
        <v>1429</v>
      </c>
      <c r="K762" s="15" t="s">
        <v>2706</v>
      </c>
      <c r="L762" s="16"/>
      <c r="M762" s="16">
        <v>6558.8189999999995</v>
      </c>
      <c r="N762" s="16"/>
      <c r="O762" s="16"/>
      <c r="P762" s="16"/>
      <c r="Q762" s="16">
        <f>SUM(Tabela1[[#This Row],[201805]:[201807]])</f>
        <v>6558.8189999999995</v>
      </c>
      <c r="R762" s="16">
        <f>SUM(Tabela1[[#This Row],[201905]:[201906]])</f>
        <v>0</v>
      </c>
      <c r="S762" s="16">
        <v>100000</v>
      </c>
      <c r="T762" s="16">
        <f>Tabela1[[#This Row],[Total 2019]]-Tabela1[[#This Row],[Total 2018]]</f>
        <v>-6558.8189999999995</v>
      </c>
      <c r="U762" s="40">
        <f>Tabela1[[#This Row],[Total 2019]]/Tabela1[[#This Row],[Meta]]</f>
        <v>0</v>
      </c>
      <c r="V762" s="17">
        <f>IFERROR(Tabela1[[#This Row],[Total 2019]]/Tabela1[[#This Row],[Total 2018]]-1,0)</f>
        <v>-1</v>
      </c>
      <c r="W76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62" s="48"/>
      <c r="Y762" s="19"/>
      <c r="Z762" s="68"/>
    </row>
    <row r="763" spans="3:26" x14ac:dyDescent="0.35">
      <c r="C763" s="11" t="s">
        <v>2702</v>
      </c>
      <c r="D763" s="12" t="s">
        <v>2698</v>
      </c>
      <c r="E763" s="12">
        <v>743</v>
      </c>
      <c r="F763" s="13" t="s">
        <v>2190</v>
      </c>
      <c r="G763" s="14">
        <v>2</v>
      </c>
      <c r="H763" s="14" t="s">
        <v>1372</v>
      </c>
      <c r="I763" s="13">
        <v>21</v>
      </c>
      <c r="J763" s="15" t="s">
        <v>1420</v>
      </c>
      <c r="K763" s="15" t="s">
        <v>2708</v>
      </c>
      <c r="L763" s="16"/>
      <c r="M763" s="16">
        <v>2092.2705000000001</v>
      </c>
      <c r="N763" s="16">
        <v>1171.7394999999999</v>
      </c>
      <c r="O763" s="16">
        <v>6582.7875000000004</v>
      </c>
      <c r="P763" s="16"/>
      <c r="Q763" s="16">
        <f>SUM(Tabela1[[#This Row],[201805]:[201807]])</f>
        <v>3264.01</v>
      </c>
      <c r="R763" s="16">
        <f>SUM(Tabela1[[#This Row],[201905]:[201906]])</f>
        <v>6582.7875000000004</v>
      </c>
      <c r="S763" s="16">
        <v>100000</v>
      </c>
      <c r="T763" s="16">
        <f>Tabela1[[#This Row],[Total 2019]]-Tabela1[[#This Row],[Total 2018]]</f>
        <v>3318.7775000000001</v>
      </c>
      <c r="U763" s="40">
        <f>Tabela1[[#This Row],[Total 2019]]/Tabela1[[#This Row],[Meta]]</f>
        <v>6.5827875000000008E-2</v>
      </c>
      <c r="V763" s="17">
        <f>IFERROR(Tabela1[[#This Row],[Total 2019]]/Tabela1[[#This Row],[Total 2018]]-1,0)</f>
        <v>1.0167792071715467</v>
      </c>
      <c r="W76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763" s="48"/>
      <c r="Y763" s="19"/>
      <c r="Z763" s="68"/>
    </row>
    <row r="764" spans="3:26" x14ac:dyDescent="0.35">
      <c r="C764" s="11" t="s">
        <v>2702</v>
      </c>
      <c r="D764" s="12" t="s">
        <v>2700</v>
      </c>
      <c r="E764" s="12">
        <v>744</v>
      </c>
      <c r="F764" s="13" t="s">
        <v>2191</v>
      </c>
      <c r="G764" s="14">
        <v>1</v>
      </c>
      <c r="H764" s="14" t="s">
        <v>1371</v>
      </c>
      <c r="I764" s="13">
        <v>24</v>
      </c>
      <c r="J764" s="15" t="s">
        <v>1423</v>
      </c>
      <c r="K764" s="15" t="s">
        <v>2707</v>
      </c>
      <c r="L764" s="16">
        <v>1073.481</v>
      </c>
      <c r="M764" s="16">
        <v>3118.9260000000004</v>
      </c>
      <c r="N764" s="16"/>
      <c r="O764" s="16"/>
      <c r="P764" s="16"/>
      <c r="Q764" s="16">
        <f>SUM(Tabela1[[#This Row],[201805]:[201807]])</f>
        <v>4192.4070000000002</v>
      </c>
      <c r="R764" s="16">
        <f>SUM(Tabela1[[#This Row],[201905]:[201906]])</f>
        <v>0</v>
      </c>
      <c r="S764" s="16">
        <v>100000</v>
      </c>
      <c r="T764" s="16">
        <f>Tabela1[[#This Row],[Total 2019]]-Tabela1[[#This Row],[Total 2018]]</f>
        <v>-4192.4070000000002</v>
      </c>
      <c r="U764" s="40">
        <f>Tabela1[[#This Row],[Total 2019]]/Tabela1[[#This Row],[Meta]]</f>
        <v>0</v>
      </c>
      <c r="V764" s="17">
        <f>IFERROR(Tabela1[[#This Row],[Total 2019]]/Tabela1[[#This Row],[Total 2018]]-1,0)</f>
        <v>-1</v>
      </c>
      <c r="W76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64" s="48"/>
      <c r="Y764" s="19"/>
      <c r="Z764" s="68"/>
    </row>
    <row r="765" spans="3:26" x14ac:dyDescent="0.35">
      <c r="C765" s="11" t="s">
        <v>2702</v>
      </c>
      <c r="D765" s="12" t="s">
        <v>2699</v>
      </c>
      <c r="E765" s="12">
        <v>745</v>
      </c>
      <c r="F765" s="13" t="s">
        <v>2192</v>
      </c>
      <c r="G765" s="14">
        <v>3</v>
      </c>
      <c r="H765" s="14" t="s">
        <v>1371</v>
      </c>
      <c r="I765" s="13">
        <v>4</v>
      </c>
      <c r="J765" s="15" t="s">
        <v>1403</v>
      </c>
      <c r="K765" s="15" t="s">
        <v>2707</v>
      </c>
      <c r="L765" s="16">
        <v>3140.1299999999997</v>
      </c>
      <c r="M765" s="16">
        <v>2044.6659999999997</v>
      </c>
      <c r="N765" s="16">
        <v>1283.4119999999998</v>
      </c>
      <c r="O765" s="16"/>
      <c r="P765" s="16"/>
      <c r="Q765" s="16">
        <f>SUM(Tabela1[[#This Row],[201805]:[201807]])</f>
        <v>6468.2079999999987</v>
      </c>
      <c r="R765" s="16">
        <f>SUM(Tabela1[[#This Row],[201905]:[201906]])</f>
        <v>0</v>
      </c>
      <c r="S765" s="16">
        <v>100000</v>
      </c>
      <c r="T765" s="16">
        <f>Tabela1[[#This Row],[Total 2019]]-Tabela1[[#This Row],[Total 2018]]</f>
        <v>-6468.2079999999987</v>
      </c>
      <c r="U765" s="40">
        <f>Tabela1[[#This Row],[Total 2019]]/Tabela1[[#This Row],[Meta]]</f>
        <v>0</v>
      </c>
      <c r="V765" s="17">
        <f>IFERROR(Tabela1[[#This Row],[Total 2019]]/Tabela1[[#This Row],[Total 2018]]-1,0)</f>
        <v>-1</v>
      </c>
      <c r="W76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65" s="48"/>
      <c r="Y765" s="19"/>
      <c r="Z765" s="68"/>
    </row>
    <row r="766" spans="3:26" x14ac:dyDescent="0.35">
      <c r="C766" s="11" t="s">
        <v>2704</v>
      </c>
      <c r="D766" s="12" t="s">
        <v>2700</v>
      </c>
      <c r="E766" s="12">
        <v>746</v>
      </c>
      <c r="F766" s="13" t="s">
        <v>2193</v>
      </c>
      <c r="G766" s="14">
        <v>3</v>
      </c>
      <c r="H766" s="14" t="s">
        <v>1370</v>
      </c>
      <c r="I766" s="13">
        <v>8</v>
      </c>
      <c r="J766" s="15" t="s">
        <v>1407</v>
      </c>
      <c r="K766" s="15" t="s">
        <v>2706</v>
      </c>
      <c r="L766" s="16">
        <v>5378.8904999999986</v>
      </c>
      <c r="M766" s="16">
        <v>1433.0464999999999</v>
      </c>
      <c r="N766" s="16"/>
      <c r="O766" s="16"/>
      <c r="P766" s="16"/>
      <c r="Q766" s="16">
        <f>SUM(Tabela1[[#This Row],[201805]:[201807]])</f>
        <v>6811.9369999999981</v>
      </c>
      <c r="R766" s="16">
        <f>SUM(Tabela1[[#This Row],[201905]:[201906]])</f>
        <v>0</v>
      </c>
      <c r="S766" s="16">
        <v>100000</v>
      </c>
      <c r="T766" s="16">
        <f>Tabela1[[#This Row],[Total 2019]]-Tabela1[[#This Row],[Total 2018]]</f>
        <v>-6811.9369999999981</v>
      </c>
      <c r="U766" s="40">
        <f>Tabela1[[#This Row],[Total 2019]]/Tabela1[[#This Row],[Meta]]</f>
        <v>0</v>
      </c>
      <c r="V766" s="17">
        <f>IFERROR(Tabela1[[#This Row],[Total 2019]]/Tabela1[[#This Row],[Total 2018]]-1,0)</f>
        <v>-1</v>
      </c>
      <c r="W76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66" s="48"/>
      <c r="Y766" s="19"/>
      <c r="Z766" s="68"/>
    </row>
    <row r="767" spans="3:26" x14ac:dyDescent="0.35">
      <c r="C767" s="11" t="s">
        <v>2704</v>
      </c>
      <c r="D767" s="12" t="s">
        <v>2700</v>
      </c>
      <c r="E767" s="12">
        <v>747</v>
      </c>
      <c r="F767" s="13" t="s">
        <v>2194</v>
      </c>
      <c r="G767" s="14">
        <v>3</v>
      </c>
      <c r="H767" s="14" t="s">
        <v>1370</v>
      </c>
      <c r="I767" s="13">
        <v>8</v>
      </c>
      <c r="J767" s="15" t="s">
        <v>1407</v>
      </c>
      <c r="K767" s="15" t="s">
        <v>2706</v>
      </c>
      <c r="L767" s="16">
        <v>1972.4185</v>
      </c>
      <c r="M767" s="16">
        <v>1982.2604999999999</v>
      </c>
      <c r="N767" s="16"/>
      <c r="O767" s="16"/>
      <c r="P767" s="16"/>
      <c r="Q767" s="16">
        <f>SUM(Tabela1[[#This Row],[201805]:[201807]])</f>
        <v>3954.6790000000001</v>
      </c>
      <c r="R767" s="16">
        <f>SUM(Tabela1[[#This Row],[201905]:[201906]])</f>
        <v>0</v>
      </c>
      <c r="S767" s="16">
        <v>100000</v>
      </c>
      <c r="T767" s="16">
        <f>Tabela1[[#This Row],[Total 2019]]-Tabela1[[#This Row],[Total 2018]]</f>
        <v>-3954.6790000000001</v>
      </c>
      <c r="U767" s="40">
        <f>Tabela1[[#This Row],[Total 2019]]/Tabela1[[#This Row],[Meta]]</f>
        <v>0</v>
      </c>
      <c r="V767" s="17">
        <f>IFERROR(Tabela1[[#This Row],[Total 2019]]/Tabela1[[#This Row],[Total 2018]]-1,0)</f>
        <v>-1</v>
      </c>
      <c r="W76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67" s="48"/>
      <c r="Y767" s="19"/>
      <c r="Z767" s="68"/>
    </row>
    <row r="768" spans="3:26" x14ac:dyDescent="0.35">
      <c r="C768" s="11" t="s">
        <v>2704</v>
      </c>
      <c r="D768" s="12" t="s">
        <v>2700</v>
      </c>
      <c r="E768" s="12">
        <v>748</v>
      </c>
      <c r="F768" s="13" t="s">
        <v>2195</v>
      </c>
      <c r="G768" s="14">
        <v>3</v>
      </c>
      <c r="H768" s="14" t="s">
        <v>1371</v>
      </c>
      <c r="I768" s="13">
        <v>12</v>
      </c>
      <c r="J768" s="15" t="s">
        <v>1411</v>
      </c>
      <c r="K768" s="15" t="s">
        <v>2707</v>
      </c>
      <c r="L768" s="16"/>
      <c r="M768" s="16">
        <v>2405.2860000000001</v>
      </c>
      <c r="N768" s="16"/>
      <c r="O768" s="16"/>
      <c r="P768" s="16"/>
      <c r="Q768" s="16">
        <f>SUM(Tabela1[[#This Row],[201805]:[201807]])</f>
        <v>2405.2860000000001</v>
      </c>
      <c r="R768" s="16">
        <f>SUM(Tabela1[[#This Row],[201905]:[201906]])</f>
        <v>0</v>
      </c>
      <c r="S768" s="16">
        <v>100000</v>
      </c>
      <c r="T768" s="16">
        <f>Tabela1[[#This Row],[Total 2019]]-Tabela1[[#This Row],[Total 2018]]</f>
        <v>-2405.2860000000001</v>
      </c>
      <c r="U768" s="40">
        <f>Tabela1[[#This Row],[Total 2019]]/Tabela1[[#This Row],[Meta]]</f>
        <v>0</v>
      </c>
      <c r="V768" s="17">
        <f>IFERROR(Tabela1[[#This Row],[Total 2019]]/Tabela1[[#This Row],[Total 2018]]-1,0)</f>
        <v>-1</v>
      </c>
      <c r="W76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68" s="48"/>
      <c r="Y768" s="19"/>
      <c r="Z768" s="68"/>
    </row>
    <row r="769" spans="3:26" x14ac:dyDescent="0.35">
      <c r="C769" s="11" t="s">
        <v>2704</v>
      </c>
      <c r="D769" s="12" t="s">
        <v>2698</v>
      </c>
      <c r="E769" s="12">
        <v>749</v>
      </c>
      <c r="F769" s="13" t="s">
        <v>2196</v>
      </c>
      <c r="G769" s="14">
        <v>2</v>
      </c>
      <c r="H769" s="14" t="s">
        <v>1370</v>
      </c>
      <c r="I769" s="13">
        <v>32</v>
      </c>
      <c r="J769" s="15" t="s">
        <v>1431</v>
      </c>
      <c r="K769" s="15" t="s">
        <v>2706</v>
      </c>
      <c r="L769" s="16"/>
      <c r="M769" s="16"/>
      <c r="N769" s="16"/>
      <c r="O769" s="16">
        <v>3363.0664999999999</v>
      </c>
      <c r="P769" s="16">
        <v>6305.3305</v>
      </c>
      <c r="Q769" s="16">
        <f>SUM(Tabela1[[#This Row],[201805]:[201807]])</f>
        <v>0</v>
      </c>
      <c r="R769" s="16">
        <f>SUM(Tabela1[[#This Row],[201905]:[201906]])</f>
        <v>9668.3970000000008</v>
      </c>
      <c r="S769" s="16">
        <v>100000</v>
      </c>
      <c r="T769" s="16">
        <f>Tabela1[[#This Row],[Total 2019]]-Tabela1[[#This Row],[Total 2018]]</f>
        <v>9668.3970000000008</v>
      </c>
      <c r="U769" s="40">
        <f>Tabela1[[#This Row],[Total 2019]]/Tabela1[[#This Row],[Meta]]</f>
        <v>9.6683970000000008E-2</v>
      </c>
      <c r="V769" s="17">
        <f>IFERROR(Tabela1[[#This Row],[Total 2019]]/Tabela1[[#This Row],[Total 2018]]-1,0)</f>
        <v>0</v>
      </c>
      <c r="W76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769" s="48"/>
      <c r="Y769" s="19"/>
      <c r="Z769" s="68"/>
    </row>
    <row r="770" spans="3:26" x14ac:dyDescent="0.35">
      <c r="C770" s="11" t="s">
        <v>2704</v>
      </c>
      <c r="D770" s="12" t="s">
        <v>2700</v>
      </c>
      <c r="E770" s="12">
        <v>750</v>
      </c>
      <c r="F770" s="13" t="s">
        <v>2197</v>
      </c>
      <c r="G770" s="14">
        <v>1</v>
      </c>
      <c r="H770" s="14" t="s">
        <v>1370</v>
      </c>
      <c r="I770" s="13">
        <v>19</v>
      </c>
      <c r="J770" s="15" t="s">
        <v>1418</v>
      </c>
      <c r="K770" s="15" t="s">
        <v>2706</v>
      </c>
      <c r="L770" s="16">
        <v>4021.9009999999998</v>
      </c>
      <c r="M770" s="16">
        <v>818.24450000000002</v>
      </c>
      <c r="N770" s="16"/>
      <c r="O770" s="16"/>
      <c r="P770" s="16"/>
      <c r="Q770" s="16">
        <f>SUM(Tabela1[[#This Row],[201805]:[201807]])</f>
        <v>4840.1454999999996</v>
      </c>
      <c r="R770" s="16">
        <f>SUM(Tabela1[[#This Row],[201905]:[201906]])</f>
        <v>0</v>
      </c>
      <c r="S770" s="16">
        <v>100000</v>
      </c>
      <c r="T770" s="16">
        <f>Tabela1[[#This Row],[Total 2019]]-Tabela1[[#This Row],[Total 2018]]</f>
        <v>-4840.1454999999996</v>
      </c>
      <c r="U770" s="40">
        <f>Tabela1[[#This Row],[Total 2019]]/Tabela1[[#This Row],[Meta]]</f>
        <v>0</v>
      </c>
      <c r="V770" s="17">
        <f>IFERROR(Tabela1[[#This Row],[Total 2019]]/Tabela1[[#This Row],[Total 2018]]-1,0)</f>
        <v>-1</v>
      </c>
      <c r="W77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70" s="48"/>
      <c r="Y770" s="19"/>
      <c r="Z770" s="68"/>
    </row>
    <row r="771" spans="3:26" x14ac:dyDescent="0.35">
      <c r="C771" s="11" t="s">
        <v>2703</v>
      </c>
      <c r="D771" s="12" t="s">
        <v>2700</v>
      </c>
      <c r="E771" s="12">
        <v>751</v>
      </c>
      <c r="F771" s="13" t="s">
        <v>2198</v>
      </c>
      <c r="G771" s="14">
        <v>1</v>
      </c>
      <c r="H771" s="14" t="s">
        <v>1371</v>
      </c>
      <c r="I771" s="13">
        <v>7</v>
      </c>
      <c r="J771" s="15" t="s">
        <v>1406</v>
      </c>
      <c r="K771" s="15" t="s">
        <v>2707</v>
      </c>
      <c r="L771" s="16"/>
      <c r="M771" s="16"/>
      <c r="N771" s="16"/>
      <c r="O771" s="16"/>
      <c r="P771" s="16">
        <v>167.8175</v>
      </c>
      <c r="Q771" s="16">
        <f>SUM(Tabela1[[#This Row],[201805]:[201807]])</f>
        <v>0</v>
      </c>
      <c r="R771" s="16">
        <f>SUM(Tabela1[[#This Row],[201905]:[201906]])</f>
        <v>167.8175</v>
      </c>
      <c r="S771" s="16">
        <v>100000</v>
      </c>
      <c r="T771" s="16">
        <f>Tabela1[[#This Row],[Total 2019]]-Tabela1[[#This Row],[Total 2018]]</f>
        <v>167.8175</v>
      </c>
      <c r="U771" s="40">
        <f>Tabela1[[#This Row],[Total 2019]]/Tabela1[[#This Row],[Meta]]</f>
        <v>1.6781749999999998E-3</v>
      </c>
      <c r="V771" s="17">
        <f>IFERROR(Tabela1[[#This Row],[Total 2019]]/Tabela1[[#This Row],[Total 2018]]-1,0)</f>
        <v>0</v>
      </c>
      <c r="W77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771" s="48"/>
      <c r="Y771" s="19"/>
      <c r="Z771" s="68"/>
    </row>
    <row r="772" spans="3:26" x14ac:dyDescent="0.35">
      <c r="C772" s="11" t="s">
        <v>2703</v>
      </c>
      <c r="D772" s="12" t="s">
        <v>2700</v>
      </c>
      <c r="E772" s="12">
        <v>752</v>
      </c>
      <c r="F772" s="13" t="s">
        <v>2199</v>
      </c>
      <c r="G772" s="14">
        <v>2</v>
      </c>
      <c r="H772" s="14" t="s">
        <v>1372</v>
      </c>
      <c r="I772" s="13">
        <v>18</v>
      </c>
      <c r="J772" s="15" t="s">
        <v>1417</v>
      </c>
      <c r="K772" s="15" t="s">
        <v>2708</v>
      </c>
      <c r="L772" s="16">
        <v>2134.5169999999998</v>
      </c>
      <c r="M772" s="16">
        <v>1268.326</v>
      </c>
      <c r="N772" s="16"/>
      <c r="O772" s="16">
        <v>4158.6724999999997</v>
      </c>
      <c r="P772" s="16"/>
      <c r="Q772" s="16">
        <f>SUM(Tabela1[[#This Row],[201805]:[201807]])</f>
        <v>3402.8429999999998</v>
      </c>
      <c r="R772" s="16">
        <f>SUM(Tabela1[[#This Row],[201905]:[201906]])</f>
        <v>4158.6724999999997</v>
      </c>
      <c r="S772" s="16">
        <v>100000</v>
      </c>
      <c r="T772" s="16">
        <f>Tabela1[[#This Row],[Total 2019]]-Tabela1[[#This Row],[Total 2018]]</f>
        <v>755.82949999999983</v>
      </c>
      <c r="U772" s="40">
        <f>Tabela1[[#This Row],[Total 2019]]/Tabela1[[#This Row],[Meta]]</f>
        <v>4.1586724999999998E-2</v>
      </c>
      <c r="V772" s="17">
        <f>IFERROR(Tabela1[[#This Row],[Total 2019]]/Tabela1[[#This Row],[Total 2018]]-1,0)</f>
        <v>0.22211706505413265</v>
      </c>
      <c r="W77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772" s="48"/>
      <c r="Y772" s="19"/>
      <c r="Z772" s="68"/>
    </row>
    <row r="773" spans="3:26" x14ac:dyDescent="0.35">
      <c r="C773" s="11" t="s">
        <v>2702</v>
      </c>
      <c r="D773" s="12" t="s">
        <v>2700</v>
      </c>
      <c r="E773" s="12">
        <v>753</v>
      </c>
      <c r="F773" s="13" t="s">
        <v>2200</v>
      </c>
      <c r="G773" s="14">
        <v>2</v>
      </c>
      <c r="H773" s="14" t="s">
        <v>1372</v>
      </c>
      <c r="I773" s="13">
        <v>22</v>
      </c>
      <c r="J773" s="15" t="s">
        <v>1421</v>
      </c>
      <c r="K773" s="15" t="s">
        <v>2708</v>
      </c>
      <c r="L773" s="16"/>
      <c r="M773" s="16">
        <v>4099.0599999999995</v>
      </c>
      <c r="N773" s="16">
        <v>5261.3469999999998</v>
      </c>
      <c r="O773" s="16"/>
      <c r="P773" s="16"/>
      <c r="Q773" s="16">
        <f>SUM(Tabela1[[#This Row],[201805]:[201807]])</f>
        <v>9360.4069999999992</v>
      </c>
      <c r="R773" s="16">
        <f>SUM(Tabela1[[#This Row],[201905]:[201906]])</f>
        <v>0</v>
      </c>
      <c r="S773" s="16">
        <v>100000</v>
      </c>
      <c r="T773" s="16">
        <f>Tabela1[[#This Row],[Total 2019]]-Tabela1[[#This Row],[Total 2018]]</f>
        <v>-9360.4069999999992</v>
      </c>
      <c r="U773" s="40">
        <f>Tabela1[[#This Row],[Total 2019]]/Tabela1[[#This Row],[Meta]]</f>
        <v>0</v>
      </c>
      <c r="V773" s="17">
        <f>IFERROR(Tabela1[[#This Row],[Total 2019]]/Tabela1[[#This Row],[Total 2018]]-1,0)</f>
        <v>-1</v>
      </c>
      <c r="W77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73" s="48"/>
      <c r="Y773" s="19"/>
      <c r="Z773" s="68"/>
    </row>
    <row r="774" spans="3:26" x14ac:dyDescent="0.35">
      <c r="C774" s="11" t="s">
        <v>2704</v>
      </c>
      <c r="D774" s="12" t="s">
        <v>2699</v>
      </c>
      <c r="E774" s="12">
        <v>754</v>
      </c>
      <c r="F774" s="13" t="s">
        <v>2201</v>
      </c>
      <c r="G774" s="14">
        <v>3</v>
      </c>
      <c r="H774" s="14" t="s">
        <v>1370</v>
      </c>
      <c r="I774" s="13">
        <v>3</v>
      </c>
      <c r="J774" s="15" t="s">
        <v>1402</v>
      </c>
      <c r="K774" s="15" t="s">
        <v>2706</v>
      </c>
      <c r="L774" s="16">
        <v>5137.0869999999995</v>
      </c>
      <c r="M774" s="16">
        <v>4785.4634999999998</v>
      </c>
      <c r="N774" s="16"/>
      <c r="O774" s="16"/>
      <c r="P774" s="16"/>
      <c r="Q774" s="16">
        <f>SUM(Tabela1[[#This Row],[201805]:[201807]])</f>
        <v>9922.5504999999994</v>
      </c>
      <c r="R774" s="16">
        <f>SUM(Tabela1[[#This Row],[201905]:[201906]])</f>
        <v>0</v>
      </c>
      <c r="S774" s="16">
        <v>100000</v>
      </c>
      <c r="T774" s="16">
        <f>Tabela1[[#This Row],[Total 2019]]-Tabela1[[#This Row],[Total 2018]]</f>
        <v>-9922.5504999999994</v>
      </c>
      <c r="U774" s="40">
        <f>Tabela1[[#This Row],[Total 2019]]/Tabela1[[#This Row],[Meta]]</f>
        <v>0</v>
      </c>
      <c r="V774" s="17">
        <f>IFERROR(Tabela1[[#This Row],[Total 2019]]/Tabela1[[#This Row],[Total 2018]]-1,0)</f>
        <v>-1</v>
      </c>
      <c r="W77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74" s="48"/>
      <c r="Y774" s="19"/>
      <c r="Z774" s="68"/>
    </row>
    <row r="775" spans="3:26" x14ac:dyDescent="0.35">
      <c r="C775" s="11" t="s">
        <v>2704</v>
      </c>
      <c r="D775" s="12" t="s">
        <v>2700</v>
      </c>
      <c r="E775" s="12">
        <v>755</v>
      </c>
      <c r="F775" s="13" t="s">
        <v>2202</v>
      </c>
      <c r="G775" s="14">
        <v>2</v>
      </c>
      <c r="H775" s="14" t="s">
        <v>1370</v>
      </c>
      <c r="I775" s="13">
        <v>11</v>
      </c>
      <c r="J775" s="15" t="s">
        <v>1410</v>
      </c>
      <c r="K775" s="15" t="s">
        <v>2706</v>
      </c>
      <c r="L775" s="16"/>
      <c r="M775" s="16">
        <v>3351.4575</v>
      </c>
      <c r="N775" s="16">
        <v>1160.3110000000001</v>
      </c>
      <c r="O775" s="16">
        <v>2560.5730000000003</v>
      </c>
      <c r="P775" s="16"/>
      <c r="Q775" s="16">
        <f>SUM(Tabela1[[#This Row],[201805]:[201807]])</f>
        <v>4511.7685000000001</v>
      </c>
      <c r="R775" s="16">
        <f>SUM(Tabela1[[#This Row],[201905]:[201906]])</f>
        <v>2560.5730000000003</v>
      </c>
      <c r="S775" s="16">
        <v>100000</v>
      </c>
      <c r="T775" s="16">
        <f>Tabela1[[#This Row],[Total 2019]]-Tabela1[[#This Row],[Total 2018]]</f>
        <v>-1951.1954999999998</v>
      </c>
      <c r="U775" s="40">
        <f>Tabela1[[#This Row],[Total 2019]]/Tabela1[[#This Row],[Meta]]</f>
        <v>2.5605730000000004E-2</v>
      </c>
      <c r="V775" s="17">
        <f>IFERROR(Tabela1[[#This Row],[Total 2019]]/Tabela1[[#This Row],[Total 2018]]-1,0)</f>
        <v>-0.43246800007580166</v>
      </c>
      <c r="W77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775" s="48"/>
      <c r="Y775" s="19"/>
      <c r="Z775" s="68"/>
    </row>
    <row r="776" spans="3:26" x14ac:dyDescent="0.35">
      <c r="C776" s="11" t="s">
        <v>2704</v>
      </c>
      <c r="D776" s="12" t="s">
        <v>2699</v>
      </c>
      <c r="E776" s="12">
        <v>756</v>
      </c>
      <c r="F776" s="13" t="s">
        <v>2203</v>
      </c>
      <c r="G776" s="14">
        <v>2</v>
      </c>
      <c r="H776" s="14" t="s">
        <v>1371</v>
      </c>
      <c r="I776" s="13">
        <v>14</v>
      </c>
      <c r="J776" s="15" t="s">
        <v>1413</v>
      </c>
      <c r="K776" s="15" t="s">
        <v>2707</v>
      </c>
      <c r="L776" s="16"/>
      <c r="M776" s="16"/>
      <c r="N776" s="16"/>
      <c r="O776" s="16">
        <v>1738.8134999999997</v>
      </c>
      <c r="P776" s="16">
        <v>2811.0594999999998</v>
      </c>
      <c r="Q776" s="16">
        <f>SUM(Tabela1[[#This Row],[201805]:[201807]])</f>
        <v>0</v>
      </c>
      <c r="R776" s="16">
        <f>SUM(Tabela1[[#This Row],[201905]:[201906]])</f>
        <v>4549.8729999999996</v>
      </c>
      <c r="S776" s="16">
        <v>100000</v>
      </c>
      <c r="T776" s="16">
        <f>Tabela1[[#This Row],[Total 2019]]-Tabela1[[#This Row],[Total 2018]]</f>
        <v>4549.8729999999996</v>
      </c>
      <c r="U776" s="40">
        <f>Tabela1[[#This Row],[Total 2019]]/Tabela1[[#This Row],[Meta]]</f>
        <v>4.5498729999999994E-2</v>
      </c>
      <c r="V776" s="17">
        <f>IFERROR(Tabela1[[#This Row],[Total 2019]]/Tabela1[[#This Row],[Total 2018]]-1,0)</f>
        <v>0</v>
      </c>
      <c r="W77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776" s="48"/>
      <c r="Y776" s="19"/>
      <c r="Z776" s="68"/>
    </row>
    <row r="777" spans="3:26" x14ac:dyDescent="0.35">
      <c r="C777" s="11" t="s">
        <v>2704</v>
      </c>
      <c r="D777" s="12" t="s">
        <v>2698</v>
      </c>
      <c r="E777" s="12">
        <v>757</v>
      </c>
      <c r="F777" s="13" t="s">
        <v>2204</v>
      </c>
      <c r="G777" s="14">
        <v>2</v>
      </c>
      <c r="H777" s="14" t="s">
        <v>1371</v>
      </c>
      <c r="I777" s="13">
        <v>5</v>
      </c>
      <c r="J777" s="15" t="s">
        <v>1404</v>
      </c>
      <c r="K777" s="15" t="s">
        <v>2707</v>
      </c>
      <c r="L777" s="16"/>
      <c r="M777" s="16">
        <v>10821.345499999999</v>
      </c>
      <c r="N777" s="16"/>
      <c r="O777" s="16"/>
      <c r="P777" s="16"/>
      <c r="Q777" s="16">
        <f>SUM(Tabela1[[#This Row],[201805]:[201807]])</f>
        <v>10821.345499999999</v>
      </c>
      <c r="R777" s="16">
        <f>SUM(Tabela1[[#This Row],[201905]:[201906]])</f>
        <v>0</v>
      </c>
      <c r="S777" s="16">
        <v>100000</v>
      </c>
      <c r="T777" s="16">
        <f>Tabela1[[#This Row],[Total 2019]]-Tabela1[[#This Row],[Total 2018]]</f>
        <v>-10821.345499999999</v>
      </c>
      <c r="U777" s="40">
        <f>Tabela1[[#This Row],[Total 2019]]/Tabela1[[#This Row],[Meta]]</f>
        <v>0</v>
      </c>
      <c r="V777" s="17">
        <f>IFERROR(Tabela1[[#This Row],[Total 2019]]/Tabela1[[#This Row],[Total 2018]]-1,0)</f>
        <v>-1</v>
      </c>
      <c r="W77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77" s="48"/>
      <c r="Y777" s="19"/>
      <c r="Z777" s="68"/>
    </row>
    <row r="778" spans="3:26" x14ac:dyDescent="0.35">
      <c r="C778" s="11" t="s">
        <v>2703</v>
      </c>
      <c r="D778" s="12" t="s">
        <v>2700</v>
      </c>
      <c r="E778" s="12">
        <v>758</v>
      </c>
      <c r="F778" s="13" t="s">
        <v>2205</v>
      </c>
      <c r="G778" s="14">
        <v>2</v>
      </c>
      <c r="H778" s="14" t="s">
        <v>1372</v>
      </c>
      <c r="I778" s="13">
        <v>18</v>
      </c>
      <c r="J778" s="15" t="s">
        <v>1417</v>
      </c>
      <c r="K778" s="15" t="s">
        <v>2708</v>
      </c>
      <c r="L778" s="16"/>
      <c r="M778" s="16">
        <v>4154.2929999999997</v>
      </c>
      <c r="N778" s="16">
        <v>3431.9794999999995</v>
      </c>
      <c r="O778" s="16">
        <v>10025.682499999999</v>
      </c>
      <c r="P778" s="16"/>
      <c r="Q778" s="16">
        <f>SUM(Tabela1[[#This Row],[201805]:[201807]])</f>
        <v>7586.2724999999991</v>
      </c>
      <c r="R778" s="16">
        <f>SUM(Tabela1[[#This Row],[201905]:[201906]])</f>
        <v>10025.682499999999</v>
      </c>
      <c r="S778" s="16">
        <v>100000</v>
      </c>
      <c r="T778" s="16">
        <f>Tabela1[[#This Row],[Total 2019]]-Tabela1[[#This Row],[Total 2018]]</f>
        <v>2439.41</v>
      </c>
      <c r="U778" s="40">
        <f>Tabela1[[#This Row],[Total 2019]]/Tabela1[[#This Row],[Meta]]</f>
        <v>0.10025682499999999</v>
      </c>
      <c r="V778" s="17">
        <f>IFERROR(Tabela1[[#This Row],[Total 2019]]/Tabela1[[#This Row],[Total 2018]]-1,0)</f>
        <v>0.32155581018214141</v>
      </c>
      <c r="W77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778" s="48"/>
      <c r="Y778" s="19"/>
      <c r="Z778" s="68"/>
    </row>
    <row r="779" spans="3:26" x14ac:dyDescent="0.35">
      <c r="C779" s="11" t="s">
        <v>2702</v>
      </c>
      <c r="D779" s="12" t="s">
        <v>2700</v>
      </c>
      <c r="E779" s="12">
        <v>759</v>
      </c>
      <c r="F779" s="13" t="s">
        <v>2206</v>
      </c>
      <c r="G779" s="14">
        <v>2</v>
      </c>
      <c r="H779" s="14" t="s">
        <v>1372</v>
      </c>
      <c r="I779" s="13">
        <v>18</v>
      </c>
      <c r="J779" s="15" t="s">
        <v>1417</v>
      </c>
      <c r="K779" s="15" t="s">
        <v>2708</v>
      </c>
      <c r="L779" s="16">
        <v>5580.2905000000001</v>
      </c>
      <c r="M779" s="16">
        <v>3064.8425000000002</v>
      </c>
      <c r="N779" s="16"/>
      <c r="O779" s="16"/>
      <c r="P779" s="16"/>
      <c r="Q779" s="16">
        <f>SUM(Tabela1[[#This Row],[201805]:[201807]])</f>
        <v>8645.1329999999998</v>
      </c>
      <c r="R779" s="16">
        <f>SUM(Tabela1[[#This Row],[201905]:[201906]])</f>
        <v>0</v>
      </c>
      <c r="S779" s="16">
        <v>100000</v>
      </c>
      <c r="T779" s="16">
        <f>Tabela1[[#This Row],[Total 2019]]-Tabela1[[#This Row],[Total 2018]]</f>
        <v>-8645.1329999999998</v>
      </c>
      <c r="U779" s="40">
        <f>Tabela1[[#This Row],[Total 2019]]/Tabela1[[#This Row],[Meta]]</f>
        <v>0</v>
      </c>
      <c r="V779" s="17">
        <f>IFERROR(Tabela1[[#This Row],[Total 2019]]/Tabela1[[#This Row],[Total 2018]]-1,0)</f>
        <v>-1</v>
      </c>
      <c r="W77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79" s="48"/>
      <c r="Y779" s="19"/>
      <c r="Z779" s="68"/>
    </row>
    <row r="780" spans="3:26" x14ac:dyDescent="0.35">
      <c r="C780" s="11" t="s">
        <v>2702</v>
      </c>
      <c r="D780" s="12" t="s">
        <v>2700</v>
      </c>
      <c r="E780" s="12">
        <v>759</v>
      </c>
      <c r="F780" s="13" t="s">
        <v>2206</v>
      </c>
      <c r="G780" s="14">
        <v>1</v>
      </c>
      <c r="H780" s="14" t="s">
        <v>1372</v>
      </c>
      <c r="I780" s="13">
        <v>18</v>
      </c>
      <c r="J780" s="15" t="s">
        <v>1417</v>
      </c>
      <c r="K780" s="15" t="s">
        <v>2708</v>
      </c>
      <c r="L780" s="16"/>
      <c r="M780" s="16"/>
      <c r="N780" s="16"/>
      <c r="O780" s="16">
        <v>5758.4154999999992</v>
      </c>
      <c r="P780" s="16">
        <v>3641.578</v>
      </c>
      <c r="Q780" s="16">
        <f>SUM(Tabela1[[#This Row],[201805]:[201807]])</f>
        <v>0</v>
      </c>
      <c r="R780" s="16">
        <f>SUM(Tabela1[[#This Row],[201905]:[201906]])</f>
        <v>9399.9934999999987</v>
      </c>
      <c r="S780" s="16">
        <v>100000</v>
      </c>
      <c r="T780" s="16">
        <f>Tabela1[[#This Row],[Total 2019]]-Tabela1[[#This Row],[Total 2018]]</f>
        <v>9399.9934999999987</v>
      </c>
      <c r="U780" s="40">
        <f>Tabela1[[#This Row],[Total 2019]]/Tabela1[[#This Row],[Meta]]</f>
        <v>9.3999934999999993E-2</v>
      </c>
      <c r="V780" s="17">
        <f>IFERROR(Tabela1[[#This Row],[Total 2019]]/Tabela1[[#This Row],[Total 2018]]-1,0)</f>
        <v>0</v>
      </c>
      <c r="W78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780" s="48"/>
      <c r="Y780" s="19"/>
      <c r="Z780" s="68"/>
    </row>
    <row r="781" spans="3:26" x14ac:dyDescent="0.35">
      <c r="C781" s="11" t="s">
        <v>2704</v>
      </c>
      <c r="D781" s="12" t="s">
        <v>2700</v>
      </c>
      <c r="E781" s="12">
        <v>760</v>
      </c>
      <c r="F781" s="13" t="s">
        <v>2207</v>
      </c>
      <c r="G781" s="14">
        <v>3</v>
      </c>
      <c r="H781" s="14" t="s">
        <v>1370</v>
      </c>
      <c r="I781" s="13">
        <v>15</v>
      </c>
      <c r="J781" s="15" t="s">
        <v>1414</v>
      </c>
      <c r="K781" s="15" t="s">
        <v>2706</v>
      </c>
      <c r="L781" s="16">
        <v>4633.3305</v>
      </c>
      <c r="M781" s="16">
        <v>2344.0299999999997</v>
      </c>
      <c r="N781" s="16">
        <v>2370.8580000000002</v>
      </c>
      <c r="O781" s="16"/>
      <c r="P781" s="16"/>
      <c r="Q781" s="16">
        <f>SUM(Tabela1[[#This Row],[201805]:[201807]])</f>
        <v>9348.218499999999</v>
      </c>
      <c r="R781" s="16">
        <f>SUM(Tabela1[[#This Row],[201905]:[201906]])</f>
        <v>0</v>
      </c>
      <c r="S781" s="16">
        <v>100000</v>
      </c>
      <c r="T781" s="16">
        <f>Tabela1[[#This Row],[Total 2019]]-Tabela1[[#This Row],[Total 2018]]</f>
        <v>-9348.218499999999</v>
      </c>
      <c r="U781" s="40">
        <f>Tabela1[[#This Row],[Total 2019]]/Tabela1[[#This Row],[Meta]]</f>
        <v>0</v>
      </c>
      <c r="V781" s="17">
        <f>IFERROR(Tabela1[[#This Row],[Total 2019]]/Tabela1[[#This Row],[Total 2018]]-1,0)</f>
        <v>-1</v>
      </c>
      <c r="W78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81" s="48"/>
      <c r="Y781" s="19"/>
      <c r="Z781" s="68"/>
    </row>
    <row r="782" spans="3:26" x14ac:dyDescent="0.35">
      <c r="C782" s="11" t="s">
        <v>2702</v>
      </c>
      <c r="D782" s="12" t="s">
        <v>2699</v>
      </c>
      <c r="E782" s="12">
        <v>761</v>
      </c>
      <c r="F782" s="13" t="s">
        <v>2208</v>
      </c>
      <c r="G782" s="14">
        <v>1</v>
      </c>
      <c r="H782" s="14" t="s">
        <v>1372</v>
      </c>
      <c r="I782" s="13">
        <v>13</v>
      </c>
      <c r="J782" s="15" t="s">
        <v>1412</v>
      </c>
      <c r="K782" s="15" t="s">
        <v>2709</v>
      </c>
      <c r="L782" s="16">
        <v>1245.2884999999999</v>
      </c>
      <c r="M782" s="16">
        <v>351.61399999999998</v>
      </c>
      <c r="N782" s="16"/>
      <c r="O782" s="16"/>
      <c r="P782" s="16"/>
      <c r="Q782" s="16">
        <f>SUM(Tabela1[[#This Row],[201805]:[201807]])</f>
        <v>1596.9024999999999</v>
      </c>
      <c r="R782" s="16">
        <f>SUM(Tabela1[[#This Row],[201905]:[201906]])</f>
        <v>0</v>
      </c>
      <c r="S782" s="16">
        <v>100000</v>
      </c>
      <c r="T782" s="16">
        <f>Tabela1[[#This Row],[Total 2019]]-Tabela1[[#This Row],[Total 2018]]</f>
        <v>-1596.9024999999999</v>
      </c>
      <c r="U782" s="40">
        <f>Tabela1[[#This Row],[Total 2019]]/Tabela1[[#This Row],[Meta]]</f>
        <v>0</v>
      </c>
      <c r="V782" s="17">
        <f>IFERROR(Tabela1[[#This Row],[Total 2019]]/Tabela1[[#This Row],[Total 2018]]-1,0)</f>
        <v>-1</v>
      </c>
      <c r="W78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82" s="48"/>
      <c r="Y782" s="19"/>
      <c r="Z782" s="68"/>
    </row>
    <row r="783" spans="3:26" x14ac:dyDescent="0.35">
      <c r="C783" s="11" t="s">
        <v>2703</v>
      </c>
      <c r="D783" s="12" t="s">
        <v>2700</v>
      </c>
      <c r="E783" s="12">
        <v>762</v>
      </c>
      <c r="F783" s="13" t="s">
        <v>2209</v>
      </c>
      <c r="G783" s="14">
        <v>3</v>
      </c>
      <c r="H783" s="14" t="s">
        <v>1370</v>
      </c>
      <c r="I783" s="13">
        <v>15</v>
      </c>
      <c r="J783" s="15" t="s">
        <v>1414</v>
      </c>
      <c r="K783" s="15" t="s">
        <v>2706</v>
      </c>
      <c r="L783" s="16"/>
      <c r="M783" s="16"/>
      <c r="N783" s="16">
        <v>8373.1859999999997</v>
      </c>
      <c r="O783" s="16"/>
      <c r="P783" s="16"/>
      <c r="Q783" s="16">
        <f>SUM(Tabela1[[#This Row],[201805]:[201807]])</f>
        <v>8373.1859999999997</v>
      </c>
      <c r="R783" s="16">
        <f>SUM(Tabela1[[#This Row],[201905]:[201906]])</f>
        <v>0</v>
      </c>
      <c r="S783" s="16">
        <v>100000</v>
      </c>
      <c r="T783" s="16">
        <f>Tabela1[[#This Row],[Total 2019]]-Tabela1[[#This Row],[Total 2018]]</f>
        <v>-8373.1859999999997</v>
      </c>
      <c r="U783" s="40">
        <f>Tabela1[[#This Row],[Total 2019]]/Tabela1[[#This Row],[Meta]]</f>
        <v>0</v>
      </c>
      <c r="V783" s="17">
        <f>IFERROR(Tabela1[[#This Row],[Total 2019]]/Tabela1[[#This Row],[Total 2018]]-1,0)</f>
        <v>-1</v>
      </c>
      <c r="W78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83" s="48"/>
      <c r="Y783" s="19"/>
      <c r="Z783" s="68"/>
    </row>
    <row r="784" spans="3:26" x14ac:dyDescent="0.35">
      <c r="C784" s="11" t="s">
        <v>2703</v>
      </c>
      <c r="D784" s="12" t="s">
        <v>2698</v>
      </c>
      <c r="E784" s="12">
        <v>763</v>
      </c>
      <c r="F784" s="13" t="s">
        <v>2210</v>
      </c>
      <c r="G784" s="14">
        <v>2</v>
      </c>
      <c r="H784" s="14" t="s">
        <v>1372</v>
      </c>
      <c r="I784" s="13">
        <v>22</v>
      </c>
      <c r="J784" s="15" t="s">
        <v>1421</v>
      </c>
      <c r="K784" s="15" t="s">
        <v>2708</v>
      </c>
      <c r="L784" s="16"/>
      <c r="M784" s="16">
        <v>2638.8245000000002</v>
      </c>
      <c r="N784" s="16">
        <v>2034.5674999999999</v>
      </c>
      <c r="O784" s="16"/>
      <c r="P784" s="16"/>
      <c r="Q784" s="16">
        <f>SUM(Tabela1[[#This Row],[201805]:[201807]])</f>
        <v>4673.3919999999998</v>
      </c>
      <c r="R784" s="16">
        <f>SUM(Tabela1[[#This Row],[201905]:[201906]])</f>
        <v>0</v>
      </c>
      <c r="S784" s="16">
        <v>100000</v>
      </c>
      <c r="T784" s="16">
        <f>Tabela1[[#This Row],[Total 2019]]-Tabela1[[#This Row],[Total 2018]]</f>
        <v>-4673.3919999999998</v>
      </c>
      <c r="U784" s="40">
        <f>Tabela1[[#This Row],[Total 2019]]/Tabela1[[#This Row],[Meta]]</f>
        <v>0</v>
      </c>
      <c r="V784" s="17">
        <f>IFERROR(Tabela1[[#This Row],[Total 2019]]/Tabela1[[#This Row],[Total 2018]]-1,0)</f>
        <v>-1</v>
      </c>
      <c r="W78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84" s="48"/>
      <c r="Y784" s="19"/>
      <c r="Z784" s="68"/>
    </row>
    <row r="785" spans="3:26" x14ac:dyDescent="0.35">
      <c r="C785" s="11" t="s">
        <v>2704</v>
      </c>
      <c r="D785" s="12" t="s">
        <v>2700</v>
      </c>
      <c r="E785" s="12">
        <v>764</v>
      </c>
      <c r="F785" s="13" t="s">
        <v>2211</v>
      </c>
      <c r="G785" s="14">
        <v>2</v>
      </c>
      <c r="H785" s="14" t="s">
        <v>1371</v>
      </c>
      <c r="I785" s="13">
        <v>31</v>
      </c>
      <c r="J785" s="15" t="s">
        <v>1430</v>
      </c>
      <c r="K785" s="15" t="s">
        <v>2707</v>
      </c>
      <c r="L785" s="16"/>
      <c r="M785" s="16"/>
      <c r="N785" s="16">
        <v>6578.94</v>
      </c>
      <c r="O785" s="16"/>
      <c r="P785" s="16"/>
      <c r="Q785" s="16">
        <f>SUM(Tabela1[[#This Row],[201805]:[201807]])</f>
        <v>6578.94</v>
      </c>
      <c r="R785" s="16">
        <f>SUM(Tabela1[[#This Row],[201905]:[201906]])</f>
        <v>0</v>
      </c>
      <c r="S785" s="16">
        <v>100000</v>
      </c>
      <c r="T785" s="16">
        <f>Tabela1[[#This Row],[Total 2019]]-Tabela1[[#This Row],[Total 2018]]</f>
        <v>-6578.94</v>
      </c>
      <c r="U785" s="40">
        <f>Tabela1[[#This Row],[Total 2019]]/Tabela1[[#This Row],[Meta]]</f>
        <v>0</v>
      </c>
      <c r="V785" s="17">
        <f>IFERROR(Tabela1[[#This Row],[Total 2019]]/Tabela1[[#This Row],[Total 2018]]-1,0)</f>
        <v>-1</v>
      </c>
      <c r="W78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85" s="48"/>
      <c r="Y785" s="19"/>
      <c r="Z785" s="68"/>
    </row>
    <row r="786" spans="3:26" x14ac:dyDescent="0.35">
      <c r="C786" s="11" t="s">
        <v>2702</v>
      </c>
      <c r="D786" s="12" t="s">
        <v>2698</v>
      </c>
      <c r="E786" s="12">
        <v>765</v>
      </c>
      <c r="F786" s="13" t="s">
        <v>2212</v>
      </c>
      <c r="G786" s="14">
        <v>2</v>
      </c>
      <c r="H786" s="14" t="s">
        <v>1371</v>
      </c>
      <c r="I786" s="13">
        <v>12</v>
      </c>
      <c r="J786" s="15" t="s">
        <v>1411</v>
      </c>
      <c r="K786" s="15" t="s">
        <v>2707</v>
      </c>
      <c r="L786" s="16">
        <v>2522.4210000000003</v>
      </c>
      <c r="M786" s="16">
        <v>5760.2870000000003</v>
      </c>
      <c r="N786" s="16">
        <v>444.37199999999996</v>
      </c>
      <c r="O786" s="16"/>
      <c r="P786" s="16"/>
      <c r="Q786" s="16">
        <f>SUM(Tabela1[[#This Row],[201805]:[201807]])</f>
        <v>8727.08</v>
      </c>
      <c r="R786" s="16">
        <f>SUM(Tabela1[[#This Row],[201905]:[201906]])</f>
        <v>0</v>
      </c>
      <c r="S786" s="16">
        <v>100000</v>
      </c>
      <c r="T786" s="16">
        <f>Tabela1[[#This Row],[Total 2019]]-Tabela1[[#This Row],[Total 2018]]</f>
        <v>-8727.08</v>
      </c>
      <c r="U786" s="40">
        <f>Tabela1[[#This Row],[Total 2019]]/Tabela1[[#This Row],[Meta]]</f>
        <v>0</v>
      </c>
      <c r="V786" s="17">
        <f>IFERROR(Tabela1[[#This Row],[Total 2019]]/Tabela1[[#This Row],[Total 2018]]-1,0)</f>
        <v>-1</v>
      </c>
      <c r="W78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86" s="48"/>
      <c r="Y786" s="19"/>
      <c r="Z786" s="68"/>
    </row>
    <row r="787" spans="3:26" x14ac:dyDescent="0.35">
      <c r="C787" s="11" t="s">
        <v>2702</v>
      </c>
      <c r="D787" s="12" t="s">
        <v>2699</v>
      </c>
      <c r="E787" s="12">
        <v>766</v>
      </c>
      <c r="F787" s="13" t="s">
        <v>2213</v>
      </c>
      <c r="G787" s="14">
        <v>1</v>
      </c>
      <c r="H787" s="14" t="s">
        <v>1371</v>
      </c>
      <c r="I787" s="13">
        <v>7</v>
      </c>
      <c r="J787" s="15" t="s">
        <v>1406</v>
      </c>
      <c r="K787" s="15" t="s">
        <v>2707</v>
      </c>
      <c r="L787" s="16"/>
      <c r="M787" s="16">
        <v>1494.2265</v>
      </c>
      <c r="N787" s="16"/>
      <c r="O787" s="16"/>
      <c r="P787" s="16"/>
      <c r="Q787" s="16">
        <f>SUM(Tabela1[[#This Row],[201805]:[201807]])</f>
        <v>1494.2265</v>
      </c>
      <c r="R787" s="16">
        <f>SUM(Tabela1[[#This Row],[201905]:[201906]])</f>
        <v>0</v>
      </c>
      <c r="S787" s="16">
        <v>100000</v>
      </c>
      <c r="T787" s="16">
        <f>Tabela1[[#This Row],[Total 2019]]-Tabela1[[#This Row],[Total 2018]]</f>
        <v>-1494.2265</v>
      </c>
      <c r="U787" s="40">
        <f>Tabela1[[#This Row],[Total 2019]]/Tabela1[[#This Row],[Meta]]</f>
        <v>0</v>
      </c>
      <c r="V787" s="17">
        <f>IFERROR(Tabela1[[#This Row],[Total 2019]]/Tabela1[[#This Row],[Total 2018]]-1,0)</f>
        <v>-1</v>
      </c>
      <c r="W78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87" s="48"/>
      <c r="Y787" s="19"/>
      <c r="Z787" s="68"/>
    </row>
    <row r="788" spans="3:26" x14ac:dyDescent="0.35">
      <c r="C788" s="11" t="s">
        <v>2702</v>
      </c>
      <c r="D788" s="12" t="s">
        <v>2698</v>
      </c>
      <c r="E788" s="12">
        <v>767</v>
      </c>
      <c r="F788" s="13" t="s">
        <v>2214</v>
      </c>
      <c r="G788" s="14">
        <v>2</v>
      </c>
      <c r="H788" s="14" t="s">
        <v>1370</v>
      </c>
      <c r="I788" s="13">
        <v>29</v>
      </c>
      <c r="J788" s="15" t="s">
        <v>1428</v>
      </c>
      <c r="K788" s="15" t="s">
        <v>2706</v>
      </c>
      <c r="L788" s="16">
        <v>5776.1995000000006</v>
      </c>
      <c r="M788" s="16">
        <v>1583.1275000000001</v>
      </c>
      <c r="N788" s="16"/>
      <c r="O788" s="16"/>
      <c r="P788" s="16"/>
      <c r="Q788" s="16">
        <f>SUM(Tabela1[[#This Row],[201805]:[201807]])</f>
        <v>7359.3270000000011</v>
      </c>
      <c r="R788" s="16">
        <f>SUM(Tabela1[[#This Row],[201905]:[201906]])</f>
        <v>0</v>
      </c>
      <c r="S788" s="16">
        <v>100000</v>
      </c>
      <c r="T788" s="16">
        <f>Tabela1[[#This Row],[Total 2019]]-Tabela1[[#This Row],[Total 2018]]</f>
        <v>-7359.3270000000011</v>
      </c>
      <c r="U788" s="40">
        <f>Tabela1[[#This Row],[Total 2019]]/Tabela1[[#This Row],[Meta]]</f>
        <v>0</v>
      </c>
      <c r="V788" s="17">
        <f>IFERROR(Tabela1[[#This Row],[Total 2019]]/Tabela1[[#This Row],[Total 2018]]-1,0)</f>
        <v>-1</v>
      </c>
      <c r="W78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88" s="48"/>
      <c r="Y788" s="19"/>
      <c r="Z788" s="68"/>
    </row>
    <row r="789" spans="3:26" x14ac:dyDescent="0.35">
      <c r="C789" s="11" t="s">
        <v>2702</v>
      </c>
      <c r="D789" s="12" t="s">
        <v>2698</v>
      </c>
      <c r="E789" s="12">
        <v>768</v>
      </c>
      <c r="F789" s="13" t="s">
        <v>2215</v>
      </c>
      <c r="G789" s="14">
        <v>3</v>
      </c>
      <c r="H789" s="14" t="s">
        <v>1370</v>
      </c>
      <c r="I789" s="13">
        <v>30</v>
      </c>
      <c r="J789" s="15" t="s">
        <v>1429</v>
      </c>
      <c r="K789" s="15" t="s">
        <v>2706</v>
      </c>
      <c r="L789" s="16"/>
      <c r="M789" s="16">
        <v>5554.8495000000003</v>
      </c>
      <c r="N789" s="16">
        <v>2521.5754999999999</v>
      </c>
      <c r="O789" s="16"/>
      <c r="P789" s="16"/>
      <c r="Q789" s="16">
        <f>SUM(Tabela1[[#This Row],[201805]:[201807]])</f>
        <v>8076.4250000000002</v>
      </c>
      <c r="R789" s="16">
        <f>SUM(Tabela1[[#This Row],[201905]:[201906]])</f>
        <v>0</v>
      </c>
      <c r="S789" s="16">
        <v>100000</v>
      </c>
      <c r="T789" s="16">
        <f>Tabela1[[#This Row],[Total 2019]]-Tabela1[[#This Row],[Total 2018]]</f>
        <v>-8076.4250000000002</v>
      </c>
      <c r="U789" s="40">
        <f>Tabela1[[#This Row],[Total 2019]]/Tabela1[[#This Row],[Meta]]</f>
        <v>0</v>
      </c>
      <c r="V789" s="17">
        <f>IFERROR(Tabela1[[#This Row],[Total 2019]]/Tabela1[[#This Row],[Total 2018]]-1,0)</f>
        <v>-1</v>
      </c>
      <c r="W78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89" s="48"/>
      <c r="Y789" s="19"/>
      <c r="Z789" s="68"/>
    </row>
    <row r="790" spans="3:26" x14ac:dyDescent="0.35">
      <c r="C790" s="11" t="s">
        <v>2703</v>
      </c>
      <c r="D790" s="12" t="s">
        <v>2699</v>
      </c>
      <c r="E790" s="12">
        <v>769</v>
      </c>
      <c r="F790" s="13" t="s">
        <v>2216</v>
      </c>
      <c r="G790" s="14">
        <v>2</v>
      </c>
      <c r="H790" s="14" t="s">
        <v>1370</v>
      </c>
      <c r="I790" s="13">
        <v>19</v>
      </c>
      <c r="J790" s="15" t="s">
        <v>1418</v>
      </c>
      <c r="K790" s="15" t="s">
        <v>2706</v>
      </c>
      <c r="L790" s="16">
        <v>4390.6435000000001</v>
      </c>
      <c r="M790" s="16">
        <v>3521.5549999999998</v>
      </c>
      <c r="N790" s="16"/>
      <c r="O790" s="16">
        <v>5635.2384999999995</v>
      </c>
      <c r="P790" s="16">
        <v>4022.2049999999999</v>
      </c>
      <c r="Q790" s="16">
        <f>SUM(Tabela1[[#This Row],[201805]:[201807]])</f>
        <v>7912.1985000000004</v>
      </c>
      <c r="R790" s="16">
        <f>SUM(Tabela1[[#This Row],[201905]:[201906]])</f>
        <v>9657.4434999999994</v>
      </c>
      <c r="S790" s="16">
        <v>100000</v>
      </c>
      <c r="T790" s="16">
        <f>Tabela1[[#This Row],[Total 2019]]-Tabela1[[#This Row],[Total 2018]]</f>
        <v>1745.244999999999</v>
      </c>
      <c r="U790" s="40">
        <f>Tabela1[[#This Row],[Total 2019]]/Tabela1[[#This Row],[Meta]]</f>
        <v>9.6574435E-2</v>
      </c>
      <c r="V790" s="17">
        <f>IFERROR(Tabela1[[#This Row],[Total 2019]]/Tabela1[[#This Row],[Total 2018]]-1,0)</f>
        <v>0.22057649337285956</v>
      </c>
      <c r="W79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790" s="48"/>
      <c r="Y790" s="19"/>
      <c r="Z790" s="68"/>
    </row>
    <row r="791" spans="3:26" x14ac:dyDescent="0.35">
      <c r="C791" s="11" t="s">
        <v>2702</v>
      </c>
      <c r="D791" s="12" t="s">
        <v>2698</v>
      </c>
      <c r="E791" s="12">
        <v>770</v>
      </c>
      <c r="F791" s="13" t="s">
        <v>2217</v>
      </c>
      <c r="G791" s="14">
        <v>1</v>
      </c>
      <c r="H791" s="14" t="s">
        <v>1372</v>
      </c>
      <c r="I791" s="13">
        <v>25</v>
      </c>
      <c r="J791" s="15" t="s">
        <v>1424</v>
      </c>
      <c r="K791" s="15" t="s">
        <v>2708</v>
      </c>
      <c r="L791" s="16">
        <v>1698.7329999999999</v>
      </c>
      <c r="M791" s="16"/>
      <c r="N791" s="16">
        <v>1445.7099999999998</v>
      </c>
      <c r="O791" s="16"/>
      <c r="P791" s="16"/>
      <c r="Q791" s="16">
        <f>SUM(Tabela1[[#This Row],[201805]:[201807]])</f>
        <v>3144.4429999999998</v>
      </c>
      <c r="R791" s="16">
        <f>SUM(Tabela1[[#This Row],[201905]:[201906]])</f>
        <v>0</v>
      </c>
      <c r="S791" s="16">
        <v>100000</v>
      </c>
      <c r="T791" s="16">
        <f>Tabela1[[#This Row],[Total 2019]]-Tabela1[[#This Row],[Total 2018]]</f>
        <v>-3144.4429999999998</v>
      </c>
      <c r="U791" s="40">
        <f>Tabela1[[#This Row],[Total 2019]]/Tabela1[[#This Row],[Meta]]</f>
        <v>0</v>
      </c>
      <c r="V791" s="17">
        <f>IFERROR(Tabela1[[#This Row],[Total 2019]]/Tabela1[[#This Row],[Total 2018]]-1,0)</f>
        <v>-1</v>
      </c>
      <c r="W79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91" s="48"/>
      <c r="Y791" s="19"/>
      <c r="Z791" s="68"/>
    </row>
    <row r="792" spans="3:26" x14ac:dyDescent="0.35">
      <c r="C792" s="11" t="s">
        <v>2703</v>
      </c>
      <c r="D792" s="12" t="s">
        <v>2700</v>
      </c>
      <c r="E792" s="12">
        <v>771</v>
      </c>
      <c r="F792" s="13" t="s">
        <v>2218</v>
      </c>
      <c r="G792" s="14">
        <v>2</v>
      </c>
      <c r="H792" s="14" t="s">
        <v>1371</v>
      </c>
      <c r="I792" s="13">
        <v>31</v>
      </c>
      <c r="J792" s="15" t="s">
        <v>1430</v>
      </c>
      <c r="K792" s="15" t="s">
        <v>2707</v>
      </c>
      <c r="L792" s="16">
        <v>5202.3900000000003</v>
      </c>
      <c r="M792" s="16">
        <v>8332.1649999999991</v>
      </c>
      <c r="N792" s="16">
        <v>4088.2869999999994</v>
      </c>
      <c r="O792" s="16"/>
      <c r="P792" s="16"/>
      <c r="Q792" s="16">
        <f>SUM(Tabela1[[#This Row],[201805]:[201807]])</f>
        <v>17622.842000000001</v>
      </c>
      <c r="R792" s="16">
        <f>SUM(Tabela1[[#This Row],[201905]:[201906]])</f>
        <v>0</v>
      </c>
      <c r="S792" s="16">
        <v>100000</v>
      </c>
      <c r="T792" s="16">
        <f>Tabela1[[#This Row],[Total 2019]]-Tabela1[[#This Row],[Total 2018]]</f>
        <v>-17622.842000000001</v>
      </c>
      <c r="U792" s="40">
        <f>Tabela1[[#This Row],[Total 2019]]/Tabela1[[#This Row],[Meta]]</f>
        <v>0</v>
      </c>
      <c r="V792" s="17">
        <f>IFERROR(Tabela1[[#This Row],[Total 2019]]/Tabela1[[#This Row],[Total 2018]]-1,0)</f>
        <v>-1</v>
      </c>
      <c r="W79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92" s="48"/>
      <c r="Y792" s="19"/>
      <c r="Z792" s="68"/>
    </row>
    <row r="793" spans="3:26" x14ac:dyDescent="0.35">
      <c r="C793" s="11" t="s">
        <v>2702</v>
      </c>
      <c r="D793" s="12" t="s">
        <v>2699</v>
      </c>
      <c r="E793" s="12">
        <v>772</v>
      </c>
      <c r="F793" s="13" t="s">
        <v>2219</v>
      </c>
      <c r="G793" s="14">
        <v>1</v>
      </c>
      <c r="H793" s="14" t="s">
        <v>1372</v>
      </c>
      <c r="I793" s="13">
        <v>22</v>
      </c>
      <c r="J793" s="15" t="s">
        <v>1421</v>
      </c>
      <c r="K793" s="15" t="s">
        <v>2708</v>
      </c>
      <c r="L793" s="16">
        <v>1908.3979999999999</v>
      </c>
      <c r="M793" s="16">
        <v>1095.806</v>
      </c>
      <c r="N793" s="16"/>
      <c r="O793" s="16"/>
      <c r="P793" s="16"/>
      <c r="Q793" s="16">
        <f>SUM(Tabela1[[#This Row],[201805]:[201807]])</f>
        <v>3004.2039999999997</v>
      </c>
      <c r="R793" s="16">
        <f>SUM(Tabela1[[#This Row],[201905]:[201906]])</f>
        <v>0</v>
      </c>
      <c r="S793" s="16">
        <v>100000</v>
      </c>
      <c r="T793" s="16">
        <f>Tabela1[[#This Row],[Total 2019]]-Tabela1[[#This Row],[Total 2018]]</f>
        <v>-3004.2039999999997</v>
      </c>
      <c r="U793" s="40">
        <f>Tabela1[[#This Row],[Total 2019]]/Tabela1[[#This Row],[Meta]]</f>
        <v>0</v>
      </c>
      <c r="V793" s="17">
        <f>IFERROR(Tabela1[[#This Row],[Total 2019]]/Tabela1[[#This Row],[Total 2018]]-1,0)</f>
        <v>-1</v>
      </c>
      <c r="W79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93" s="48"/>
      <c r="Y793" s="19"/>
      <c r="Z793" s="68"/>
    </row>
    <row r="794" spans="3:26" x14ac:dyDescent="0.35">
      <c r="C794" s="11" t="s">
        <v>2703</v>
      </c>
      <c r="D794" s="12" t="s">
        <v>2699</v>
      </c>
      <c r="E794" s="12">
        <v>773</v>
      </c>
      <c r="F794" s="13" t="s">
        <v>2220</v>
      </c>
      <c r="G794" s="14">
        <v>3</v>
      </c>
      <c r="H794" s="14" t="s">
        <v>1372</v>
      </c>
      <c r="I794" s="13">
        <v>22</v>
      </c>
      <c r="J794" s="15" t="s">
        <v>1421</v>
      </c>
      <c r="K794" s="15" t="s">
        <v>2708</v>
      </c>
      <c r="L794" s="16">
        <v>288.53399999999999</v>
      </c>
      <c r="M794" s="16">
        <v>5493.146999999999</v>
      </c>
      <c r="N794" s="16"/>
      <c r="O794" s="16"/>
      <c r="P794" s="16"/>
      <c r="Q794" s="16">
        <f>SUM(Tabela1[[#This Row],[201805]:[201807]])</f>
        <v>5781.6809999999987</v>
      </c>
      <c r="R794" s="16">
        <f>SUM(Tabela1[[#This Row],[201905]:[201906]])</f>
        <v>0</v>
      </c>
      <c r="S794" s="16">
        <v>100000</v>
      </c>
      <c r="T794" s="16">
        <f>Tabela1[[#This Row],[Total 2019]]-Tabela1[[#This Row],[Total 2018]]</f>
        <v>-5781.6809999999987</v>
      </c>
      <c r="U794" s="40">
        <f>Tabela1[[#This Row],[Total 2019]]/Tabela1[[#This Row],[Meta]]</f>
        <v>0</v>
      </c>
      <c r="V794" s="17">
        <f>IFERROR(Tabela1[[#This Row],[Total 2019]]/Tabela1[[#This Row],[Total 2018]]-1,0)</f>
        <v>-1</v>
      </c>
      <c r="W79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94" s="48"/>
      <c r="Y794" s="19"/>
      <c r="Z794" s="68"/>
    </row>
    <row r="795" spans="3:26" x14ac:dyDescent="0.35">
      <c r="C795" s="11" t="s">
        <v>2704</v>
      </c>
      <c r="D795" s="12" t="s">
        <v>2699</v>
      </c>
      <c r="E795" s="12">
        <v>774</v>
      </c>
      <c r="F795" s="13" t="s">
        <v>2221</v>
      </c>
      <c r="G795" s="14">
        <v>3</v>
      </c>
      <c r="H795" s="14" t="s">
        <v>1372</v>
      </c>
      <c r="I795" s="13">
        <v>18</v>
      </c>
      <c r="J795" s="15" t="s">
        <v>1417</v>
      </c>
      <c r="K795" s="15" t="s">
        <v>2708</v>
      </c>
      <c r="L795" s="16"/>
      <c r="M795" s="16">
        <v>915.91399999999999</v>
      </c>
      <c r="N795" s="16"/>
      <c r="O795" s="16"/>
      <c r="P795" s="16"/>
      <c r="Q795" s="16">
        <f>SUM(Tabela1[[#This Row],[201805]:[201807]])</f>
        <v>915.91399999999999</v>
      </c>
      <c r="R795" s="16">
        <f>SUM(Tabela1[[#This Row],[201905]:[201906]])</f>
        <v>0</v>
      </c>
      <c r="S795" s="16">
        <v>100000</v>
      </c>
      <c r="T795" s="16">
        <f>Tabela1[[#This Row],[Total 2019]]-Tabela1[[#This Row],[Total 2018]]</f>
        <v>-915.91399999999999</v>
      </c>
      <c r="U795" s="40">
        <f>Tabela1[[#This Row],[Total 2019]]/Tabela1[[#This Row],[Meta]]</f>
        <v>0</v>
      </c>
      <c r="V795" s="17">
        <f>IFERROR(Tabela1[[#This Row],[Total 2019]]/Tabela1[[#This Row],[Total 2018]]-1,0)</f>
        <v>-1</v>
      </c>
      <c r="W79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95" s="48"/>
      <c r="Y795" s="19"/>
      <c r="Z795" s="68"/>
    </row>
    <row r="796" spans="3:26" x14ac:dyDescent="0.35">
      <c r="C796" s="11" t="s">
        <v>2702</v>
      </c>
      <c r="D796" s="12" t="s">
        <v>2700</v>
      </c>
      <c r="E796" s="12">
        <v>775</v>
      </c>
      <c r="F796" s="13" t="s">
        <v>2222</v>
      </c>
      <c r="G796" s="14">
        <v>2</v>
      </c>
      <c r="H796" s="14" t="s">
        <v>1370</v>
      </c>
      <c r="I796" s="13">
        <v>19</v>
      </c>
      <c r="J796" s="15" t="s">
        <v>1418</v>
      </c>
      <c r="K796" s="15" t="s">
        <v>2706</v>
      </c>
      <c r="L796" s="16"/>
      <c r="M796" s="16">
        <v>3095.8220000000001</v>
      </c>
      <c r="N796" s="16"/>
      <c r="O796" s="16"/>
      <c r="P796" s="16"/>
      <c r="Q796" s="16">
        <f>SUM(Tabela1[[#This Row],[201805]:[201807]])</f>
        <v>3095.8220000000001</v>
      </c>
      <c r="R796" s="16">
        <f>SUM(Tabela1[[#This Row],[201905]:[201906]])</f>
        <v>0</v>
      </c>
      <c r="S796" s="16">
        <v>100000</v>
      </c>
      <c r="T796" s="16">
        <f>Tabela1[[#This Row],[Total 2019]]-Tabela1[[#This Row],[Total 2018]]</f>
        <v>-3095.8220000000001</v>
      </c>
      <c r="U796" s="40">
        <f>Tabela1[[#This Row],[Total 2019]]/Tabela1[[#This Row],[Meta]]</f>
        <v>0</v>
      </c>
      <c r="V796" s="17">
        <f>IFERROR(Tabela1[[#This Row],[Total 2019]]/Tabela1[[#This Row],[Total 2018]]-1,0)</f>
        <v>-1</v>
      </c>
      <c r="W79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96" s="48"/>
      <c r="Y796" s="19"/>
      <c r="Z796" s="68"/>
    </row>
    <row r="797" spans="3:26" x14ac:dyDescent="0.35">
      <c r="C797" s="11" t="s">
        <v>2704</v>
      </c>
      <c r="D797" s="12" t="s">
        <v>2699</v>
      </c>
      <c r="E797" s="12">
        <v>776</v>
      </c>
      <c r="F797" s="13" t="s">
        <v>2223</v>
      </c>
      <c r="G797" s="14">
        <v>1</v>
      </c>
      <c r="H797" s="14" t="s">
        <v>1370</v>
      </c>
      <c r="I797" s="13">
        <v>29</v>
      </c>
      <c r="J797" s="15" t="s">
        <v>1428</v>
      </c>
      <c r="K797" s="15" t="s">
        <v>2706</v>
      </c>
      <c r="L797" s="16">
        <v>6542.4599999999991</v>
      </c>
      <c r="M797" s="16">
        <v>1626.0295000000001</v>
      </c>
      <c r="N797" s="16"/>
      <c r="O797" s="16"/>
      <c r="P797" s="16"/>
      <c r="Q797" s="16">
        <f>SUM(Tabela1[[#This Row],[201805]:[201807]])</f>
        <v>8168.4894999999997</v>
      </c>
      <c r="R797" s="16">
        <f>SUM(Tabela1[[#This Row],[201905]:[201906]])</f>
        <v>0</v>
      </c>
      <c r="S797" s="16">
        <v>100000</v>
      </c>
      <c r="T797" s="16">
        <f>Tabela1[[#This Row],[Total 2019]]-Tabela1[[#This Row],[Total 2018]]</f>
        <v>-8168.4894999999997</v>
      </c>
      <c r="U797" s="40">
        <f>Tabela1[[#This Row],[Total 2019]]/Tabela1[[#This Row],[Meta]]</f>
        <v>0</v>
      </c>
      <c r="V797" s="17">
        <f>IFERROR(Tabela1[[#This Row],[Total 2019]]/Tabela1[[#This Row],[Total 2018]]-1,0)</f>
        <v>-1</v>
      </c>
      <c r="W79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97" s="48"/>
      <c r="Y797" s="19"/>
      <c r="Z797" s="68"/>
    </row>
    <row r="798" spans="3:26" x14ac:dyDescent="0.35">
      <c r="C798" s="11" t="s">
        <v>2704</v>
      </c>
      <c r="D798" s="12" t="s">
        <v>2699</v>
      </c>
      <c r="E798" s="12">
        <v>777</v>
      </c>
      <c r="F798" s="13" t="s">
        <v>2224</v>
      </c>
      <c r="G798" s="14">
        <v>3</v>
      </c>
      <c r="H798" s="14" t="s">
        <v>1370</v>
      </c>
      <c r="I798" s="13">
        <v>34</v>
      </c>
      <c r="J798" s="15" t="s">
        <v>1433</v>
      </c>
      <c r="K798" s="15" t="s">
        <v>2706</v>
      </c>
      <c r="L798" s="16"/>
      <c r="M798" s="16">
        <v>6852.9579999999987</v>
      </c>
      <c r="N798" s="16">
        <v>2283.8285000000001</v>
      </c>
      <c r="O798" s="16"/>
      <c r="P798" s="16"/>
      <c r="Q798" s="16">
        <f>SUM(Tabela1[[#This Row],[201805]:[201807]])</f>
        <v>9136.7864999999983</v>
      </c>
      <c r="R798" s="16">
        <f>SUM(Tabela1[[#This Row],[201905]:[201906]])</f>
        <v>0</v>
      </c>
      <c r="S798" s="16">
        <v>100000</v>
      </c>
      <c r="T798" s="16">
        <f>Tabela1[[#This Row],[Total 2019]]-Tabela1[[#This Row],[Total 2018]]</f>
        <v>-9136.7864999999983</v>
      </c>
      <c r="U798" s="40">
        <f>Tabela1[[#This Row],[Total 2019]]/Tabela1[[#This Row],[Meta]]</f>
        <v>0</v>
      </c>
      <c r="V798" s="17">
        <f>IFERROR(Tabela1[[#This Row],[Total 2019]]/Tabela1[[#This Row],[Total 2018]]-1,0)</f>
        <v>-1</v>
      </c>
      <c r="W79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798" s="48"/>
      <c r="Y798" s="19"/>
      <c r="Z798" s="68"/>
    </row>
    <row r="799" spans="3:26" x14ac:dyDescent="0.35">
      <c r="C799" s="11" t="s">
        <v>2703</v>
      </c>
      <c r="D799" s="12" t="s">
        <v>2698</v>
      </c>
      <c r="E799" s="12">
        <v>778</v>
      </c>
      <c r="F799" s="13" t="s">
        <v>2225</v>
      </c>
      <c r="G799" s="14">
        <v>3</v>
      </c>
      <c r="H799" s="14" t="s">
        <v>1372</v>
      </c>
      <c r="I799" s="13">
        <v>21</v>
      </c>
      <c r="J799" s="15" t="s">
        <v>1420</v>
      </c>
      <c r="K799" s="15" t="s">
        <v>2708</v>
      </c>
      <c r="L799" s="16"/>
      <c r="M799" s="16"/>
      <c r="N799" s="16"/>
      <c r="O799" s="16">
        <v>5771.9529999999995</v>
      </c>
      <c r="P799" s="16"/>
      <c r="Q799" s="16">
        <f>SUM(Tabela1[[#This Row],[201805]:[201807]])</f>
        <v>0</v>
      </c>
      <c r="R799" s="16">
        <f>SUM(Tabela1[[#This Row],[201905]:[201906]])</f>
        <v>5771.9529999999995</v>
      </c>
      <c r="S799" s="16">
        <v>100000</v>
      </c>
      <c r="T799" s="16">
        <f>Tabela1[[#This Row],[Total 2019]]-Tabela1[[#This Row],[Total 2018]]</f>
        <v>5771.9529999999995</v>
      </c>
      <c r="U799" s="40">
        <f>Tabela1[[#This Row],[Total 2019]]/Tabela1[[#This Row],[Meta]]</f>
        <v>5.7719529999999998E-2</v>
      </c>
      <c r="V799" s="17">
        <f>IFERROR(Tabela1[[#This Row],[Total 2019]]/Tabela1[[#This Row],[Total 2018]]-1,0)</f>
        <v>0</v>
      </c>
      <c r="W79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799" s="48"/>
      <c r="Y799" s="19"/>
      <c r="Z799" s="68"/>
    </row>
    <row r="800" spans="3:26" x14ac:dyDescent="0.35">
      <c r="C800" s="11" t="s">
        <v>2703</v>
      </c>
      <c r="D800" s="12" t="s">
        <v>2700</v>
      </c>
      <c r="E800" s="12">
        <v>779</v>
      </c>
      <c r="F800" s="13" t="s">
        <v>2226</v>
      </c>
      <c r="G800" s="14">
        <v>2</v>
      </c>
      <c r="H800" s="14" t="s">
        <v>1371</v>
      </c>
      <c r="I800" s="13">
        <v>4</v>
      </c>
      <c r="J800" s="15" t="s">
        <v>1403</v>
      </c>
      <c r="K800" s="15" t="s">
        <v>2707</v>
      </c>
      <c r="L800" s="16"/>
      <c r="M800" s="16">
        <v>764.59799999999996</v>
      </c>
      <c r="N800" s="16">
        <v>942.1244999999999</v>
      </c>
      <c r="O800" s="16"/>
      <c r="P800" s="16"/>
      <c r="Q800" s="16">
        <f>SUM(Tabela1[[#This Row],[201805]:[201807]])</f>
        <v>1706.7224999999999</v>
      </c>
      <c r="R800" s="16">
        <f>SUM(Tabela1[[#This Row],[201905]:[201906]])</f>
        <v>0</v>
      </c>
      <c r="S800" s="16">
        <v>100000</v>
      </c>
      <c r="T800" s="16">
        <f>Tabela1[[#This Row],[Total 2019]]-Tabela1[[#This Row],[Total 2018]]</f>
        <v>-1706.7224999999999</v>
      </c>
      <c r="U800" s="40">
        <f>Tabela1[[#This Row],[Total 2019]]/Tabela1[[#This Row],[Meta]]</f>
        <v>0</v>
      </c>
      <c r="V800" s="17">
        <f>IFERROR(Tabela1[[#This Row],[Total 2019]]/Tabela1[[#This Row],[Total 2018]]-1,0)</f>
        <v>-1</v>
      </c>
      <c r="W80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00" s="48"/>
      <c r="Y800" s="19"/>
      <c r="Z800" s="68"/>
    </row>
    <row r="801" spans="3:26" x14ac:dyDescent="0.35">
      <c r="C801" s="11" t="s">
        <v>2702</v>
      </c>
      <c r="D801" s="12" t="s">
        <v>2698</v>
      </c>
      <c r="E801" s="12">
        <v>780</v>
      </c>
      <c r="F801" s="13" t="s">
        <v>2227</v>
      </c>
      <c r="G801" s="14">
        <v>2</v>
      </c>
      <c r="H801" s="14" t="s">
        <v>1371</v>
      </c>
      <c r="I801" s="13">
        <v>26</v>
      </c>
      <c r="J801" s="15" t="s">
        <v>1425</v>
      </c>
      <c r="K801" s="15" t="s">
        <v>2707</v>
      </c>
      <c r="L801" s="16">
        <v>2494.5194999999999</v>
      </c>
      <c r="M801" s="16">
        <v>2485.8460000000005</v>
      </c>
      <c r="N801" s="16"/>
      <c r="O801" s="16">
        <v>3322.2735000000002</v>
      </c>
      <c r="P801" s="16">
        <v>2121.5115000000001</v>
      </c>
      <c r="Q801" s="16">
        <f>SUM(Tabela1[[#This Row],[201805]:[201807]])</f>
        <v>4980.3654999999999</v>
      </c>
      <c r="R801" s="16">
        <f>SUM(Tabela1[[#This Row],[201905]:[201906]])</f>
        <v>5443.7849999999999</v>
      </c>
      <c r="S801" s="16">
        <v>100000</v>
      </c>
      <c r="T801" s="16">
        <f>Tabela1[[#This Row],[Total 2019]]-Tabela1[[#This Row],[Total 2018]]</f>
        <v>463.41949999999997</v>
      </c>
      <c r="U801" s="40">
        <f>Tabela1[[#This Row],[Total 2019]]/Tabela1[[#This Row],[Meta]]</f>
        <v>5.4437849999999996E-2</v>
      </c>
      <c r="V801" s="17">
        <f>IFERROR(Tabela1[[#This Row],[Total 2019]]/Tabela1[[#This Row],[Total 2018]]-1,0)</f>
        <v>9.3049295277625621E-2</v>
      </c>
      <c r="W80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801" s="48"/>
      <c r="Y801" s="19"/>
      <c r="Z801" s="68"/>
    </row>
    <row r="802" spans="3:26" x14ac:dyDescent="0.35">
      <c r="C802" s="11" t="s">
        <v>2704</v>
      </c>
      <c r="D802" s="12" t="s">
        <v>2698</v>
      </c>
      <c r="E802" s="12">
        <v>781</v>
      </c>
      <c r="F802" s="13" t="s">
        <v>2228</v>
      </c>
      <c r="G802" s="14">
        <v>3</v>
      </c>
      <c r="H802" s="14" t="s">
        <v>1372</v>
      </c>
      <c r="I802" s="13">
        <v>21</v>
      </c>
      <c r="J802" s="15" t="s">
        <v>1420</v>
      </c>
      <c r="K802" s="15" t="s">
        <v>2708</v>
      </c>
      <c r="L802" s="16">
        <v>815.74599999999987</v>
      </c>
      <c r="M802" s="16">
        <v>2182.8434999999999</v>
      </c>
      <c r="N802" s="16"/>
      <c r="O802" s="16"/>
      <c r="P802" s="16"/>
      <c r="Q802" s="16">
        <f>SUM(Tabela1[[#This Row],[201805]:[201807]])</f>
        <v>2998.5895</v>
      </c>
      <c r="R802" s="16">
        <f>SUM(Tabela1[[#This Row],[201905]:[201906]])</f>
        <v>0</v>
      </c>
      <c r="S802" s="16">
        <v>100000</v>
      </c>
      <c r="T802" s="16">
        <f>Tabela1[[#This Row],[Total 2019]]-Tabela1[[#This Row],[Total 2018]]</f>
        <v>-2998.5895</v>
      </c>
      <c r="U802" s="40">
        <f>Tabela1[[#This Row],[Total 2019]]/Tabela1[[#This Row],[Meta]]</f>
        <v>0</v>
      </c>
      <c r="V802" s="17">
        <f>IFERROR(Tabela1[[#This Row],[Total 2019]]/Tabela1[[#This Row],[Total 2018]]-1,0)</f>
        <v>-1</v>
      </c>
      <c r="W80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02" s="48"/>
      <c r="Y802" s="19"/>
      <c r="Z802" s="68"/>
    </row>
    <row r="803" spans="3:26" x14ac:dyDescent="0.35">
      <c r="C803" s="11" t="s">
        <v>2702</v>
      </c>
      <c r="D803" s="12" t="s">
        <v>2699</v>
      </c>
      <c r="E803" s="12">
        <v>782</v>
      </c>
      <c r="F803" s="13" t="s">
        <v>2229</v>
      </c>
      <c r="G803" s="14">
        <v>2</v>
      </c>
      <c r="H803" s="14" t="s">
        <v>1370</v>
      </c>
      <c r="I803" s="13">
        <v>1</v>
      </c>
      <c r="J803" s="15" t="s">
        <v>1400</v>
      </c>
      <c r="K803" s="15" t="s">
        <v>2706</v>
      </c>
      <c r="L803" s="16">
        <v>1406.6079999999997</v>
      </c>
      <c r="M803" s="16">
        <v>2840.5664999999999</v>
      </c>
      <c r="N803" s="16"/>
      <c r="O803" s="16"/>
      <c r="P803" s="16"/>
      <c r="Q803" s="16">
        <f>SUM(Tabela1[[#This Row],[201805]:[201807]])</f>
        <v>4247.1744999999992</v>
      </c>
      <c r="R803" s="16">
        <f>SUM(Tabela1[[#This Row],[201905]:[201906]])</f>
        <v>0</v>
      </c>
      <c r="S803" s="16">
        <v>100000</v>
      </c>
      <c r="T803" s="16">
        <f>Tabela1[[#This Row],[Total 2019]]-Tabela1[[#This Row],[Total 2018]]</f>
        <v>-4247.1744999999992</v>
      </c>
      <c r="U803" s="40">
        <f>Tabela1[[#This Row],[Total 2019]]/Tabela1[[#This Row],[Meta]]</f>
        <v>0</v>
      </c>
      <c r="V803" s="17">
        <f>IFERROR(Tabela1[[#This Row],[Total 2019]]/Tabela1[[#This Row],[Total 2018]]-1,0)</f>
        <v>-1</v>
      </c>
      <c r="W80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03" s="48"/>
      <c r="Y803" s="19"/>
      <c r="Z803" s="68"/>
    </row>
    <row r="804" spans="3:26" x14ac:dyDescent="0.35">
      <c r="C804" s="11" t="s">
        <v>2704</v>
      </c>
      <c r="D804" s="12" t="s">
        <v>2699</v>
      </c>
      <c r="E804" s="12">
        <v>783</v>
      </c>
      <c r="F804" s="13" t="s">
        <v>2230</v>
      </c>
      <c r="G804" s="14">
        <v>1</v>
      </c>
      <c r="H804" s="14" t="s">
        <v>1372</v>
      </c>
      <c r="I804" s="13">
        <v>17</v>
      </c>
      <c r="J804" s="15" t="s">
        <v>1416</v>
      </c>
      <c r="K804" s="15" t="s">
        <v>2708</v>
      </c>
      <c r="L804" s="16"/>
      <c r="M804" s="16"/>
      <c r="N804" s="16">
        <v>10787.687</v>
      </c>
      <c r="O804" s="16">
        <v>4426.7719999999999</v>
      </c>
      <c r="P804" s="16">
        <v>4298.2749999999996</v>
      </c>
      <c r="Q804" s="16">
        <f>SUM(Tabela1[[#This Row],[201805]:[201807]])</f>
        <v>10787.687</v>
      </c>
      <c r="R804" s="16">
        <f>SUM(Tabela1[[#This Row],[201905]:[201906]])</f>
        <v>8725.0469999999987</v>
      </c>
      <c r="S804" s="16">
        <v>100000</v>
      </c>
      <c r="T804" s="16">
        <f>Tabela1[[#This Row],[Total 2019]]-Tabela1[[#This Row],[Total 2018]]</f>
        <v>-2062.6400000000012</v>
      </c>
      <c r="U804" s="40">
        <f>Tabela1[[#This Row],[Total 2019]]/Tabela1[[#This Row],[Meta]]</f>
        <v>8.7250469999999983E-2</v>
      </c>
      <c r="V804" s="17">
        <f>IFERROR(Tabela1[[#This Row],[Total 2019]]/Tabela1[[#This Row],[Total 2018]]-1,0)</f>
        <v>-0.19120317450812219</v>
      </c>
      <c r="W80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804" s="48"/>
      <c r="Y804" s="19"/>
      <c r="Z804" s="68"/>
    </row>
    <row r="805" spans="3:26" x14ac:dyDescent="0.35">
      <c r="C805" s="11" t="s">
        <v>2702</v>
      </c>
      <c r="D805" s="12" t="s">
        <v>2698</v>
      </c>
      <c r="E805" s="12">
        <v>784</v>
      </c>
      <c r="F805" s="13" t="s">
        <v>2231</v>
      </c>
      <c r="G805" s="14">
        <v>1</v>
      </c>
      <c r="H805" s="14" t="s">
        <v>1370</v>
      </c>
      <c r="I805" s="13">
        <v>11</v>
      </c>
      <c r="J805" s="15" t="s">
        <v>1410</v>
      </c>
      <c r="K805" s="15" t="s">
        <v>2706</v>
      </c>
      <c r="L805" s="16">
        <v>1446.1754999999998</v>
      </c>
      <c r="M805" s="16">
        <v>2519.7894999999999</v>
      </c>
      <c r="N805" s="16">
        <v>1359.2314999999999</v>
      </c>
      <c r="O805" s="16"/>
      <c r="P805" s="16"/>
      <c r="Q805" s="16">
        <f>SUM(Tabela1[[#This Row],[201805]:[201807]])</f>
        <v>5325.1965</v>
      </c>
      <c r="R805" s="16">
        <f>SUM(Tabela1[[#This Row],[201905]:[201906]])</f>
        <v>0</v>
      </c>
      <c r="S805" s="16">
        <v>100000</v>
      </c>
      <c r="T805" s="16">
        <f>Tabela1[[#This Row],[Total 2019]]-Tabela1[[#This Row],[Total 2018]]</f>
        <v>-5325.1965</v>
      </c>
      <c r="U805" s="40">
        <f>Tabela1[[#This Row],[Total 2019]]/Tabela1[[#This Row],[Meta]]</f>
        <v>0</v>
      </c>
      <c r="V805" s="17">
        <f>IFERROR(Tabela1[[#This Row],[Total 2019]]/Tabela1[[#This Row],[Total 2018]]-1,0)</f>
        <v>-1</v>
      </c>
      <c r="W80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05" s="48"/>
      <c r="Y805" s="19"/>
      <c r="Z805" s="68"/>
    </row>
    <row r="806" spans="3:26" x14ac:dyDescent="0.35">
      <c r="C806" s="11" t="s">
        <v>2704</v>
      </c>
      <c r="D806" s="12" t="s">
        <v>2698</v>
      </c>
      <c r="E806" s="12">
        <v>785</v>
      </c>
      <c r="F806" s="13" t="s">
        <v>2232</v>
      </c>
      <c r="G806" s="14">
        <v>1</v>
      </c>
      <c r="H806" s="14" t="s">
        <v>1372</v>
      </c>
      <c r="I806" s="13">
        <v>18</v>
      </c>
      <c r="J806" s="15" t="s">
        <v>1417</v>
      </c>
      <c r="K806" s="15" t="s">
        <v>2708</v>
      </c>
      <c r="L806" s="16"/>
      <c r="M806" s="16"/>
      <c r="N806" s="16"/>
      <c r="O806" s="16">
        <v>9866.0064999999995</v>
      </c>
      <c r="P806" s="16"/>
      <c r="Q806" s="16">
        <f>SUM(Tabela1[[#This Row],[201805]:[201807]])</f>
        <v>0</v>
      </c>
      <c r="R806" s="16">
        <f>SUM(Tabela1[[#This Row],[201905]:[201906]])</f>
        <v>9866.0064999999995</v>
      </c>
      <c r="S806" s="16">
        <v>100000</v>
      </c>
      <c r="T806" s="16">
        <f>Tabela1[[#This Row],[Total 2019]]-Tabela1[[#This Row],[Total 2018]]</f>
        <v>9866.0064999999995</v>
      </c>
      <c r="U806" s="40">
        <f>Tabela1[[#This Row],[Total 2019]]/Tabela1[[#This Row],[Meta]]</f>
        <v>9.8660064999999991E-2</v>
      </c>
      <c r="V806" s="17">
        <f>IFERROR(Tabela1[[#This Row],[Total 2019]]/Tabela1[[#This Row],[Total 2018]]-1,0)</f>
        <v>0</v>
      </c>
      <c r="W80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806" s="48"/>
      <c r="Y806" s="19"/>
      <c r="Z806" s="68"/>
    </row>
    <row r="807" spans="3:26" x14ac:dyDescent="0.35">
      <c r="C807" s="11" t="s">
        <v>2703</v>
      </c>
      <c r="D807" s="12" t="s">
        <v>2698</v>
      </c>
      <c r="E807" s="12">
        <v>786</v>
      </c>
      <c r="F807" s="13" t="s">
        <v>2233</v>
      </c>
      <c r="G807" s="14">
        <v>1</v>
      </c>
      <c r="H807" s="14" t="s">
        <v>1371</v>
      </c>
      <c r="I807" s="13">
        <v>7</v>
      </c>
      <c r="J807" s="15" t="s">
        <v>1406</v>
      </c>
      <c r="K807" s="15" t="s">
        <v>2707</v>
      </c>
      <c r="L807" s="16"/>
      <c r="M807" s="16"/>
      <c r="N807" s="16">
        <v>2584.3419999999996</v>
      </c>
      <c r="O807" s="16"/>
      <c r="P807" s="16"/>
      <c r="Q807" s="16">
        <f>SUM(Tabela1[[#This Row],[201805]:[201807]])</f>
        <v>2584.3419999999996</v>
      </c>
      <c r="R807" s="16">
        <f>SUM(Tabela1[[#This Row],[201905]:[201906]])</f>
        <v>0</v>
      </c>
      <c r="S807" s="16">
        <v>100000</v>
      </c>
      <c r="T807" s="16">
        <f>Tabela1[[#This Row],[Total 2019]]-Tabela1[[#This Row],[Total 2018]]</f>
        <v>-2584.3419999999996</v>
      </c>
      <c r="U807" s="40">
        <f>Tabela1[[#This Row],[Total 2019]]/Tabela1[[#This Row],[Meta]]</f>
        <v>0</v>
      </c>
      <c r="V807" s="17">
        <f>IFERROR(Tabela1[[#This Row],[Total 2019]]/Tabela1[[#This Row],[Total 2018]]-1,0)</f>
        <v>-1</v>
      </c>
      <c r="W80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07" s="48"/>
      <c r="Y807" s="19"/>
      <c r="Z807" s="68"/>
    </row>
    <row r="808" spans="3:26" x14ac:dyDescent="0.35">
      <c r="C808" s="11" t="s">
        <v>2704</v>
      </c>
      <c r="D808" s="12" t="s">
        <v>2700</v>
      </c>
      <c r="E808" s="12">
        <v>787</v>
      </c>
      <c r="F808" s="13" t="s">
        <v>2234</v>
      </c>
      <c r="G808" s="14">
        <v>1</v>
      </c>
      <c r="H808" s="14" t="s">
        <v>1372</v>
      </c>
      <c r="I808" s="13">
        <v>27</v>
      </c>
      <c r="J808" s="15" t="s">
        <v>1426</v>
      </c>
      <c r="K808" s="15" t="s">
        <v>2708</v>
      </c>
      <c r="L808" s="16">
        <v>755.90549999999985</v>
      </c>
      <c r="M808" s="16">
        <v>848.67299999999989</v>
      </c>
      <c r="N808" s="16">
        <v>1240.6145000000001</v>
      </c>
      <c r="O808" s="16"/>
      <c r="P808" s="16"/>
      <c r="Q808" s="16">
        <f>SUM(Tabela1[[#This Row],[201805]:[201807]])</f>
        <v>2845.1929999999998</v>
      </c>
      <c r="R808" s="16">
        <f>SUM(Tabela1[[#This Row],[201905]:[201906]])</f>
        <v>0</v>
      </c>
      <c r="S808" s="16">
        <v>100000</v>
      </c>
      <c r="T808" s="16">
        <f>Tabela1[[#This Row],[Total 2019]]-Tabela1[[#This Row],[Total 2018]]</f>
        <v>-2845.1929999999998</v>
      </c>
      <c r="U808" s="40">
        <f>Tabela1[[#This Row],[Total 2019]]/Tabela1[[#This Row],[Meta]]</f>
        <v>0</v>
      </c>
      <c r="V808" s="17">
        <f>IFERROR(Tabela1[[#This Row],[Total 2019]]/Tabela1[[#This Row],[Total 2018]]-1,0)</f>
        <v>-1</v>
      </c>
      <c r="W80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08" s="48"/>
      <c r="Y808" s="19"/>
      <c r="Z808" s="68"/>
    </row>
    <row r="809" spans="3:26" x14ac:dyDescent="0.35">
      <c r="C809" s="11" t="s">
        <v>2703</v>
      </c>
      <c r="D809" s="12" t="s">
        <v>2698</v>
      </c>
      <c r="E809" s="12">
        <v>788</v>
      </c>
      <c r="F809" s="13" t="s">
        <v>2235</v>
      </c>
      <c r="G809" s="14">
        <v>3</v>
      </c>
      <c r="H809" s="14" t="s">
        <v>1372</v>
      </c>
      <c r="I809" s="13">
        <v>27</v>
      </c>
      <c r="J809" s="15" t="s">
        <v>1426</v>
      </c>
      <c r="K809" s="15" t="s">
        <v>2708</v>
      </c>
      <c r="L809" s="16"/>
      <c r="M809" s="16"/>
      <c r="N809" s="16"/>
      <c r="O809" s="16">
        <v>2851.3394999999996</v>
      </c>
      <c r="P809" s="16"/>
      <c r="Q809" s="16">
        <f>SUM(Tabela1[[#This Row],[201805]:[201807]])</f>
        <v>0</v>
      </c>
      <c r="R809" s="16">
        <f>SUM(Tabela1[[#This Row],[201905]:[201906]])</f>
        <v>2851.3394999999996</v>
      </c>
      <c r="S809" s="16">
        <v>100000</v>
      </c>
      <c r="T809" s="16">
        <f>Tabela1[[#This Row],[Total 2019]]-Tabela1[[#This Row],[Total 2018]]</f>
        <v>2851.3394999999996</v>
      </c>
      <c r="U809" s="40">
        <f>Tabela1[[#This Row],[Total 2019]]/Tabela1[[#This Row],[Meta]]</f>
        <v>2.8513394999999997E-2</v>
      </c>
      <c r="V809" s="17">
        <f>IFERROR(Tabela1[[#This Row],[Total 2019]]/Tabela1[[#This Row],[Total 2018]]-1,0)</f>
        <v>0</v>
      </c>
      <c r="W80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809" s="48"/>
      <c r="Y809" s="19"/>
      <c r="Z809" s="68"/>
    </row>
    <row r="810" spans="3:26" x14ac:dyDescent="0.35">
      <c r="C810" s="11" t="s">
        <v>2704</v>
      </c>
      <c r="D810" s="12" t="s">
        <v>2698</v>
      </c>
      <c r="E810" s="12">
        <v>789</v>
      </c>
      <c r="F810" s="13" t="s">
        <v>2236</v>
      </c>
      <c r="G810" s="14">
        <v>1</v>
      </c>
      <c r="H810" s="14" t="s">
        <v>1370</v>
      </c>
      <c r="I810" s="13">
        <v>3</v>
      </c>
      <c r="J810" s="15" t="s">
        <v>1402</v>
      </c>
      <c r="K810" s="15" t="s">
        <v>2706</v>
      </c>
      <c r="L810" s="16">
        <v>6125.2389999999996</v>
      </c>
      <c r="M810" s="16">
        <v>2432.3040000000001</v>
      </c>
      <c r="N810" s="16"/>
      <c r="O810" s="16"/>
      <c r="P810" s="16"/>
      <c r="Q810" s="16">
        <f>SUM(Tabela1[[#This Row],[201805]:[201807]])</f>
        <v>8557.5429999999997</v>
      </c>
      <c r="R810" s="16">
        <f>SUM(Tabela1[[#This Row],[201905]:[201906]])</f>
        <v>0</v>
      </c>
      <c r="S810" s="16">
        <v>100000</v>
      </c>
      <c r="T810" s="16">
        <f>Tabela1[[#This Row],[Total 2019]]-Tabela1[[#This Row],[Total 2018]]</f>
        <v>-8557.5429999999997</v>
      </c>
      <c r="U810" s="40">
        <f>Tabela1[[#This Row],[Total 2019]]/Tabela1[[#This Row],[Meta]]</f>
        <v>0</v>
      </c>
      <c r="V810" s="17">
        <f>IFERROR(Tabela1[[#This Row],[Total 2019]]/Tabela1[[#This Row],[Total 2018]]-1,0)</f>
        <v>-1</v>
      </c>
      <c r="W81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10" s="48"/>
      <c r="Y810" s="19"/>
      <c r="Z810" s="68"/>
    </row>
    <row r="811" spans="3:26" x14ac:dyDescent="0.35">
      <c r="C811" s="11" t="s">
        <v>2704</v>
      </c>
      <c r="D811" s="12" t="s">
        <v>2700</v>
      </c>
      <c r="E811" s="12">
        <v>790</v>
      </c>
      <c r="F811" s="13" t="s">
        <v>2237</v>
      </c>
      <c r="G811" s="14">
        <v>2</v>
      </c>
      <c r="H811" s="14" t="s">
        <v>1370</v>
      </c>
      <c r="I811" s="13">
        <v>29</v>
      </c>
      <c r="J811" s="15" t="s">
        <v>1428</v>
      </c>
      <c r="K811" s="15" t="s">
        <v>2706</v>
      </c>
      <c r="L811" s="16">
        <v>586.81500000000005</v>
      </c>
      <c r="M811" s="16"/>
      <c r="N811" s="16"/>
      <c r="O811" s="16"/>
      <c r="P811" s="16"/>
      <c r="Q811" s="16">
        <f>SUM(Tabela1[[#This Row],[201805]:[201807]])</f>
        <v>586.81500000000005</v>
      </c>
      <c r="R811" s="16">
        <f>SUM(Tabela1[[#This Row],[201905]:[201906]])</f>
        <v>0</v>
      </c>
      <c r="S811" s="16">
        <v>100000</v>
      </c>
      <c r="T811" s="16">
        <f>Tabela1[[#This Row],[Total 2019]]-Tabela1[[#This Row],[Total 2018]]</f>
        <v>-586.81500000000005</v>
      </c>
      <c r="U811" s="40">
        <f>Tabela1[[#This Row],[Total 2019]]/Tabela1[[#This Row],[Meta]]</f>
        <v>0</v>
      </c>
      <c r="V811" s="17">
        <f>IFERROR(Tabela1[[#This Row],[Total 2019]]/Tabela1[[#This Row],[Total 2018]]-1,0)</f>
        <v>-1</v>
      </c>
      <c r="W81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11" s="48"/>
      <c r="Y811" s="19"/>
      <c r="Z811" s="68"/>
    </row>
    <row r="812" spans="3:26" x14ac:dyDescent="0.35">
      <c r="C812" s="11" t="s">
        <v>2704</v>
      </c>
      <c r="D812" s="12" t="s">
        <v>2699</v>
      </c>
      <c r="E812" s="12">
        <v>791</v>
      </c>
      <c r="F812" s="13" t="s">
        <v>2238</v>
      </c>
      <c r="G812" s="14">
        <v>3</v>
      </c>
      <c r="H812" s="14" t="s">
        <v>1372</v>
      </c>
      <c r="I812" s="13">
        <v>22</v>
      </c>
      <c r="J812" s="15" t="s">
        <v>1421</v>
      </c>
      <c r="K812" s="15" t="s">
        <v>2708</v>
      </c>
      <c r="L812" s="16"/>
      <c r="M812" s="16">
        <v>4136.8224999999993</v>
      </c>
      <c r="N812" s="16"/>
      <c r="O812" s="16"/>
      <c r="P812" s="16"/>
      <c r="Q812" s="16">
        <f>SUM(Tabela1[[#This Row],[201805]:[201807]])</f>
        <v>4136.8224999999993</v>
      </c>
      <c r="R812" s="16">
        <f>SUM(Tabela1[[#This Row],[201905]:[201906]])</f>
        <v>0</v>
      </c>
      <c r="S812" s="16">
        <v>100000</v>
      </c>
      <c r="T812" s="16">
        <f>Tabela1[[#This Row],[Total 2019]]-Tabela1[[#This Row],[Total 2018]]</f>
        <v>-4136.8224999999993</v>
      </c>
      <c r="U812" s="40">
        <f>Tabela1[[#This Row],[Total 2019]]/Tabela1[[#This Row],[Meta]]</f>
        <v>0</v>
      </c>
      <c r="V812" s="17">
        <f>IFERROR(Tabela1[[#This Row],[Total 2019]]/Tabela1[[#This Row],[Total 2018]]-1,0)</f>
        <v>-1</v>
      </c>
      <c r="W81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12" s="48"/>
      <c r="Y812" s="19"/>
      <c r="Z812" s="68"/>
    </row>
    <row r="813" spans="3:26" x14ac:dyDescent="0.35">
      <c r="C813" s="11" t="s">
        <v>2702</v>
      </c>
      <c r="D813" s="12" t="s">
        <v>2699</v>
      </c>
      <c r="E813" s="12">
        <v>792</v>
      </c>
      <c r="F813" s="13" t="s">
        <v>2239</v>
      </c>
      <c r="G813" s="14">
        <v>1</v>
      </c>
      <c r="H813" s="14" t="s">
        <v>1370</v>
      </c>
      <c r="I813" s="13">
        <v>3</v>
      </c>
      <c r="J813" s="15" t="s">
        <v>1402</v>
      </c>
      <c r="K813" s="15" t="s">
        <v>2706</v>
      </c>
      <c r="L813" s="16">
        <v>6935.7124999999996</v>
      </c>
      <c r="M813" s="16">
        <v>2741.2345</v>
      </c>
      <c r="N813" s="16"/>
      <c r="O813" s="16"/>
      <c r="P813" s="16"/>
      <c r="Q813" s="16">
        <f>SUM(Tabela1[[#This Row],[201805]:[201807]])</f>
        <v>9676.9470000000001</v>
      </c>
      <c r="R813" s="16">
        <f>SUM(Tabela1[[#This Row],[201905]:[201906]])</f>
        <v>0</v>
      </c>
      <c r="S813" s="16">
        <v>100000</v>
      </c>
      <c r="T813" s="16">
        <f>Tabela1[[#This Row],[Total 2019]]-Tabela1[[#This Row],[Total 2018]]</f>
        <v>-9676.9470000000001</v>
      </c>
      <c r="U813" s="40">
        <f>Tabela1[[#This Row],[Total 2019]]/Tabela1[[#This Row],[Meta]]</f>
        <v>0</v>
      </c>
      <c r="V813" s="17">
        <f>IFERROR(Tabela1[[#This Row],[Total 2019]]/Tabela1[[#This Row],[Total 2018]]-1,0)</f>
        <v>-1</v>
      </c>
      <c r="W81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13" s="48"/>
      <c r="Y813" s="19"/>
      <c r="Z813" s="68"/>
    </row>
    <row r="814" spans="3:26" x14ac:dyDescent="0.35">
      <c r="C814" s="11" t="s">
        <v>2703</v>
      </c>
      <c r="D814" s="12" t="s">
        <v>2699</v>
      </c>
      <c r="E814" s="12">
        <v>793</v>
      </c>
      <c r="F814" s="13" t="s">
        <v>2240</v>
      </c>
      <c r="G814" s="14">
        <v>3</v>
      </c>
      <c r="H814" s="14" t="s">
        <v>1370</v>
      </c>
      <c r="I814" s="13">
        <v>8</v>
      </c>
      <c r="J814" s="15" t="s">
        <v>1407</v>
      </c>
      <c r="K814" s="15" t="s">
        <v>2706</v>
      </c>
      <c r="L814" s="16"/>
      <c r="M814" s="16">
        <v>4775.0420000000004</v>
      </c>
      <c r="N814" s="16"/>
      <c r="O814" s="16"/>
      <c r="P814" s="16"/>
      <c r="Q814" s="16">
        <f>SUM(Tabela1[[#This Row],[201805]:[201807]])</f>
        <v>4775.0420000000004</v>
      </c>
      <c r="R814" s="16">
        <f>SUM(Tabela1[[#This Row],[201905]:[201906]])</f>
        <v>0</v>
      </c>
      <c r="S814" s="16">
        <v>100000</v>
      </c>
      <c r="T814" s="16">
        <f>Tabela1[[#This Row],[Total 2019]]-Tabela1[[#This Row],[Total 2018]]</f>
        <v>-4775.0420000000004</v>
      </c>
      <c r="U814" s="40">
        <f>Tabela1[[#This Row],[Total 2019]]/Tabela1[[#This Row],[Meta]]</f>
        <v>0</v>
      </c>
      <c r="V814" s="17">
        <f>IFERROR(Tabela1[[#This Row],[Total 2019]]/Tabela1[[#This Row],[Total 2018]]-1,0)</f>
        <v>-1</v>
      </c>
      <c r="W81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14" s="48"/>
      <c r="Y814" s="19"/>
      <c r="Z814" s="68"/>
    </row>
    <row r="815" spans="3:26" x14ac:dyDescent="0.35">
      <c r="C815" s="11" t="s">
        <v>2702</v>
      </c>
      <c r="D815" s="12" t="s">
        <v>2698</v>
      </c>
      <c r="E815" s="12">
        <v>794</v>
      </c>
      <c r="F815" s="13" t="s">
        <v>2241</v>
      </c>
      <c r="G815" s="14">
        <v>3</v>
      </c>
      <c r="H815" s="14" t="s">
        <v>1370</v>
      </c>
      <c r="I815" s="13">
        <v>15</v>
      </c>
      <c r="J815" s="15" t="s">
        <v>1414</v>
      </c>
      <c r="K815" s="15" t="s">
        <v>2706</v>
      </c>
      <c r="L815" s="16">
        <v>5496.643</v>
      </c>
      <c r="M815" s="16">
        <v>3710.0065000000004</v>
      </c>
      <c r="N815" s="16">
        <v>881.37200000000007</v>
      </c>
      <c r="O815" s="16"/>
      <c r="P815" s="16"/>
      <c r="Q815" s="16">
        <f>SUM(Tabela1[[#This Row],[201805]:[201807]])</f>
        <v>10088.021499999999</v>
      </c>
      <c r="R815" s="16">
        <f>SUM(Tabela1[[#This Row],[201905]:[201906]])</f>
        <v>0</v>
      </c>
      <c r="S815" s="16">
        <v>100000</v>
      </c>
      <c r="T815" s="16">
        <f>Tabela1[[#This Row],[Total 2019]]-Tabela1[[#This Row],[Total 2018]]</f>
        <v>-10088.021499999999</v>
      </c>
      <c r="U815" s="40">
        <f>Tabela1[[#This Row],[Total 2019]]/Tabela1[[#This Row],[Meta]]</f>
        <v>0</v>
      </c>
      <c r="V815" s="17">
        <f>IFERROR(Tabela1[[#This Row],[Total 2019]]/Tabela1[[#This Row],[Total 2018]]-1,0)</f>
        <v>-1</v>
      </c>
      <c r="W81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15" s="48"/>
      <c r="Y815" s="19"/>
      <c r="Z815" s="68"/>
    </row>
    <row r="816" spans="3:26" x14ac:dyDescent="0.35">
      <c r="C816" s="11" t="s">
        <v>2704</v>
      </c>
      <c r="D816" s="12" t="s">
        <v>2699</v>
      </c>
      <c r="E816" s="12">
        <v>795</v>
      </c>
      <c r="F816" s="13" t="s">
        <v>2242</v>
      </c>
      <c r="G816" s="14">
        <v>1</v>
      </c>
      <c r="H816" s="14" t="s">
        <v>1370</v>
      </c>
      <c r="I816" s="13">
        <v>30</v>
      </c>
      <c r="J816" s="15" t="s">
        <v>1429</v>
      </c>
      <c r="K816" s="15" t="s">
        <v>2706</v>
      </c>
      <c r="L816" s="16"/>
      <c r="M816" s="16">
        <v>2195.1365000000001</v>
      </c>
      <c r="N816" s="16">
        <v>4804.2070000000003</v>
      </c>
      <c r="O816" s="16"/>
      <c r="P816" s="16"/>
      <c r="Q816" s="16">
        <f>SUM(Tabela1[[#This Row],[201805]:[201807]])</f>
        <v>6999.3435000000009</v>
      </c>
      <c r="R816" s="16">
        <f>SUM(Tabela1[[#This Row],[201905]:[201906]])</f>
        <v>0</v>
      </c>
      <c r="S816" s="16">
        <v>100000</v>
      </c>
      <c r="T816" s="16">
        <f>Tabela1[[#This Row],[Total 2019]]-Tabela1[[#This Row],[Total 2018]]</f>
        <v>-6999.3435000000009</v>
      </c>
      <c r="U816" s="40">
        <f>Tabela1[[#This Row],[Total 2019]]/Tabela1[[#This Row],[Meta]]</f>
        <v>0</v>
      </c>
      <c r="V816" s="17">
        <f>IFERROR(Tabela1[[#This Row],[Total 2019]]/Tabela1[[#This Row],[Total 2018]]-1,0)</f>
        <v>-1</v>
      </c>
      <c r="W81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16" s="48"/>
      <c r="Y816" s="19"/>
      <c r="Z816" s="68"/>
    </row>
    <row r="817" spans="3:26" x14ac:dyDescent="0.35">
      <c r="C817" s="11" t="s">
        <v>2704</v>
      </c>
      <c r="D817" s="12" t="s">
        <v>2699</v>
      </c>
      <c r="E817" s="12">
        <v>796</v>
      </c>
      <c r="F817" s="13" t="s">
        <v>2243</v>
      </c>
      <c r="G817" s="14">
        <v>2</v>
      </c>
      <c r="H817" s="14" t="s">
        <v>1371</v>
      </c>
      <c r="I817" s="13">
        <v>5</v>
      </c>
      <c r="J817" s="15" t="s">
        <v>1404</v>
      </c>
      <c r="K817" s="15" t="s">
        <v>2707</v>
      </c>
      <c r="L817" s="16">
        <v>5303.5364999999993</v>
      </c>
      <c r="M817" s="16">
        <v>9583.6475000000009</v>
      </c>
      <c r="N817" s="16"/>
      <c r="O817" s="16"/>
      <c r="P817" s="16"/>
      <c r="Q817" s="16">
        <f>SUM(Tabela1[[#This Row],[201805]:[201807]])</f>
        <v>14887.184000000001</v>
      </c>
      <c r="R817" s="16">
        <f>SUM(Tabela1[[#This Row],[201905]:[201906]])</f>
        <v>0</v>
      </c>
      <c r="S817" s="16">
        <v>100000</v>
      </c>
      <c r="T817" s="16">
        <f>Tabela1[[#This Row],[Total 2019]]-Tabela1[[#This Row],[Total 2018]]</f>
        <v>-14887.184000000001</v>
      </c>
      <c r="U817" s="40">
        <f>Tabela1[[#This Row],[Total 2019]]/Tabela1[[#This Row],[Meta]]</f>
        <v>0</v>
      </c>
      <c r="V817" s="17">
        <f>IFERROR(Tabela1[[#This Row],[Total 2019]]/Tabela1[[#This Row],[Total 2018]]-1,0)</f>
        <v>-1</v>
      </c>
      <c r="W81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17" s="48"/>
      <c r="Y817" s="19"/>
      <c r="Z817" s="68"/>
    </row>
    <row r="818" spans="3:26" x14ac:dyDescent="0.35">
      <c r="C818" s="11" t="s">
        <v>2703</v>
      </c>
      <c r="D818" s="12" t="s">
        <v>2700</v>
      </c>
      <c r="E818" s="12">
        <v>797</v>
      </c>
      <c r="F818" s="13" t="s">
        <v>2244</v>
      </c>
      <c r="G818" s="14">
        <v>1</v>
      </c>
      <c r="H818" s="14" t="s">
        <v>1371</v>
      </c>
      <c r="I818" s="13">
        <v>14</v>
      </c>
      <c r="J818" s="15" t="s">
        <v>1413</v>
      </c>
      <c r="K818" s="15" t="s">
        <v>2707</v>
      </c>
      <c r="L818" s="16"/>
      <c r="M818" s="16">
        <v>3496.1519999999996</v>
      </c>
      <c r="N818" s="16"/>
      <c r="O818" s="16"/>
      <c r="P818" s="16"/>
      <c r="Q818" s="16">
        <f>SUM(Tabela1[[#This Row],[201805]:[201807]])</f>
        <v>3496.1519999999996</v>
      </c>
      <c r="R818" s="16">
        <f>SUM(Tabela1[[#This Row],[201905]:[201906]])</f>
        <v>0</v>
      </c>
      <c r="S818" s="16">
        <v>100000</v>
      </c>
      <c r="T818" s="16">
        <f>Tabela1[[#This Row],[Total 2019]]-Tabela1[[#This Row],[Total 2018]]</f>
        <v>-3496.1519999999996</v>
      </c>
      <c r="U818" s="40">
        <f>Tabela1[[#This Row],[Total 2019]]/Tabela1[[#This Row],[Meta]]</f>
        <v>0</v>
      </c>
      <c r="V818" s="17">
        <f>IFERROR(Tabela1[[#This Row],[Total 2019]]/Tabela1[[#This Row],[Total 2018]]-1,0)</f>
        <v>-1</v>
      </c>
      <c r="W81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18" s="48"/>
      <c r="Y818" s="19"/>
      <c r="Z818" s="68"/>
    </row>
    <row r="819" spans="3:26" x14ac:dyDescent="0.35">
      <c r="C819" s="11" t="s">
        <v>2704</v>
      </c>
      <c r="D819" s="12" t="s">
        <v>2700</v>
      </c>
      <c r="E819" s="12">
        <v>798</v>
      </c>
      <c r="F819" s="13" t="s">
        <v>2245</v>
      </c>
      <c r="G819" s="14">
        <v>1</v>
      </c>
      <c r="H819" s="14" t="s">
        <v>1371</v>
      </c>
      <c r="I819" s="13">
        <v>7</v>
      </c>
      <c r="J819" s="15" t="s">
        <v>1406</v>
      </c>
      <c r="K819" s="15" t="s">
        <v>2707</v>
      </c>
      <c r="L819" s="16"/>
      <c r="M819" s="16">
        <v>4955.5895</v>
      </c>
      <c r="N819" s="16">
        <v>2640.1165000000001</v>
      </c>
      <c r="O819" s="16"/>
      <c r="P819" s="16"/>
      <c r="Q819" s="16">
        <f>SUM(Tabela1[[#This Row],[201805]:[201807]])</f>
        <v>7595.7060000000001</v>
      </c>
      <c r="R819" s="16">
        <f>SUM(Tabela1[[#This Row],[201905]:[201906]])</f>
        <v>0</v>
      </c>
      <c r="S819" s="16">
        <v>100000</v>
      </c>
      <c r="T819" s="16">
        <f>Tabela1[[#This Row],[Total 2019]]-Tabela1[[#This Row],[Total 2018]]</f>
        <v>-7595.7060000000001</v>
      </c>
      <c r="U819" s="40">
        <f>Tabela1[[#This Row],[Total 2019]]/Tabela1[[#This Row],[Meta]]</f>
        <v>0</v>
      </c>
      <c r="V819" s="17">
        <f>IFERROR(Tabela1[[#This Row],[Total 2019]]/Tabela1[[#This Row],[Total 2018]]-1,0)</f>
        <v>-1</v>
      </c>
      <c r="W81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19" s="48"/>
      <c r="Y819" s="19"/>
      <c r="Z819" s="68"/>
    </row>
    <row r="820" spans="3:26" x14ac:dyDescent="0.35">
      <c r="C820" s="11" t="s">
        <v>2704</v>
      </c>
      <c r="D820" s="12" t="s">
        <v>2698</v>
      </c>
      <c r="E820" s="12">
        <v>799</v>
      </c>
      <c r="F820" s="13" t="s">
        <v>2246</v>
      </c>
      <c r="G820" s="14">
        <v>3</v>
      </c>
      <c r="H820" s="14" t="s">
        <v>1371</v>
      </c>
      <c r="I820" s="13">
        <v>7</v>
      </c>
      <c r="J820" s="15" t="s">
        <v>1406</v>
      </c>
      <c r="K820" s="15" t="s">
        <v>2707</v>
      </c>
      <c r="L820" s="16"/>
      <c r="M820" s="16">
        <v>4527.8614999999991</v>
      </c>
      <c r="N820" s="16">
        <v>5573.0230000000001</v>
      </c>
      <c r="O820" s="16"/>
      <c r="P820" s="16"/>
      <c r="Q820" s="16">
        <f>SUM(Tabela1[[#This Row],[201805]:[201807]])</f>
        <v>10100.8845</v>
      </c>
      <c r="R820" s="16">
        <f>SUM(Tabela1[[#This Row],[201905]:[201906]])</f>
        <v>0</v>
      </c>
      <c r="S820" s="16">
        <v>100000</v>
      </c>
      <c r="T820" s="16">
        <f>Tabela1[[#This Row],[Total 2019]]-Tabela1[[#This Row],[Total 2018]]</f>
        <v>-10100.8845</v>
      </c>
      <c r="U820" s="40">
        <f>Tabela1[[#This Row],[Total 2019]]/Tabela1[[#This Row],[Meta]]</f>
        <v>0</v>
      </c>
      <c r="V820" s="17">
        <f>IFERROR(Tabela1[[#This Row],[Total 2019]]/Tabela1[[#This Row],[Total 2018]]-1,0)</f>
        <v>-1</v>
      </c>
      <c r="W82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20" s="48"/>
      <c r="Y820" s="19"/>
      <c r="Z820" s="68"/>
    </row>
    <row r="821" spans="3:26" x14ac:dyDescent="0.35">
      <c r="C821" s="11" t="s">
        <v>2704</v>
      </c>
      <c r="D821" s="12" t="s">
        <v>2699</v>
      </c>
      <c r="E821" s="12">
        <v>800</v>
      </c>
      <c r="F821" s="13" t="s">
        <v>2247</v>
      </c>
      <c r="G821" s="14">
        <v>1</v>
      </c>
      <c r="H821" s="14" t="s">
        <v>1371</v>
      </c>
      <c r="I821" s="13">
        <v>5</v>
      </c>
      <c r="J821" s="15" t="s">
        <v>1404</v>
      </c>
      <c r="K821" s="15" t="s">
        <v>2707</v>
      </c>
      <c r="L821" s="16"/>
      <c r="M821" s="16">
        <v>4957.0144999999993</v>
      </c>
      <c r="N821" s="16"/>
      <c r="O821" s="16"/>
      <c r="P821" s="16"/>
      <c r="Q821" s="16">
        <f>SUM(Tabela1[[#This Row],[201805]:[201807]])</f>
        <v>4957.0144999999993</v>
      </c>
      <c r="R821" s="16">
        <f>SUM(Tabela1[[#This Row],[201905]:[201906]])</f>
        <v>0</v>
      </c>
      <c r="S821" s="16">
        <v>100000</v>
      </c>
      <c r="T821" s="16">
        <f>Tabela1[[#This Row],[Total 2019]]-Tabela1[[#This Row],[Total 2018]]</f>
        <v>-4957.0144999999993</v>
      </c>
      <c r="U821" s="40">
        <f>Tabela1[[#This Row],[Total 2019]]/Tabela1[[#This Row],[Meta]]</f>
        <v>0</v>
      </c>
      <c r="V821" s="17">
        <f>IFERROR(Tabela1[[#This Row],[Total 2019]]/Tabela1[[#This Row],[Total 2018]]-1,0)</f>
        <v>-1</v>
      </c>
      <c r="W82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21" s="48"/>
      <c r="Y821" s="19"/>
      <c r="Z821" s="68"/>
    </row>
    <row r="822" spans="3:26" x14ac:dyDescent="0.35">
      <c r="C822" s="11" t="s">
        <v>2703</v>
      </c>
      <c r="D822" s="12" t="s">
        <v>2700</v>
      </c>
      <c r="E822" s="12">
        <v>801</v>
      </c>
      <c r="F822" s="13" t="s">
        <v>2248</v>
      </c>
      <c r="G822" s="14">
        <v>1</v>
      </c>
      <c r="H822" s="14" t="s">
        <v>1371</v>
      </c>
      <c r="I822" s="13">
        <v>7</v>
      </c>
      <c r="J822" s="15" t="s">
        <v>1406</v>
      </c>
      <c r="K822" s="15" t="s">
        <v>2707</v>
      </c>
      <c r="L822" s="16"/>
      <c r="M822" s="16">
        <v>3307.0639999999994</v>
      </c>
      <c r="N822" s="16">
        <v>5274.8939999999993</v>
      </c>
      <c r="O822" s="16"/>
      <c r="P822" s="16"/>
      <c r="Q822" s="16">
        <f>SUM(Tabela1[[#This Row],[201805]:[201807]])</f>
        <v>8581.9579999999987</v>
      </c>
      <c r="R822" s="16">
        <f>SUM(Tabela1[[#This Row],[201905]:[201906]])</f>
        <v>0</v>
      </c>
      <c r="S822" s="16">
        <v>100000</v>
      </c>
      <c r="T822" s="16">
        <f>Tabela1[[#This Row],[Total 2019]]-Tabela1[[#This Row],[Total 2018]]</f>
        <v>-8581.9579999999987</v>
      </c>
      <c r="U822" s="40">
        <f>Tabela1[[#This Row],[Total 2019]]/Tabela1[[#This Row],[Meta]]</f>
        <v>0</v>
      </c>
      <c r="V822" s="17">
        <f>IFERROR(Tabela1[[#This Row],[Total 2019]]/Tabela1[[#This Row],[Total 2018]]-1,0)</f>
        <v>-1</v>
      </c>
      <c r="W82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22" s="48"/>
      <c r="Y822" s="19"/>
      <c r="Z822" s="68"/>
    </row>
    <row r="823" spans="3:26" x14ac:dyDescent="0.35">
      <c r="C823" s="11" t="s">
        <v>2703</v>
      </c>
      <c r="D823" s="12" t="s">
        <v>2699</v>
      </c>
      <c r="E823" s="12">
        <v>802</v>
      </c>
      <c r="F823" s="13" t="s">
        <v>2249</v>
      </c>
      <c r="G823" s="14">
        <v>3</v>
      </c>
      <c r="H823" s="14" t="s">
        <v>1371</v>
      </c>
      <c r="I823" s="13">
        <v>5</v>
      </c>
      <c r="J823" s="15" t="s">
        <v>1404</v>
      </c>
      <c r="K823" s="15" t="s">
        <v>2707</v>
      </c>
      <c r="L823" s="16">
        <v>5116.2629999999999</v>
      </c>
      <c r="M823" s="16">
        <v>4080.8769999999995</v>
      </c>
      <c r="N823" s="16"/>
      <c r="O823" s="16"/>
      <c r="P823" s="16"/>
      <c r="Q823" s="16">
        <f>SUM(Tabela1[[#This Row],[201805]:[201807]])</f>
        <v>9197.14</v>
      </c>
      <c r="R823" s="16">
        <f>SUM(Tabela1[[#This Row],[201905]:[201906]])</f>
        <v>0</v>
      </c>
      <c r="S823" s="16">
        <v>100000</v>
      </c>
      <c r="T823" s="16">
        <f>Tabela1[[#This Row],[Total 2019]]-Tabela1[[#This Row],[Total 2018]]</f>
        <v>-9197.14</v>
      </c>
      <c r="U823" s="40">
        <f>Tabela1[[#This Row],[Total 2019]]/Tabela1[[#This Row],[Meta]]</f>
        <v>0</v>
      </c>
      <c r="V823" s="17">
        <f>IFERROR(Tabela1[[#This Row],[Total 2019]]/Tabela1[[#This Row],[Total 2018]]-1,0)</f>
        <v>-1</v>
      </c>
      <c r="W82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23" s="48"/>
      <c r="Y823" s="19"/>
      <c r="Z823" s="68"/>
    </row>
    <row r="824" spans="3:26" x14ac:dyDescent="0.35">
      <c r="C824" s="11" t="s">
        <v>2703</v>
      </c>
      <c r="D824" s="12" t="s">
        <v>2699</v>
      </c>
      <c r="E824" s="12">
        <v>803</v>
      </c>
      <c r="F824" s="13" t="s">
        <v>2250</v>
      </c>
      <c r="G824" s="14">
        <v>2</v>
      </c>
      <c r="H824" s="14" t="s">
        <v>1371</v>
      </c>
      <c r="I824" s="13">
        <v>24</v>
      </c>
      <c r="J824" s="15" t="s">
        <v>1423</v>
      </c>
      <c r="K824" s="15" t="s">
        <v>2707</v>
      </c>
      <c r="L824" s="16">
        <v>1780.2145</v>
      </c>
      <c r="M824" s="16">
        <v>10278.353999999999</v>
      </c>
      <c r="N824" s="16">
        <v>3557.3795</v>
      </c>
      <c r="O824" s="16">
        <v>2160.4805000000001</v>
      </c>
      <c r="P824" s="16">
        <v>3981.8490000000002</v>
      </c>
      <c r="Q824" s="16">
        <f>SUM(Tabela1[[#This Row],[201805]:[201807]])</f>
        <v>15615.948</v>
      </c>
      <c r="R824" s="16">
        <f>SUM(Tabela1[[#This Row],[201905]:[201906]])</f>
        <v>6142.3294999999998</v>
      </c>
      <c r="S824" s="16">
        <v>100000</v>
      </c>
      <c r="T824" s="16">
        <f>Tabela1[[#This Row],[Total 2019]]-Tabela1[[#This Row],[Total 2018]]</f>
        <v>-9473.6185000000005</v>
      </c>
      <c r="U824" s="40">
        <f>Tabela1[[#This Row],[Total 2019]]/Tabela1[[#This Row],[Meta]]</f>
        <v>6.1423294999999996E-2</v>
      </c>
      <c r="V824" s="17">
        <f>IFERROR(Tabela1[[#This Row],[Total 2019]]/Tabela1[[#This Row],[Total 2018]]-1,0)</f>
        <v>-0.60666304088615053</v>
      </c>
      <c r="W82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824" s="48"/>
      <c r="Y824" s="19"/>
      <c r="Z824" s="68"/>
    </row>
    <row r="825" spans="3:26" x14ac:dyDescent="0.35">
      <c r="C825" s="11" t="s">
        <v>2702</v>
      </c>
      <c r="D825" s="12" t="s">
        <v>2698</v>
      </c>
      <c r="E825" s="12">
        <v>804</v>
      </c>
      <c r="F825" s="13" t="s">
        <v>2251</v>
      </c>
      <c r="G825" s="14">
        <v>1</v>
      </c>
      <c r="H825" s="14" t="s">
        <v>1371</v>
      </c>
      <c r="I825" s="13">
        <v>24</v>
      </c>
      <c r="J825" s="15" t="s">
        <v>1423</v>
      </c>
      <c r="K825" s="15" t="s">
        <v>2707</v>
      </c>
      <c r="L825" s="16"/>
      <c r="M825" s="16"/>
      <c r="N825" s="16">
        <v>3416.067</v>
      </c>
      <c r="O825" s="16"/>
      <c r="P825" s="16"/>
      <c r="Q825" s="16">
        <f>SUM(Tabela1[[#This Row],[201805]:[201807]])</f>
        <v>3416.067</v>
      </c>
      <c r="R825" s="16">
        <f>SUM(Tabela1[[#This Row],[201905]:[201906]])</f>
        <v>0</v>
      </c>
      <c r="S825" s="16">
        <v>100000</v>
      </c>
      <c r="T825" s="16">
        <f>Tabela1[[#This Row],[Total 2019]]-Tabela1[[#This Row],[Total 2018]]</f>
        <v>-3416.067</v>
      </c>
      <c r="U825" s="40">
        <f>Tabela1[[#This Row],[Total 2019]]/Tabela1[[#This Row],[Meta]]</f>
        <v>0</v>
      </c>
      <c r="V825" s="17">
        <f>IFERROR(Tabela1[[#This Row],[Total 2019]]/Tabela1[[#This Row],[Total 2018]]-1,0)</f>
        <v>-1</v>
      </c>
      <c r="W82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25" s="48"/>
      <c r="Y825" s="19"/>
      <c r="Z825" s="68"/>
    </row>
    <row r="826" spans="3:26" x14ac:dyDescent="0.35">
      <c r="C826" s="11" t="s">
        <v>2703</v>
      </c>
      <c r="D826" s="12" t="s">
        <v>2698</v>
      </c>
      <c r="E826" s="12">
        <v>805</v>
      </c>
      <c r="F826" s="13" t="s">
        <v>2252</v>
      </c>
      <c r="G826" s="14">
        <v>3</v>
      </c>
      <c r="H826" s="14" t="s">
        <v>1372</v>
      </c>
      <c r="I826" s="13">
        <v>6</v>
      </c>
      <c r="J826" s="15" t="s">
        <v>1405</v>
      </c>
      <c r="K826" s="15" t="s">
        <v>2708</v>
      </c>
      <c r="L826" s="16">
        <v>1599.7619999999997</v>
      </c>
      <c r="M826" s="16">
        <v>2113.6169999999997</v>
      </c>
      <c r="N826" s="16">
        <v>1072.5404999999998</v>
      </c>
      <c r="O826" s="16"/>
      <c r="P826" s="16"/>
      <c r="Q826" s="16">
        <f>SUM(Tabela1[[#This Row],[201805]:[201807]])</f>
        <v>4785.9194999999991</v>
      </c>
      <c r="R826" s="16">
        <f>SUM(Tabela1[[#This Row],[201905]:[201906]])</f>
        <v>0</v>
      </c>
      <c r="S826" s="16">
        <v>100000</v>
      </c>
      <c r="T826" s="16">
        <f>Tabela1[[#This Row],[Total 2019]]-Tabela1[[#This Row],[Total 2018]]</f>
        <v>-4785.9194999999991</v>
      </c>
      <c r="U826" s="40">
        <f>Tabela1[[#This Row],[Total 2019]]/Tabela1[[#This Row],[Meta]]</f>
        <v>0</v>
      </c>
      <c r="V826" s="17">
        <f>IFERROR(Tabela1[[#This Row],[Total 2019]]/Tabela1[[#This Row],[Total 2018]]-1,0)</f>
        <v>-1</v>
      </c>
      <c r="W82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26" s="48"/>
      <c r="Y826" s="19"/>
      <c r="Z826" s="68"/>
    </row>
    <row r="827" spans="3:26" x14ac:dyDescent="0.35">
      <c r="C827" s="11" t="s">
        <v>2703</v>
      </c>
      <c r="D827" s="12" t="s">
        <v>2698</v>
      </c>
      <c r="E827" s="12">
        <v>806</v>
      </c>
      <c r="F827" s="13" t="s">
        <v>2253</v>
      </c>
      <c r="G827" s="14">
        <v>3</v>
      </c>
      <c r="H827" s="14" t="s">
        <v>1373</v>
      </c>
      <c r="I827" s="13">
        <v>28</v>
      </c>
      <c r="J827" s="15" t="s">
        <v>1427</v>
      </c>
      <c r="K827" s="15" t="s">
        <v>2710</v>
      </c>
      <c r="L827" s="16">
        <v>2930.3604999999998</v>
      </c>
      <c r="M827" s="16">
        <v>1340.9915000000001</v>
      </c>
      <c r="N827" s="16"/>
      <c r="O827" s="16"/>
      <c r="P827" s="16"/>
      <c r="Q827" s="16">
        <f>SUM(Tabela1[[#This Row],[201805]:[201807]])</f>
        <v>4271.3519999999999</v>
      </c>
      <c r="R827" s="16">
        <f>SUM(Tabela1[[#This Row],[201905]:[201906]])</f>
        <v>0</v>
      </c>
      <c r="S827" s="16">
        <v>100000</v>
      </c>
      <c r="T827" s="16">
        <f>Tabela1[[#This Row],[Total 2019]]-Tabela1[[#This Row],[Total 2018]]</f>
        <v>-4271.3519999999999</v>
      </c>
      <c r="U827" s="40">
        <f>Tabela1[[#This Row],[Total 2019]]/Tabela1[[#This Row],[Meta]]</f>
        <v>0</v>
      </c>
      <c r="V827" s="17">
        <f>IFERROR(Tabela1[[#This Row],[Total 2019]]/Tabela1[[#This Row],[Total 2018]]-1,0)</f>
        <v>-1</v>
      </c>
      <c r="W82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27" s="48"/>
      <c r="Y827" s="19"/>
      <c r="Z827" s="68"/>
    </row>
    <row r="828" spans="3:26" x14ac:dyDescent="0.35">
      <c r="C828" s="11" t="s">
        <v>2703</v>
      </c>
      <c r="D828" s="12" t="s">
        <v>2700</v>
      </c>
      <c r="E828" s="12">
        <v>807</v>
      </c>
      <c r="F828" s="13" t="s">
        <v>2254</v>
      </c>
      <c r="G828" s="14">
        <v>2</v>
      </c>
      <c r="H828" s="14" t="s">
        <v>1370</v>
      </c>
      <c r="I828" s="13">
        <v>11</v>
      </c>
      <c r="J828" s="15" t="s">
        <v>1410</v>
      </c>
      <c r="K828" s="15" t="s">
        <v>2706</v>
      </c>
      <c r="L828" s="16"/>
      <c r="M828" s="16">
        <v>3146.5329999999999</v>
      </c>
      <c r="N828" s="16"/>
      <c r="O828" s="16">
        <v>25332.690500000004</v>
      </c>
      <c r="P828" s="16">
        <v>7544.4534999999996</v>
      </c>
      <c r="Q828" s="16">
        <f>SUM(Tabela1[[#This Row],[201805]:[201807]])</f>
        <v>3146.5329999999999</v>
      </c>
      <c r="R828" s="16">
        <f>SUM(Tabela1[[#This Row],[201905]:[201906]])</f>
        <v>32877.144</v>
      </c>
      <c r="S828" s="16">
        <v>100000</v>
      </c>
      <c r="T828" s="16">
        <f>Tabela1[[#This Row],[Total 2019]]-Tabela1[[#This Row],[Total 2018]]</f>
        <v>29730.611000000001</v>
      </c>
      <c r="U828" s="40">
        <f>Tabela1[[#This Row],[Total 2019]]/Tabela1[[#This Row],[Meta]]</f>
        <v>0.32877144000000003</v>
      </c>
      <c r="V828" s="17">
        <f>IFERROR(Tabela1[[#This Row],[Total 2019]]/Tabela1[[#This Row],[Total 2018]]-1,0)</f>
        <v>9.4486887631561469</v>
      </c>
      <c r="W82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828" s="48"/>
      <c r="Y828" s="19"/>
      <c r="Z828" s="68"/>
    </row>
    <row r="829" spans="3:26" x14ac:dyDescent="0.35">
      <c r="C829" s="11" t="s">
        <v>2702</v>
      </c>
      <c r="D829" s="12" t="s">
        <v>2699</v>
      </c>
      <c r="E829" s="12">
        <v>808</v>
      </c>
      <c r="F829" s="13" t="s">
        <v>2255</v>
      </c>
      <c r="G829" s="14">
        <v>3</v>
      </c>
      <c r="H829" s="14" t="s">
        <v>1372</v>
      </c>
      <c r="I829" s="13">
        <v>6</v>
      </c>
      <c r="J829" s="15" t="s">
        <v>1405</v>
      </c>
      <c r="K829" s="15" t="s">
        <v>2708</v>
      </c>
      <c r="L829" s="16">
        <v>1247.54</v>
      </c>
      <c r="M829" s="16">
        <v>1829.3294999999998</v>
      </c>
      <c r="N829" s="16"/>
      <c r="O829" s="16"/>
      <c r="P829" s="16"/>
      <c r="Q829" s="16">
        <f>SUM(Tabela1[[#This Row],[201805]:[201807]])</f>
        <v>3076.8694999999998</v>
      </c>
      <c r="R829" s="16">
        <f>SUM(Tabela1[[#This Row],[201905]:[201906]])</f>
        <v>0</v>
      </c>
      <c r="S829" s="16">
        <v>100000</v>
      </c>
      <c r="T829" s="16">
        <f>Tabela1[[#This Row],[Total 2019]]-Tabela1[[#This Row],[Total 2018]]</f>
        <v>-3076.8694999999998</v>
      </c>
      <c r="U829" s="40">
        <f>Tabela1[[#This Row],[Total 2019]]/Tabela1[[#This Row],[Meta]]</f>
        <v>0</v>
      </c>
      <c r="V829" s="17">
        <f>IFERROR(Tabela1[[#This Row],[Total 2019]]/Tabela1[[#This Row],[Total 2018]]-1,0)</f>
        <v>-1</v>
      </c>
      <c r="W82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29" s="48"/>
      <c r="Y829" s="19"/>
      <c r="Z829" s="68"/>
    </row>
    <row r="830" spans="3:26" x14ac:dyDescent="0.35">
      <c r="C830" s="11" t="s">
        <v>2703</v>
      </c>
      <c r="D830" s="12" t="s">
        <v>2698</v>
      </c>
      <c r="E830" s="12">
        <v>809</v>
      </c>
      <c r="F830" s="13" t="s">
        <v>2256</v>
      </c>
      <c r="G830" s="14">
        <v>3</v>
      </c>
      <c r="H830" s="14" t="s">
        <v>1371</v>
      </c>
      <c r="I830" s="13">
        <v>26</v>
      </c>
      <c r="J830" s="15" t="s">
        <v>1425</v>
      </c>
      <c r="K830" s="15" t="s">
        <v>2707</v>
      </c>
      <c r="L830" s="16">
        <v>3682.4659999999999</v>
      </c>
      <c r="M830" s="16">
        <v>9734.3554999999997</v>
      </c>
      <c r="N830" s="16"/>
      <c r="O830" s="16">
        <v>18190.647499999999</v>
      </c>
      <c r="P830" s="16">
        <v>4373.6954999999998</v>
      </c>
      <c r="Q830" s="16">
        <f>SUM(Tabela1[[#This Row],[201805]:[201807]])</f>
        <v>13416.8215</v>
      </c>
      <c r="R830" s="16">
        <f>SUM(Tabela1[[#This Row],[201905]:[201906]])</f>
        <v>22564.343000000001</v>
      </c>
      <c r="S830" s="16">
        <v>100000</v>
      </c>
      <c r="T830" s="16">
        <f>Tabela1[[#This Row],[Total 2019]]-Tabela1[[#This Row],[Total 2018]]</f>
        <v>9147.5215000000007</v>
      </c>
      <c r="U830" s="40">
        <f>Tabela1[[#This Row],[Total 2019]]/Tabela1[[#This Row],[Meta]]</f>
        <v>0.22564343000000001</v>
      </c>
      <c r="V830" s="17">
        <f>IFERROR(Tabela1[[#This Row],[Total 2019]]/Tabela1[[#This Row],[Total 2018]]-1,0)</f>
        <v>0.68179497655238253</v>
      </c>
      <c r="W83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830" s="48"/>
      <c r="Y830" s="19"/>
      <c r="Z830" s="68"/>
    </row>
    <row r="831" spans="3:26" x14ac:dyDescent="0.35">
      <c r="C831" s="11" t="s">
        <v>2702</v>
      </c>
      <c r="D831" s="12" t="s">
        <v>2699</v>
      </c>
      <c r="E831" s="12">
        <v>810</v>
      </c>
      <c r="F831" s="13" t="s">
        <v>2257</v>
      </c>
      <c r="G831" s="14">
        <v>3</v>
      </c>
      <c r="H831" s="14" t="s">
        <v>1372</v>
      </c>
      <c r="I831" s="13">
        <v>22</v>
      </c>
      <c r="J831" s="15" t="s">
        <v>1421</v>
      </c>
      <c r="K831" s="15" t="s">
        <v>2708</v>
      </c>
      <c r="L831" s="16"/>
      <c r="M831" s="16">
        <v>3936.4579999999996</v>
      </c>
      <c r="N831" s="16">
        <v>3556.7240000000002</v>
      </c>
      <c r="O831" s="16"/>
      <c r="P831" s="16"/>
      <c r="Q831" s="16">
        <f>SUM(Tabela1[[#This Row],[201805]:[201807]])</f>
        <v>7493.1819999999998</v>
      </c>
      <c r="R831" s="16">
        <f>SUM(Tabela1[[#This Row],[201905]:[201906]])</f>
        <v>0</v>
      </c>
      <c r="S831" s="16">
        <v>100000</v>
      </c>
      <c r="T831" s="16">
        <f>Tabela1[[#This Row],[Total 2019]]-Tabela1[[#This Row],[Total 2018]]</f>
        <v>-7493.1819999999998</v>
      </c>
      <c r="U831" s="40">
        <f>Tabela1[[#This Row],[Total 2019]]/Tabela1[[#This Row],[Meta]]</f>
        <v>0</v>
      </c>
      <c r="V831" s="17">
        <f>IFERROR(Tabela1[[#This Row],[Total 2019]]/Tabela1[[#This Row],[Total 2018]]-1,0)</f>
        <v>-1</v>
      </c>
      <c r="W83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31" s="48"/>
      <c r="Y831" s="19"/>
      <c r="Z831" s="68"/>
    </row>
    <row r="832" spans="3:26" x14ac:dyDescent="0.35">
      <c r="C832" s="11" t="s">
        <v>2703</v>
      </c>
      <c r="D832" s="12" t="s">
        <v>2698</v>
      </c>
      <c r="E832" s="12">
        <v>811</v>
      </c>
      <c r="F832" s="13" t="s">
        <v>2258</v>
      </c>
      <c r="G832" s="14">
        <v>3</v>
      </c>
      <c r="H832" s="14" t="s">
        <v>1370</v>
      </c>
      <c r="I832" s="13">
        <v>29</v>
      </c>
      <c r="J832" s="15" t="s">
        <v>1428</v>
      </c>
      <c r="K832" s="15" t="s">
        <v>2706</v>
      </c>
      <c r="L832" s="16"/>
      <c r="M832" s="16"/>
      <c r="N832" s="16"/>
      <c r="O832" s="16">
        <v>5880.1864999999998</v>
      </c>
      <c r="P832" s="16">
        <v>8955.1085000000003</v>
      </c>
      <c r="Q832" s="16">
        <f>SUM(Tabela1[[#This Row],[201805]:[201807]])</f>
        <v>0</v>
      </c>
      <c r="R832" s="16">
        <f>SUM(Tabela1[[#This Row],[201905]:[201906]])</f>
        <v>14835.295</v>
      </c>
      <c r="S832" s="16">
        <v>100000</v>
      </c>
      <c r="T832" s="16">
        <f>Tabela1[[#This Row],[Total 2019]]-Tabela1[[#This Row],[Total 2018]]</f>
        <v>14835.295</v>
      </c>
      <c r="U832" s="40">
        <f>Tabela1[[#This Row],[Total 2019]]/Tabela1[[#This Row],[Meta]]</f>
        <v>0.14835295000000001</v>
      </c>
      <c r="V832" s="17">
        <f>IFERROR(Tabela1[[#This Row],[Total 2019]]/Tabela1[[#This Row],[Total 2018]]-1,0)</f>
        <v>0</v>
      </c>
      <c r="W83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832" s="48"/>
      <c r="Y832" s="19"/>
      <c r="Z832" s="68"/>
    </row>
    <row r="833" spans="3:26" x14ac:dyDescent="0.35">
      <c r="C833" s="11" t="s">
        <v>2703</v>
      </c>
      <c r="D833" s="12" t="s">
        <v>2698</v>
      </c>
      <c r="E833" s="12">
        <v>812</v>
      </c>
      <c r="F833" s="13" t="s">
        <v>2259</v>
      </c>
      <c r="G833" s="14">
        <v>2</v>
      </c>
      <c r="H833" s="14" t="s">
        <v>1370</v>
      </c>
      <c r="I833" s="13">
        <v>8</v>
      </c>
      <c r="J833" s="15" t="s">
        <v>1407</v>
      </c>
      <c r="K833" s="15" t="s">
        <v>2706</v>
      </c>
      <c r="L833" s="16">
        <v>2678.5439999999999</v>
      </c>
      <c r="M833" s="16">
        <v>5405.9180000000006</v>
      </c>
      <c r="N833" s="16"/>
      <c r="O833" s="16">
        <v>7293.6534999999994</v>
      </c>
      <c r="P833" s="16">
        <v>2947.9924999999998</v>
      </c>
      <c r="Q833" s="16">
        <f>SUM(Tabela1[[#This Row],[201805]:[201807]])</f>
        <v>8084.4620000000004</v>
      </c>
      <c r="R833" s="16">
        <f>SUM(Tabela1[[#This Row],[201905]:[201906]])</f>
        <v>10241.645999999999</v>
      </c>
      <c r="S833" s="16">
        <v>100000</v>
      </c>
      <c r="T833" s="16">
        <f>Tabela1[[#This Row],[Total 2019]]-Tabela1[[#This Row],[Total 2018]]</f>
        <v>2157.1839999999984</v>
      </c>
      <c r="U833" s="40">
        <f>Tabela1[[#This Row],[Total 2019]]/Tabela1[[#This Row],[Meta]]</f>
        <v>0.10241645999999999</v>
      </c>
      <c r="V833" s="17">
        <f>IFERROR(Tabela1[[#This Row],[Total 2019]]/Tabela1[[#This Row],[Total 2018]]-1,0)</f>
        <v>0.26683086642005338</v>
      </c>
      <c r="W83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833" s="48"/>
      <c r="Y833" s="19"/>
      <c r="Z833" s="68"/>
    </row>
    <row r="834" spans="3:26" x14ac:dyDescent="0.35">
      <c r="C834" s="11" t="s">
        <v>2704</v>
      </c>
      <c r="D834" s="12" t="s">
        <v>2700</v>
      </c>
      <c r="E834" s="12">
        <v>813</v>
      </c>
      <c r="F834" s="13" t="s">
        <v>2260</v>
      </c>
      <c r="G834" s="14">
        <v>1</v>
      </c>
      <c r="H834" s="14" t="s">
        <v>1370</v>
      </c>
      <c r="I834" s="13">
        <v>34</v>
      </c>
      <c r="J834" s="15" t="s">
        <v>1433</v>
      </c>
      <c r="K834" s="15" t="s">
        <v>2706</v>
      </c>
      <c r="L834" s="16">
        <v>2615.8914999999997</v>
      </c>
      <c r="M834" s="16">
        <v>434.0265</v>
      </c>
      <c r="N834" s="16"/>
      <c r="O834" s="16">
        <v>5137.4955</v>
      </c>
      <c r="P834" s="16"/>
      <c r="Q834" s="16">
        <f>SUM(Tabela1[[#This Row],[201805]:[201807]])</f>
        <v>3049.9179999999997</v>
      </c>
      <c r="R834" s="16">
        <f>SUM(Tabela1[[#This Row],[201905]:[201906]])</f>
        <v>5137.4955</v>
      </c>
      <c r="S834" s="16">
        <v>100000</v>
      </c>
      <c r="T834" s="16">
        <f>Tabela1[[#This Row],[Total 2019]]-Tabela1[[#This Row],[Total 2018]]</f>
        <v>2087.5775000000003</v>
      </c>
      <c r="U834" s="40">
        <f>Tabela1[[#This Row],[Total 2019]]/Tabela1[[#This Row],[Meta]]</f>
        <v>5.1374955E-2</v>
      </c>
      <c r="V834" s="17">
        <f>IFERROR(Tabela1[[#This Row],[Total 2019]]/Tabela1[[#This Row],[Total 2018]]-1,0)</f>
        <v>0.6844700414896403</v>
      </c>
      <c r="W83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834" s="48"/>
      <c r="Y834" s="19"/>
      <c r="Z834" s="68"/>
    </row>
    <row r="835" spans="3:26" x14ac:dyDescent="0.35">
      <c r="C835" s="11" t="s">
        <v>2704</v>
      </c>
      <c r="D835" s="12" t="s">
        <v>2699</v>
      </c>
      <c r="E835" s="12">
        <v>814</v>
      </c>
      <c r="F835" s="13" t="s">
        <v>2261</v>
      </c>
      <c r="G835" s="14">
        <v>1</v>
      </c>
      <c r="H835" s="14" t="s">
        <v>1370</v>
      </c>
      <c r="I835" s="13">
        <v>19</v>
      </c>
      <c r="J835" s="15" t="s">
        <v>1418</v>
      </c>
      <c r="K835" s="15" t="s">
        <v>2706</v>
      </c>
      <c r="L835" s="16">
        <v>6319.7039999999997</v>
      </c>
      <c r="M835" s="16">
        <v>3388.1084999999998</v>
      </c>
      <c r="N835" s="16"/>
      <c r="O835" s="16">
        <v>6943.3885</v>
      </c>
      <c r="P835" s="16">
        <v>5188.6054999999997</v>
      </c>
      <c r="Q835" s="16">
        <f>SUM(Tabela1[[#This Row],[201805]:[201807]])</f>
        <v>9707.8125</v>
      </c>
      <c r="R835" s="16">
        <f>SUM(Tabela1[[#This Row],[201905]:[201906]])</f>
        <v>12131.993999999999</v>
      </c>
      <c r="S835" s="16">
        <v>100000</v>
      </c>
      <c r="T835" s="16">
        <f>Tabela1[[#This Row],[Total 2019]]-Tabela1[[#This Row],[Total 2018]]</f>
        <v>2424.1814999999988</v>
      </c>
      <c r="U835" s="40">
        <f>Tabela1[[#This Row],[Total 2019]]/Tabela1[[#This Row],[Meta]]</f>
        <v>0.12131993999999999</v>
      </c>
      <c r="V835" s="17">
        <f>IFERROR(Tabela1[[#This Row],[Total 2019]]/Tabela1[[#This Row],[Total 2018]]-1,0)</f>
        <v>0.24971449541284385</v>
      </c>
      <c r="W83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835" s="48"/>
      <c r="Y835" s="19"/>
      <c r="Z835" s="68"/>
    </row>
    <row r="836" spans="3:26" x14ac:dyDescent="0.35">
      <c r="C836" s="11" t="s">
        <v>2704</v>
      </c>
      <c r="D836" s="12" t="s">
        <v>2700</v>
      </c>
      <c r="E836" s="12">
        <v>815</v>
      </c>
      <c r="F836" s="13" t="s">
        <v>2262</v>
      </c>
      <c r="G836" s="14">
        <v>1</v>
      </c>
      <c r="H836" s="14" t="s">
        <v>1370</v>
      </c>
      <c r="I836" s="13">
        <v>8</v>
      </c>
      <c r="J836" s="15" t="s">
        <v>1407</v>
      </c>
      <c r="K836" s="15" t="s">
        <v>2706</v>
      </c>
      <c r="L836" s="16">
        <v>7840.7870000000003</v>
      </c>
      <c r="M836" s="16">
        <v>9622.0845000000008</v>
      </c>
      <c r="N836" s="16">
        <v>2275.4684999999999</v>
      </c>
      <c r="O836" s="16"/>
      <c r="P836" s="16">
        <v>294.35750000000002</v>
      </c>
      <c r="Q836" s="16">
        <f>SUM(Tabela1[[#This Row],[201805]:[201807]])</f>
        <v>19738.34</v>
      </c>
      <c r="R836" s="16">
        <f>SUM(Tabela1[[#This Row],[201905]:[201906]])</f>
        <v>294.35750000000002</v>
      </c>
      <c r="S836" s="16">
        <v>100000</v>
      </c>
      <c r="T836" s="16">
        <f>Tabela1[[#This Row],[Total 2019]]-Tabela1[[#This Row],[Total 2018]]</f>
        <v>-19443.982500000002</v>
      </c>
      <c r="U836" s="40">
        <f>Tabela1[[#This Row],[Total 2019]]/Tabela1[[#This Row],[Meta]]</f>
        <v>2.9435750000000004E-3</v>
      </c>
      <c r="V836" s="17">
        <f>IFERROR(Tabela1[[#This Row],[Total 2019]]/Tabela1[[#This Row],[Total 2018]]-1,0)</f>
        <v>-0.98508701846254543</v>
      </c>
      <c r="W83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836" s="48"/>
      <c r="Y836" s="19"/>
      <c r="Z836" s="68"/>
    </row>
    <row r="837" spans="3:26" x14ac:dyDescent="0.35">
      <c r="C837" s="11" t="s">
        <v>2703</v>
      </c>
      <c r="D837" s="12" t="s">
        <v>2700</v>
      </c>
      <c r="E837" s="12">
        <v>816</v>
      </c>
      <c r="F837" s="13" t="s">
        <v>2263</v>
      </c>
      <c r="G837" s="14">
        <v>1</v>
      </c>
      <c r="H837" s="14" t="s">
        <v>1371</v>
      </c>
      <c r="I837" s="13">
        <v>7</v>
      </c>
      <c r="J837" s="15" t="s">
        <v>1406</v>
      </c>
      <c r="K837" s="15" t="s">
        <v>2707</v>
      </c>
      <c r="L837" s="16"/>
      <c r="M837" s="16">
        <v>4127.0564999999997</v>
      </c>
      <c r="N837" s="16">
        <v>2869.1424999999999</v>
      </c>
      <c r="O837" s="16"/>
      <c r="P837" s="16"/>
      <c r="Q837" s="16">
        <f>SUM(Tabela1[[#This Row],[201805]:[201807]])</f>
        <v>6996.1989999999996</v>
      </c>
      <c r="R837" s="16">
        <f>SUM(Tabela1[[#This Row],[201905]:[201906]])</f>
        <v>0</v>
      </c>
      <c r="S837" s="16">
        <v>100000</v>
      </c>
      <c r="T837" s="16">
        <f>Tabela1[[#This Row],[Total 2019]]-Tabela1[[#This Row],[Total 2018]]</f>
        <v>-6996.1989999999996</v>
      </c>
      <c r="U837" s="40">
        <f>Tabela1[[#This Row],[Total 2019]]/Tabela1[[#This Row],[Meta]]</f>
        <v>0</v>
      </c>
      <c r="V837" s="17">
        <f>IFERROR(Tabela1[[#This Row],[Total 2019]]/Tabela1[[#This Row],[Total 2018]]-1,0)</f>
        <v>-1</v>
      </c>
      <c r="W83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37" s="48"/>
      <c r="Y837" s="19"/>
      <c r="Z837" s="68"/>
    </row>
    <row r="838" spans="3:26" x14ac:dyDescent="0.35">
      <c r="C838" s="11" t="s">
        <v>2702</v>
      </c>
      <c r="D838" s="12" t="s">
        <v>2699</v>
      </c>
      <c r="E838" s="12">
        <v>817</v>
      </c>
      <c r="F838" s="13" t="s">
        <v>2264</v>
      </c>
      <c r="G838" s="14">
        <v>1</v>
      </c>
      <c r="H838" s="14" t="s">
        <v>1372</v>
      </c>
      <c r="I838" s="13">
        <v>17</v>
      </c>
      <c r="J838" s="15" t="s">
        <v>1416</v>
      </c>
      <c r="K838" s="15" t="s">
        <v>2708</v>
      </c>
      <c r="L838" s="16"/>
      <c r="M838" s="16">
        <v>3591.3229999999994</v>
      </c>
      <c r="N838" s="16"/>
      <c r="O838" s="16"/>
      <c r="P838" s="16"/>
      <c r="Q838" s="16">
        <f>SUM(Tabela1[[#This Row],[201805]:[201807]])</f>
        <v>3591.3229999999994</v>
      </c>
      <c r="R838" s="16">
        <f>SUM(Tabela1[[#This Row],[201905]:[201906]])</f>
        <v>0</v>
      </c>
      <c r="S838" s="16">
        <v>100000</v>
      </c>
      <c r="T838" s="16">
        <f>Tabela1[[#This Row],[Total 2019]]-Tabela1[[#This Row],[Total 2018]]</f>
        <v>-3591.3229999999994</v>
      </c>
      <c r="U838" s="40">
        <f>Tabela1[[#This Row],[Total 2019]]/Tabela1[[#This Row],[Meta]]</f>
        <v>0</v>
      </c>
      <c r="V838" s="17">
        <f>IFERROR(Tabela1[[#This Row],[Total 2019]]/Tabela1[[#This Row],[Total 2018]]-1,0)</f>
        <v>-1</v>
      </c>
      <c r="W83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38" s="48"/>
      <c r="Y838" s="19"/>
      <c r="Z838" s="68"/>
    </row>
    <row r="839" spans="3:26" x14ac:dyDescent="0.35">
      <c r="C839" s="11" t="s">
        <v>2704</v>
      </c>
      <c r="D839" s="12" t="s">
        <v>2700</v>
      </c>
      <c r="E839" s="12">
        <v>818</v>
      </c>
      <c r="F839" s="13" t="s">
        <v>2265</v>
      </c>
      <c r="G839" s="14">
        <v>3</v>
      </c>
      <c r="H839" s="14" t="s">
        <v>1370</v>
      </c>
      <c r="I839" s="13">
        <v>33</v>
      </c>
      <c r="J839" s="15" t="s">
        <v>1432</v>
      </c>
      <c r="K839" s="15" t="s">
        <v>2706</v>
      </c>
      <c r="L839" s="16"/>
      <c r="M839" s="16">
        <v>4276.1685000000007</v>
      </c>
      <c r="N839" s="16">
        <v>1781.5729999999999</v>
      </c>
      <c r="O839" s="16">
        <v>1559.5674999999997</v>
      </c>
      <c r="P839" s="16">
        <v>6686.1760000000004</v>
      </c>
      <c r="Q839" s="16">
        <f>SUM(Tabela1[[#This Row],[201805]:[201807]])</f>
        <v>6057.7415000000001</v>
      </c>
      <c r="R839" s="16">
        <f>SUM(Tabela1[[#This Row],[201905]:[201906]])</f>
        <v>8245.7435000000005</v>
      </c>
      <c r="S839" s="16">
        <v>100000</v>
      </c>
      <c r="T839" s="16">
        <f>Tabela1[[#This Row],[Total 2019]]-Tabela1[[#This Row],[Total 2018]]</f>
        <v>2188.0020000000004</v>
      </c>
      <c r="U839" s="40">
        <f>Tabela1[[#This Row],[Total 2019]]/Tabela1[[#This Row],[Meta]]</f>
        <v>8.2457435000000009E-2</v>
      </c>
      <c r="V839" s="17">
        <f>IFERROR(Tabela1[[#This Row],[Total 2019]]/Tabela1[[#This Row],[Total 2018]]-1,0)</f>
        <v>0.36119104785174483</v>
      </c>
      <c r="W83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839" s="48"/>
      <c r="Y839" s="19"/>
      <c r="Z839" s="68"/>
    </row>
    <row r="840" spans="3:26" x14ac:dyDescent="0.35">
      <c r="C840" s="11" t="s">
        <v>2704</v>
      </c>
      <c r="D840" s="12" t="s">
        <v>2698</v>
      </c>
      <c r="E840" s="12">
        <v>819</v>
      </c>
      <c r="F840" s="13" t="s">
        <v>2266</v>
      </c>
      <c r="G840" s="14">
        <v>3</v>
      </c>
      <c r="H840" s="14" t="s">
        <v>1372</v>
      </c>
      <c r="I840" s="13">
        <v>10</v>
      </c>
      <c r="J840" s="15" t="s">
        <v>1409</v>
      </c>
      <c r="K840" s="15" t="s">
        <v>2708</v>
      </c>
      <c r="L840" s="16">
        <v>2386.9225000000001</v>
      </c>
      <c r="M840" s="16">
        <v>4051.4175</v>
      </c>
      <c r="N840" s="16">
        <v>2778.4649999999997</v>
      </c>
      <c r="O840" s="16">
        <v>9861.8264999999992</v>
      </c>
      <c r="P840" s="16">
        <v>6467.3055000000004</v>
      </c>
      <c r="Q840" s="16">
        <f>SUM(Tabela1[[#This Row],[201805]:[201807]])</f>
        <v>9216.8050000000003</v>
      </c>
      <c r="R840" s="16">
        <f>SUM(Tabela1[[#This Row],[201905]:[201906]])</f>
        <v>16329.132</v>
      </c>
      <c r="S840" s="16">
        <v>100000</v>
      </c>
      <c r="T840" s="16">
        <f>Tabela1[[#This Row],[Total 2019]]-Tabela1[[#This Row],[Total 2018]]</f>
        <v>7112.3269999999993</v>
      </c>
      <c r="U840" s="40">
        <f>Tabela1[[#This Row],[Total 2019]]/Tabela1[[#This Row],[Meta]]</f>
        <v>0.16329131999999999</v>
      </c>
      <c r="V840" s="17">
        <f>IFERROR(Tabela1[[#This Row],[Total 2019]]/Tabela1[[#This Row],[Total 2018]]-1,0)</f>
        <v>0.7716694668054711</v>
      </c>
      <c r="W84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840" s="48"/>
      <c r="Y840" s="19"/>
      <c r="Z840" s="68"/>
    </row>
    <row r="841" spans="3:26" x14ac:dyDescent="0.35">
      <c r="C841" s="11" t="s">
        <v>2704</v>
      </c>
      <c r="D841" s="12" t="s">
        <v>2700</v>
      </c>
      <c r="E841" s="12">
        <v>820</v>
      </c>
      <c r="F841" s="13" t="s">
        <v>2267</v>
      </c>
      <c r="G841" s="14">
        <v>1</v>
      </c>
      <c r="H841" s="14" t="s">
        <v>1372</v>
      </c>
      <c r="I841" s="13">
        <v>17</v>
      </c>
      <c r="J841" s="15" t="s">
        <v>1416</v>
      </c>
      <c r="K841" s="15" t="s">
        <v>2708</v>
      </c>
      <c r="L841" s="16"/>
      <c r="M841" s="16"/>
      <c r="N841" s="16"/>
      <c r="O841" s="16">
        <v>9958.2705000000005</v>
      </c>
      <c r="P841" s="16">
        <v>2614.9794999999999</v>
      </c>
      <c r="Q841" s="16">
        <f>SUM(Tabela1[[#This Row],[201805]:[201807]])</f>
        <v>0</v>
      </c>
      <c r="R841" s="16">
        <f>SUM(Tabela1[[#This Row],[201905]:[201906]])</f>
        <v>12573.25</v>
      </c>
      <c r="S841" s="16">
        <v>100000</v>
      </c>
      <c r="T841" s="16">
        <f>Tabela1[[#This Row],[Total 2019]]-Tabela1[[#This Row],[Total 2018]]</f>
        <v>12573.25</v>
      </c>
      <c r="U841" s="40">
        <f>Tabela1[[#This Row],[Total 2019]]/Tabela1[[#This Row],[Meta]]</f>
        <v>0.1257325</v>
      </c>
      <c r="V841" s="17">
        <f>IFERROR(Tabela1[[#This Row],[Total 2019]]/Tabela1[[#This Row],[Total 2018]]-1,0)</f>
        <v>0</v>
      </c>
      <c r="W84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841" s="48"/>
      <c r="Y841" s="19"/>
      <c r="Z841" s="68"/>
    </row>
    <row r="842" spans="3:26" x14ac:dyDescent="0.35">
      <c r="C842" s="11" t="s">
        <v>2702</v>
      </c>
      <c r="D842" s="12" t="s">
        <v>2700</v>
      </c>
      <c r="E842" s="12">
        <v>821</v>
      </c>
      <c r="F842" s="13" t="s">
        <v>2268</v>
      </c>
      <c r="G842" s="14">
        <v>2</v>
      </c>
      <c r="H842" s="14" t="s">
        <v>1370</v>
      </c>
      <c r="I842" s="13">
        <v>8</v>
      </c>
      <c r="J842" s="15" t="s">
        <v>1407</v>
      </c>
      <c r="K842" s="15" t="s">
        <v>2706</v>
      </c>
      <c r="L842" s="16"/>
      <c r="M842" s="16"/>
      <c r="N842" s="16"/>
      <c r="O842" s="16">
        <v>13500.022499999997</v>
      </c>
      <c r="P842" s="16">
        <v>11368.773499999999</v>
      </c>
      <c r="Q842" s="16">
        <f>SUM(Tabela1[[#This Row],[201805]:[201807]])</f>
        <v>0</v>
      </c>
      <c r="R842" s="16">
        <f>SUM(Tabela1[[#This Row],[201905]:[201906]])</f>
        <v>24868.795999999995</v>
      </c>
      <c r="S842" s="16">
        <v>100000</v>
      </c>
      <c r="T842" s="16">
        <f>Tabela1[[#This Row],[Total 2019]]-Tabela1[[#This Row],[Total 2018]]</f>
        <v>24868.795999999995</v>
      </c>
      <c r="U842" s="40">
        <f>Tabela1[[#This Row],[Total 2019]]/Tabela1[[#This Row],[Meta]]</f>
        <v>0.24868795999999996</v>
      </c>
      <c r="V842" s="17">
        <f>IFERROR(Tabela1[[#This Row],[Total 2019]]/Tabela1[[#This Row],[Total 2018]]-1,0)</f>
        <v>0</v>
      </c>
      <c r="W84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842" s="48"/>
      <c r="Y842" s="19"/>
      <c r="Z842" s="68"/>
    </row>
    <row r="843" spans="3:26" x14ac:dyDescent="0.35">
      <c r="C843" s="11" t="s">
        <v>2703</v>
      </c>
      <c r="D843" s="12" t="s">
        <v>2698</v>
      </c>
      <c r="E843" s="12">
        <v>822</v>
      </c>
      <c r="F843" s="13" t="s">
        <v>2269</v>
      </c>
      <c r="G843" s="14">
        <v>3</v>
      </c>
      <c r="H843" s="14" t="s">
        <v>1372</v>
      </c>
      <c r="I843" s="13">
        <v>10</v>
      </c>
      <c r="J843" s="15" t="s">
        <v>1409</v>
      </c>
      <c r="K843" s="15" t="s">
        <v>2708</v>
      </c>
      <c r="L843" s="16">
        <v>1186.7304999999999</v>
      </c>
      <c r="M843" s="16">
        <v>1958.0829999999999</v>
      </c>
      <c r="N843" s="16">
        <v>537.62400000000002</v>
      </c>
      <c r="O843" s="16"/>
      <c r="P843" s="16"/>
      <c r="Q843" s="16">
        <f>SUM(Tabela1[[#This Row],[201805]:[201807]])</f>
        <v>3682.4375</v>
      </c>
      <c r="R843" s="16">
        <f>SUM(Tabela1[[#This Row],[201905]:[201906]])</f>
        <v>0</v>
      </c>
      <c r="S843" s="16">
        <v>100000</v>
      </c>
      <c r="T843" s="16">
        <f>Tabela1[[#This Row],[Total 2019]]-Tabela1[[#This Row],[Total 2018]]</f>
        <v>-3682.4375</v>
      </c>
      <c r="U843" s="40">
        <f>Tabela1[[#This Row],[Total 2019]]/Tabela1[[#This Row],[Meta]]</f>
        <v>0</v>
      </c>
      <c r="V843" s="17">
        <f>IFERROR(Tabela1[[#This Row],[Total 2019]]/Tabela1[[#This Row],[Total 2018]]-1,0)</f>
        <v>-1</v>
      </c>
      <c r="W84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43" s="48"/>
      <c r="Y843" s="19"/>
      <c r="Z843" s="68"/>
    </row>
    <row r="844" spans="3:26" x14ac:dyDescent="0.35">
      <c r="C844" s="11" t="s">
        <v>2704</v>
      </c>
      <c r="D844" s="12" t="s">
        <v>2699</v>
      </c>
      <c r="E844" s="12">
        <v>823</v>
      </c>
      <c r="F844" s="13" t="s">
        <v>2270</v>
      </c>
      <c r="G844" s="14">
        <v>1</v>
      </c>
      <c r="H844" s="14" t="s">
        <v>1372</v>
      </c>
      <c r="I844" s="13">
        <v>17</v>
      </c>
      <c r="J844" s="15" t="s">
        <v>1416</v>
      </c>
      <c r="K844" s="15" t="s">
        <v>2708</v>
      </c>
      <c r="L844" s="16"/>
      <c r="M844" s="16"/>
      <c r="N844" s="16"/>
      <c r="O844" s="16">
        <v>1956.5060000000001</v>
      </c>
      <c r="P844" s="16">
        <v>8992.5955000000013</v>
      </c>
      <c r="Q844" s="16">
        <f>SUM(Tabela1[[#This Row],[201805]:[201807]])</f>
        <v>0</v>
      </c>
      <c r="R844" s="16">
        <f>SUM(Tabela1[[#This Row],[201905]:[201906]])</f>
        <v>10949.101500000001</v>
      </c>
      <c r="S844" s="16">
        <v>100000</v>
      </c>
      <c r="T844" s="16">
        <f>Tabela1[[#This Row],[Total 2019]]-Tabela1[[#This Row],[Total 2018]]</f>
        <v>10949.101500000001</v>
      </c>
      <c r="U844" s="40">
        <f>Tabela1[[#This Row],[Total 2019]]/Tabela1[[#This Row],[Meta]]</f>
        <v>0.10949101500000001</v>
      </c>
      <c r="V844" s="17">
        <f>IFERROR(Tabela1[[#This Row],[Total 2019]]/Tabela1[[#This Row],[Total 2018]]-1,0)</f>
        <v>0</v>
      </c>
      <c r="W84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844" s="48"/>
      <c r="Y844" s="19"/>
      <c r="Z844" s="68"/>
    </row>
    <row r="845" spans="3:26" x14ac:dyDescent="0.35">
      <c r="C845" s="11" t="s">
        <v>2702</v>
      </c>
      <c r="D845" s="12" t="s">
        <v>2698</v>
      </c>
      <c r="E845" s="12">
        <v>824</v>
      </c>
      <c r="F845" s="13" t="s">
        <v>2271</v>
      </c>
      <c r="G845" s="14">
        <v>2</v>
      </c>
      <c r="H845" s="14" t="s">
        <v>1372</v>
      </c>
      <c r="I845" s="13">
        <v>10</v>
      </c>
      <c r="J845" s="15" t="s">
        <v>1409</v>
      </c>
      <c r="K845" s="15" t="s">
        <v>2708</v>
      </c>
      <c r="L845" s="16"/>
      <c r="M845" s="16">
        <v>12298.5005</v>
      </c>
      <c r="N845" s="16"/>
      <c r="O845" s="16">
        <v>1271.5844999999999</v>
      </c>
      <c r="P845" s="16">
        <v>2204.741</v>
      </c>
      <c r="Q845" s="16">
        <f>SUM(Tabela1[[#This Row],[201805]:[201807]])</f>
        <v>12298.5005</v>
      </c>
      <c r="R845" s="16">
        <f>SUM(Tabela1[[#This Row],[201905]:[201906]])</f>
        <v>3476.3254999999999</v>
      </c>
      <c r="S845" s="16">
        <v>100000</v>
      </c>
      <c r="T845" s="16">
        <f>Tabela1[[#This Row],[Total 2019]]-Tabela1[[#This Row],[Total 2018]]</f>
        <v>-8822.1749999999993</v>
      </c>
      <c r="U845" s="40">
        <f>Tabela1[[#This Row],[Total 2019]]/Tabela1[[#This Row],[Meta]]</f>
        <v>3.4763255E-2</v>
      </c>
      <c r="V845" s="17">
        <f>IFERROR(Tabela1[[#This Row],[Total 2019]]/Tabela1[[#This Row],[Total 2018]]-1,0)</f>
        <v>-0.71733745101689428</v>
      </c>
      <c r="W84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845" s="48"/>
      <c r="Y845" s="19"/>
      <c r="Z845" s="68"/>
    </row>
    <row r="846" spans="3:26" x14ac:dyDescent="0.35">
      <c r="C846" s="11" t="s">
        <v>2702</v>
      </c>
      <c r="D846" s="12" t="s">
        <v>2698</v>
      </c>
      <c r="E846" s="12">
        <v>825</v>
      </c>
      <c r="F846" s="13" t="s">
        <v>2272</v>
      </c>
      <c r="G846" s="14">
        <v>3</v>
      </c>
      <c r="H846" s="14" t="s">
        <v>1371</v>
      </c>
      <c r="I846" s="13">
        <v>9</v>
      </c>
      <c r="J846" s="15" t="s">
        <v>1408</v>
      </c>
      <c r="K846" s="15" t="s">
        <v>2707</v>
      </c>
      <c r="L846" s="16">
        <v>1353.7119999999998</v>
      </c>
      <c r="M846" s="16">
        <v>8621.1929999999993</v>
      </c>
      <c r="N846" s="16"/>
      <c r="O846" s="16">
        <v>3372.7469999999998</v>
      </c>
      <c r="P846" s="16">
        <v>15666.944</v>
      </c>
      <c r="Q846" s="16">
        <f>SUM(Tabela1[[#This Row],[201805]:[201807]])</f>
        <v>9974.9049999999988</v>
      </c>
      <c r="R846" s="16">
        <f>SUM(Tabela1[[#This Row],[201905]:[201906]])</f>
        <v>19039.690999999999</v>
      </c>
      <c r="S846" s="16">
        <v>100000</v>
      </c>
      <c r="T846" s="16">
        <f>Tabela1[[#This Row],[Total 2019]]-Tabela1[[#This Row],[Total 2018]]</f>
        <v>9064.7860000000001</v>
      </c>
      <c r="U846" s="40">
        <f>Tabela1[[#This Row],[Total 2019]]/Tabela1[[#This Row],[Meta]]</f>
        <v>0.19039691</v>
      </c>
      <c r="V846" s="17">
        <f>IFERROR(Tabela1[[#This Row],[Total 2019]]/Tabela1[[#This Row],[Total 2018]]-1,0)</f>
        <v>0.90875913103934325</v>
      </c>
      <c r="W84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846" s="48"/>
      <c r="Y846" s="19"/>
      <c r="Z846" s="68"/>
    </row>
    <row r="847" spans="3:26" x14ac:dyDescent="0.35">
      <c r="C847" s="11" t="s">
        <v>2703</v>
      </c>
      <c r="D847" s="12" t="s">
        <v>2700</v>
      </c>
      <c r="E847" s="12">
        <v>826</v>
      </c>
      <c r="F847" s="13" t="s">
        <v>2273</v>
      </c>
      <c r="G847" s="14">
        <v>1</v>
      </c>
      <c r="H847" s="14" t="s">
        <v>1370</v>
      </c>
      <c r="I847" s="13">
        <v>11</v>
      </c>
      <c r="J847" s="15" t="s">
        <v>1410</v>
      </c>
      <c r="K847" s="15" t="s">
        <v>2706</v>
      </c>
      <c r="L847" s="16">
        <v>4152.3265000000001</v>
      </c>
      <c r="M847" s="16">
        <v>3959.4859999999999</v>
      </c>
      <c r="N847" s="16">
        <v>1680.7874999999999</v>
      </c>
      <c r="O847" s="16"/>
      <c r="P847" s="16"/>
      <c r="Q847" s="16">
        <f>SUM(Tabela1[[#This Row],[201805]:[201807]])</f>
        <v>9792.6</v>
      </c>
      <c r="R847" s="16">
        <f>SUM(Tabela1[[#This Row],[201905]:[201906]])</f>
        <v>0</v>
      </c>
      <c r="S847" s="16">
        <v>100000</v>
      </c>
      <c r="T847" s="16">
        <f>Tabela1[[#This Row],[Total 2019]]-Tabela1[[#This Row],[Total 2018]]</f>
        <v>-9792.6</v>
      </c>
      <c r="U847" s="40">
        <f>Tabela1[[#This Row],[Total 2019]]/Tabela1[[#This Row],[Meta]]</f>
        <v>0</v>
      </c>
      <c r="V847" s="17">
        <f>IFERROR(Tabela1[[#This Row],[Total 2019]]/Tabela1[[#This Row],[Total 2018]]-1,0)</f>
        <v>-1</v>
      </c>
      <c r="W84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47" s="48"/>
      <c r="Y847" s="19"/>
      <c r="Z847" s="68"/>
    </row>
    <row r="848" spans="3:26" x14ac:dyDescent="0.35">
      <c r="C848" s="11" t="s">
        <v>2703</v>
      </c>
      <c r="D848" s="12" t="s">
        <v>2699</v>
      </c>
      <c r="E848" s="12">
        <v>827</v>
      </c>
      <c r="F848" s="13" t="s">
        <v>2274</v>
      </c>
      <c r="G848" s="14">
        <v>3</v>
      </c>
      <c r="H848" s="14" t="s">
        <v>1372</v>
      </c>
      <c r="I848" s="13">
        <v>21</v>
      </c>
      <c r="J848" s="15" t="s">
        <v>1420</v>
      </c>
      <c r="K848" s="15" t="s">
        <v>2708</v>
      </c>
      <c r="L848" s="16">
        <v>2372.2639999999997</v>
      </c>
      <c r="M848" s="16">
        <v>1961.5694999999998</v>
      </c>
      <c r="N848" s="16">
        <v>1557.886</v>
      </c>
      <c r="O848" s="16">
        <v>7745.7394999999997</v>
      </c>
      <c r="P848" s="16"/>
      <c r="Q848" s="16">
        <f>SUM(Tabela1[[#This Row],[201805]:[201807]])</f>
        <v>5891.7194999999992</v>
      </c>
      <c r="R848" s="16">
        <f>SUM(Tabela1[[#This Row],[201905]:[201906]])</f>
        <v>7745.7394999999997</v>
      </c>
      <c r="S848" s="16">
        <v>100000</v>
      </c>
      <c r="T848" s="16">
        <f>Tabela1[[#This Row],[Total 2019]]-Tabela1[[#This Row],[Total 2018]]</f>
        <v>1854.0200000000004</v>
      </c>
      <c r="U848" s="40">
        <f>Tabela1[[#This Row],[Total 2019]]/Tabela1[[#This Row],[Meta]]</f>
        <v>7.7457394999999998E-2</v>
      </c>
      <c r="V848" s="17">
        <f>IFERROR(Tabela1[[#This Row],[Total 2019]]/Tabela1[[#This Row],[Total 2018]]-1,0)</f>
        <v>0.31468232661110229</v>
      </c>
      <c r="W84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848" s="48"/>
      <c r="Y848" s="19"/>
      <c r="Z848" s="68"/>
    </row>
    <row r="849" spans="3:26" x14ac:dyDescent="0.35">
      <c r="C849" s="11" t="s">
        <v>2702</v>
      </c>
      <c r="D849" s="12" t="s">
        <v>2699</v>
      </c>
      <c r="E849" s="12">
        <v>828</v>
      </c>
      <c r="F849" s="13" t="s">
        <v>2275</v>
      </c>
      <c r="G849" s="14">
        <v>3</v>
      </c>
      <c r="H849" s="14" t="s">
        <v>1373</v>
      </c>
      <c r="I849" s="13">
        <v>28</v>
      </c>
      <c r="J849" s="15" t="s">
        <v>1427</v>
      </c>
      <c r="K849" s="15" t="s">
        <v>2710</v>
      </c>
      <c r="L849" s="16">
        <v>5403.5049999999992</v>
      </c>
      <c r="M849" s="16">
        <v>4762.8155000000006</v>
      </c>
      <c r="N849" s="16"/>
      <c r="O849" s="16"/>
      <c r="P849" s="16"/>
      <c r="Q849" s="16">
        <f>SUM(Tabela1[[#This Row],[201805]:[201807]])</f>
        <v>10166.3205</v>
      </c>
      <c r="R849" s="16">
        <f>SUM(Tabela1[[#This Row],[201905]:[201906]])</f>
        <v>0</v>
      </c>
      <c r="S849" s="16">
        <v>100000</v>
      </c>
      <c r="T849" s="16">
        <f>Tabela1[[#This Row],[Total 2019]]-Tabela1[[#This Row],[Total 2018]]</f>
        <v>-10166.3205</v>
      </c>
      <c r="U849" s="40">
        <f>Tabela1[[#This Row],[Total 2019]]/Tabela1[[#This Row],[Meta]]</f>
        <v>0</v>
      </c>
      <c r="V849" s="17">
        <f>IFERROR(Tabela1[[#This Row],[Total 2019]]/Tabela1[[#This Row],[Total 2018]]-1,0)</f>
        <v>-1</v>
      </c>
      <c r="W84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49" s="48"/>
      <c r="Y849" s="19"/>
      <c r="Z849" s="68"/>
    </row>
    <row r="850" spans="3:26" x14ac:dyDescent="0.35">
      <c r="C850" s="11" t="s">
        <v>2703</v>
      </c>
      <c r="D850" s="12" t="s">
        <v>2700</v>
      </c>
      <c r="E850" s="12">
        <v>829</v>
      </c>
      <c r="F850" s="13" t="s">
        <v>2276</v>
      </c>
      <c r="G850" s="14">
        <v>1</v>
      </c>
      <c r="H850" s="14" t="s">
        <v>1372</v>
      </c>
      <c r="I850" s="13">
        <v>16</v>
      </c>
      <c r="J850" s="15" t="s">
        <v>1415</v>
      </c>
      <c r="K850" s="15" t="s">
        <v>2708</v>
      </c>
      <c r="L850" s="16">
        <v>2525.5654999999997</v>
      </c>
      <c r="M850" s="16">
        <v>4908.3174999999992</v>
      </c>
      <c r="N850" s="16">
        <v>1164.1394999999998</v>
      </c>
      <c r="O850" s="16">
        <v>3418.3564999999999</v>
      </c>
      <c r="P850" s="16">
        <v>2279.9809999999998</v>
      </c>
      <c r="Q850" s="16">
        <f>SUM(Tabela1[[#This Row],[201805]:[201807]])</f>
        <v>8598.0224999999991</v>
      </c>
      <c r="R850" s="16">
        <f>SUM(Tabela1[[#This Row],[201905]:[201906]])</f>
        <v>5698.3374999999996</v>
      </c>
      <c r="S850" s="16">
        <v>100000</v>
      </c>
      <c r="T850" s="16">
        <f>Tabela1[[#This Row],[Total 2019]]-Tabela1[[#This Row],[Total 2018]]</f>
        <v>-2899.6849999999995</v>
      </c>
      <c r="U850" s="40">
        <f>Tabela1[[#This Row],[Total 2019]]/Tabela1[[#This Row],[Meta]]</f>
        <v>5.6983374999999996E-2</v>
      </c>
      <c r="V850" s="17">
        <f>IFERROR(Tabela1[[#This Row],[Total 2019]]/Tabela1[[#This Row],[Total 2018]]-1,0)</f>
        <v>-0.33725022236217683</v>
      </c>
      <c r="W85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850" s="48"/>
      <c r="Y850" s="19"/>
      <c r="Z850" s="68"/>
    </row>
    <row r="851" spans="3:26" x14ac:dyDescent="0.35">
      <c r="C851" s="11" t="s">
        <v>2704</v>
      </c>
      <c r="D851" s="12" t="s">
        <v>2700</v>
      </c>
      <c r="E851" s="12">
        <v>830</v>
      </c>
      <c r="F851" s="13" t="s">
        <v>2277</v>
      </c>
      <c r="G851" s="14">
        <v>3</v>
      </c>
      <c r="H851" s="14" t="s">
        <v>1372</v>
      </c>
      <c r="I851" s="13">
        <v>21</v>
      </c>
      <c r="J851" s="15" t="s">
        <v>1420</v>
      </c>
      <c r="K851" s="15" t="s">
        <v>2708</v>
      </c>
      <c r="L851" s="16"/>
      <c r="M851" s="16"/>
      <c r="N851" s="16"/>
      <c r="O851" s="16">
        <v>4669.8485000000001</v>
      </c>
      <c r="P851" s="16"/>
      <c r="Q851" s="16">
        <f>SUM(Tabela1[[#This Row],[201805]:[201807]])</f>
        <v>0</v>
      </c>
      <c r="R851" s="16">
        <f>SUM(Tabela1[[#This Row],[201905]:[201906]])</f>
        <v>4669.8485000000001</v>
      </c>
      <c r="S851" s="16">
        <v>100000</v>
      </c>
      <c r="T851" s="16">
        <f>Tabela1[[#This Row],[Total 2019]]-Tabela1[[#This Row],[Total 2018]]</f>
        <v>4669.8485000000001</v>
      </c>
      <c r="U851" s="40">
        <f>Tabela1[[#This Row],[Total 2019]]/Tabela1[[#This Row],[Meta]]</f>
        <v>4.6698484999999998E-2</v>
      </c>
      <c r="V851" s="17">
        <f>IFERROR(Tabela1[[#This Row],[Total 2019]]/Tabela1[[#This Row],[Total 2018]]-1,0)</f>
        <v>0</v>
      </c>
      <c r="W85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851" s="48"/>
      <c r="Y851" s="19"/>
      <c r="Z851" s="68"/>
    </row>
    <row r="852" spans="3:26" x14ac:dyDescent="0.35">
      <c r="C852" s="11" t="s">
        <v>2702</v>
      </c>
      <c r="D852" s="12" t="s">
        <v>2699</v>
      </c>
      <c r="E852" s="12">
        <v>831</v>
      </c>
      <c r="F852" s="13" t="s">
        <v>2278</v>
      </c>
      <c r="G852" s="14">
        <v>3</v>
      </c>
      <c r="H852" s="14" t="s">
        <v>1372</v>
      </c>
      <c r="I852" s="13">
        <v>10</v>
      </c>
      <c r="J852" s="15" t="s">
        <v>1409</v>
      </c>
      <c r="K852" s="15" t="s">
        <v>2708</v>
      </c>
      <c r="L852" s="16">
        <v>1817.2739999999999</v>
      </c>
      <c r="M852" s="16">
        <v>3817.2804999999998</v>
      </c>
      <c r="N852" s="16">
        <v>1682.7539999999999</v>
      </c>
      <c r="O852" s="16"/>
      <c r="P852" s="16"/>
      <c r="Q852" s="16">
        <f>SUM(Tabela1[[#This Row],[201805]:[201807]])</f>
        <v>7317.3085000000001</v>
      </c>
      <c r="R852" s="16">
        <f>SUM(Tabela1[[#This Row],[201905]:[201906]])</f>
        <v>0</v>
      </c>
      <c r="S852" s="16">
        <v>100000</v>
      </c>
      <c r="T852" s="16">
        <f>Tabela1[[#This Row],[Total 2019]]-Tabela1[[#This Row],[Total 2018]]</f>
        <v>-7317.3085000000001</v>
      </c>
      <c r="U852" s="40">
        <f>Tabela1[[#This Row],[Total 2019]]/Tabela1[[#This Row],[Meta]]</f>
        <v>0</v>
      </c>
      <c r="V852" s="17">
        <f>IFERROR(Tabela1[[#This Row],[Total 2019]]/Tabela1[[#This Row],[Total 2018]]-1,0)</f>
        <v>-1</v>
      </c>
      <c r="W85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52" s="48"/>
      <c r="Y852" s="19"/>
      <c r="Z852" s="68"/>
    </row>
    <row r="853" spans="3:26" x14ac:dyDescent="0.35">
      <c r="C853" s="11" t="s">
        <v>2704</v>
      </c>
      <c r="D853" s="12" t="s">
        <v>2698</v>
      </c>
      <c r="E853" s="12">
        <v>832</v>
      </c>
      <c r="F853" s="13" t="s">
        <v>2279</v>
      </c>
      <c r="G853" s="14">
        <v>2</v>
      </c>
      <c r="H853" s="14" t="s">
        <v>1372</v>
      </c>
      <c r="I853" s="13">
        <v>6</v>
      </c>
      <c r="J853" s="15" t="s">
        <v>1405</v>
      </c>
      <c r="K853" s="15" t="s">
        <v>2708</v>
      </c>
      <c r="L853" s="16"/>
      <c r="M853" s="16"/>
      <c r="N853" s="16"/>
      <c r="O853" s="16">
        <v>708.6049999999999</v>
      </c>
      <c r="P853" s="16"/>
      <c r="Q853" s="16">
        <f>SUM(Tabela1[[#This Row],[201805]:[201807]])</f>
        <v>0</v>
      </c>
      <c r="R853" s="16">
        <f>SUM(Tabela1[[#This Row],[201905]:[201906]])</f>
        <v>708.6049999999999</v>
      </c>
      <c r="S853" s="16">
        <v>100000</v>
      </c>
      <c r="T853" s="16">
        <f>Tabela1[[#This Row],[Total 2019]]-Tabela1[[#This Row],[Total 2018]]</f>
        <v>708.6049999999999</v>
      </c>
      <c r="U853" s="40">
        <f>Tabela1[[#This Row],[Total 2019]]/Tabela1[[#This Row],[Meta]]</f>
        <v>7.0860499999999991E-3</v>
      </c>
      <c r="V853" s="17">
        <f>IFERROR(Tabela1[[#This Row],[Total 2019]]/Tabela1[[#This Row],[Total 2018]]-1,0)</f>
        <v>0</v>
      </c>
      <c r="W85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853" s="48"/>
      <c r="Y853" s="19"/>
      <c r="Z853" s="68"/>
    </row>
    <row r="854" spans="3:26" x14ac:dyDescent="0.35">
      <c r="C854" s="11" t="s">
        <v>2703</v>
      </c>
      <c r="D854" s="12" t="s">
        <v>2700</v>
      </c>
      <c r="E854" s="12">
        <v>833</v>
      </c>
      <c r="F854" s="13" t="s">
        <v>2280</v>
      </c>
      <c r="G854" s="14">
        <v>3</v>
      </c>
      <c r="H854" s="14" t="s">
        <v>1370</v>
      </c>
      <c r="I854" s="13">
        <v>8</v>
      </c>
      <c r="J854" s="15" t="s">
        <v>1407</v>
      </c>
      <c r="K854" s="15" t="s">
        <v>2706</v>
      </c>
      <c r="L854" s="16">
        <v>1047.4699999999998</v>
      </c>
      <c r="M854" s="16">
        <v>1581.5695000000001</v>
      </c>
      <c r="N854" s="16"/>
      <c r="O854" s="16">
        <v>7505.1899999999987</v>
      </c>
      <c r="P854" s="16">
        <v>4978.6459999999997</v>
      </c>
      <c r="Q854" s="16">
        <f>SUM(Tabela1[[#This Row],[201805]:[201807]])</f>
        <v>2629.0394999999999</v>
      </c>
      <c r="R854" s="16">
        <f>SUM(Tabela1[[#This Row],[201905]:[201906]])</f>
        <v>12483.835999999999</v>
      </c>
      <c r="S854" s="16">
        <v>100000</v>
      </c>
      <c r="T854" s="16">
        <f>Tabela1[[#This Row],[Total 2019]]-Tabela1[[#This Row],[Total 2018]]</f>
        <v>9854.7965000000004</v>
      </c>
      <c r="U854" s="40">
        <f>Tabela1[[#This Row],[Total 2019]]/Tabela1[[#This Row],[Meta]]</f>
        <v>0.12483836</v>
      </c>
      <c r="V854" s="17">
        <f>IFERROR(Tabela1[[#This Row],[Total 2019]]/Tabela1[[#This Row],[Total 2018]]-1,0)</f>
        <v>3.748439876996903</v>
      </c>
      <c r="W85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854" s="48"/>
      <c r="Y854" s="19"/>
      <c r="Z854" s="68"/>
    </row>
    <row r="855" spans="3:26" x14ac:dyDescent="0.35">
      <c r="C855" s="11" t="s">
        <v>2703</v>
      </c>
      <c r="D855" s="12" t="s">
        <v>2698</v>
      </c>
      <c r="E855" s="12">
        <v>834</v>
      </c>
      <c r="F855" s="13" t="s">
        <v>2281</v>
      </c>
      <c r="G855" s="14">
        <v>1</v>
      </c>
      <c r="H855" s="14" t="s">
        <v>1370</v>
      </c>
      <c r="I855" s="13">
        <v>15</v>
      </c>
      <c r="J855" s="15" t="s">
        <v>1414</v>
      </c>
      <c r="K855" s="15" t="s">
        <v>2706</v>
      </c>
      <c r="L855" s="16">
        <v>2646.6144999999997</v>
      </c>
      <c r="M855" s="16">
        <v>2401.6284999999998</v>
      </c>
      <c r="N855" s="16">
        <v>2715.5084999999999</v>
      </c>
      <c r="O855" s="16">
        <v>4554.0435000000007</v>
      </c>
      <c r="P855" s="16">
        <v>4115.8559999999998</v>
      </c>
      <c r="Q855" s="16">
        <f>SUM(Tabela1[[#This Row],[201805]:[201807]])</f>
        <v>7763.7514999999994</v>
      </c>
      <c r="R855" s="16">
        <f>SUM(Tabela1[[#This Row],[201905]:[201906]])</f>
        <v>8669.8994999999995</v>
      </c>
      <c r="S855" s="16">
        <v>100000</v>
      </c>
      <c r="T855" s="16">
        <f>Tabela1[[#This Row],[Total 2019]]-Tabela1[[#This Row],[Total 2018]]</f>
        <v>906.14800000000014</v>
      </c>
      <c r="U855" s="40">
        <f>Tabela1[[#This Row],[Total 2019]]/Tabela1[[#This Row],[Meta]]</f>
        <v>8.6698995000000001E-2</v>
      </c>
      <c r="V855" s="17">
        <f>IFERROR(Tabela1[[#This Row],[Total 2019]]/Tabela1[[#This Row],[Total 2018]]-1,0)</f>
        <v>0.11671522459213191</v>
      </c>
      <c r="W85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855" s="48"/>
      <c r="Y855" s="19"/>
      <c r="Z855" s="68"/>
    </row>
    <row r="856" spans="3:26" x14ac:dyDescent="0.35">
      <c r="C856" s="11" t="s">
        <v>2702</v>
      </c>
      <c r="D856" s="12" t="s">
        <v>2699</v>
      </c>
      <c r="E856" s="12">
        <v>835</v>
      </c>
      <c r="F856" s="13" t="s">
        <v>2282</v>
      </c>
      <c r="G856" s="14">
        <v>2</v>
      </c>
      <c r="H856" s="14" t="s">
        <v>1370</v>
      </c>
      <c r="I856" s="13">
        <v>19</v>
      </c>
      <c r="J856" s="15" t="s">
        <v>1418</v>
      </c>
      <c r="K856" s="15" t="s">
        <v>2706</v>
      </c>
      <c r="L856" s="16"/>
      <c r="M856" s="16"/>
      <c r="N856" s="16"/>
      <c r="O856" s="16">
        <v>11726.724000000002</v>
      </c>
      <c r="P856" s="16"/>
      <c r="Q856" s="16">
        <f>SUM(Tabela1[[#This Row],[201805]:[201807]])</f>
        <v>0</v>
      </c>
      <c r="R856" s="16">
        <f>SUM(Tabela1[[#This Row],[201905]:[201906]])</f>
        <v>11726.724000000002</v>
      </c>
      <c r="S856" s="16">
        <v>100000</v>
      </c>
      <c r="T856" s="16">
        <f>Tabela1[[#This Row],[Total 2019]]-Tabela1[[#This Row],[Total 2018]]</f>
        <v>11726.724000000002</v>
      </c>
      <c r="U856" s="40">
        <f>Tabela1[[#This Row],[Total 2019]]/Tabela1[[#This Row],[Meta]]</f>
        <v>0.11726724000000002</v>
      </c>
      <c r="V856" s="17">
        <f>IFERROR(Tabela1[[#This Row],[Total 2019]]/Tabela1[[#This Row],[Total 2018]]-1,0)</f>
        <v>0</v>
      </c>
      <c r="W85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856" s="48"/>
      <c r="Y856" s="19"/>
      <c r="Z856" s="68"/>
    </row>
    <row r="857" spans="3:26" x14ac:dyDescent="0.35">
      <c r="C857" s="11" t="s">
        <v>2702</v>
      </c>
      <c r="D857" s="12" t="s">
        <v>2699</v>
      </c>
      <c r="E857" s="12">
        <v>836</v>
      </c>
      <c r="F857" s="13" t="s">
        <v>2283</v>
      </c>
      <c r="G857" s="14">
        <v>2</v>
      </c>
      <c r="H857" s="14" t="s">
        <v>1372</v>
      </c>
      <c r="I857" s="13">
        <v>23</v>
      </c>
      <c r="J857" s="15" t="s">
        <v>1422</v>
      </c>
      <c r="K857" s="15" t="s">
        <v>2708</v>
      </c>
      <c r="L857" s="16"/>
      <c r="M857" s="16">
        <v>2166.2565</v>
      </c>
      <c r="N857" s="16"/>
      <c r="O857" s="16"/>
      <c r="P857" s="16"/>
      <c r="Q857" s="16">
        <f>SUM(Tabela1[[#This Row],[201805]:[201807]])</f>
        <v>2166.2565</v>
      </c>
      <c r="R857" s="16">
        <f>SUM(Tabela1[[#This Row],[201905]:[201906]])</f>
        <v>0</v>
      </c>
      <c r="S857" s="16">
        <v>100000</v>
      </c>
      <c r="T857" s="16">
        <f>Tabela1[[#This Row],[Total 2019]]-Tabela1[[#This Row],[Total 2018]]</f>
        <v>-2166.2565</v>
      </c>
      <c r="U857" s="40">
        <f>Tabela1[[#This Row],[Total 2019]]/Tabela1[[#This Row],[Meta]]</f>
        <v>0</v>
      </c>
      <c r="V857" s="17">
        <f>IFERROR(Tabela1[[#This Row],[Total 2019]]/Tabela1[[#This Row],[Total 2018]]-1,0)</f>
        <v>-1</v>
      </c>
      <c r="W85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57" s="48"/>
      <c r="Y857" s="19"/>
      <c r="Z857" s="68"/>
    </row>
    <row r="858" spans="3:26" x14ac:dyDescent="0.35">
      <c r="C858" s="11" t="s">
        <v>2704</v>
      </c>
      <c r="D858" s="12" t="s">
        <v>2699</v>
      </c>
      <c r="E858" s="12">
        <v>837</v>
      </c>
      <c r="F858" s="13" t="s">
        <v>2284</v>
      </c>
      <c r="G858" s="14">
        <v>2</v>
      </c>
      <c r="H858" s="14" t="s">
        <v>1370</v>
      </c>
      <c r="I858" s="13">
        <v>8</v>
      </c>
      <c r="J858" s="15" t="s">
        <v>1407</v>
      </c>
      <c r="K858" s="15" t="s">
        <v>2706</v>
      </c>
      <c r="L858" s="16">
        <v>8259.0909999999985</v>
      </c>
      <c r="M858" s="16">
        <v>5854.7549999999992</v>
      </c>
      <c r="N858" s="16"/>
      <c r="O858" s="16"/>
      <c r="P858" s="16"/>
      <c r="Q858" s="16">
        <f>SUM(Tabela1[[#This Row],[201805]:[201807]])</f>
        <v>14113.845999999998</v>
      </c>
      <c r="R858" s="16">
        <f>SUM(Tabela1[[#This Row],[201905]:[201906]])</f>
        <v>0</v>
      </c>
      <c r="S858" s="16">
        <v>100000</v>
      </c>
      <c r="T858" s="16">
        <f>Tabela1[[#This Row],[Total 2019]]-Tabela1[[#This Row],[Total 2018]]</f>
        <v>-14113.845999999998</v>
      </c>
      <c r="U858" s="40">
        <f>Tabela1[[#This Row],[Total 2019]]/Tabela1[[#This Row],[Meta]]</f>
        <v>0</v>
      </c>
      <c r="V858" s="17">
        <f>IFERROR(Tabela1[[#This Row],[Total 2019]]/Tabela1[[#This Row],[Total 2018]]-1,0)</f>
        <v>-1</v>
      </c>
      <c r="W85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58" s="48"/>
      <c r="Y858" s="19"/>
      <c r="Z858" s="68"/>
    </row>
    <row r="859" spans="3:26" x14ac:dyDescent="0.35">
      <c r="C859" s="11" t="s">
        <v>2703</v>
      </c>
      <c r="D859" s="12" t="s">
        <v>2700</v>
      </c>
      <c r="E859" s="12">
        <v>838</v>
      </c>
      <c r="F859" s="13" t="s">
        <v>2285</v>
      </c>
      <c r="G859" s="14">
        <v>3</v>
      </c>
      <c r="H859" s="14" t="s">
        <v>1372</v>
      </c>
      <c r="I859" s="13">
        <v>20</v>
      </c>
      <c r="J859" s="15" t="s">
        <v>1419</v>
      </c>
      <c r="K859" s="15" t="s">
        <v>2708</v>
      </c>
      <c r="L859" s="16">
        <v>1827.306</v>
      </c>
      <c r="M859" s="16">
        <v>4223.4814999999999</v>
      </c>
      <c r="N859" s="16"/>
      <c r="O859" s="16"/>
      <c r="P859" s="16"/>
      <c r="Q859" s="16">
        <f>SUM(Tabela1[[#This Row],[201805]:[201807]])</f>
        <v>6050.7875000000004</v>
      </c>
      <c r="R859" s="16">
        <f>SUM(Tabela1[[#This Row],[201905]:[201906]])</f>
        <v>0</v>
      </c>
      <c r="S859" s="16">
        <v>100000</v>
      </c>
      <c r="T859" s="16">
        <f>Tabela1[[#This Row],[Total 2019]]-Tabela1[[#This Row],[Total 2018]]</f>
        <v>-6050.7875000000004</v>
      </c>
      <c r="U859" s="40">
        <f>Tabela1[[#This Row],[Total 2019]]/Tabela1[[#This Row],[Meta]]</f>
        <v>0</v>
      </c>
      <c r="V859" s="17">
        <f>IFERROR(Tabela1[[#This Row],[Total 2019]]/Tabela1[[#This Row],[Total 2018]]-1,0)</f>
        <v>-1</v>
      </c>
      <c r="W85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59" s="48"/>
      <c r="Y859" s="19"/>
      <c r="Z859" s="68"/>
    </row>
    <row r="860" spans="3:26" x14ac:dyDescent="0.35">
      <c r="C860" s="11" t="s">
        <v>2703</v>
      </c>
      <c r="D860" s="12" t="s">
        <v>2699</v>
      </c>
      <c r="E860" s="12">
        <v>839</v>
      </c>
      <c r="F860" s="13" t="s">
        <v>2286</v>
      </c>
      <c r="G860" s="14">
        <v>3</v>
      </c>
      <c r="H860" s="14" t="s">
        <v>1372</v>
      </c>
      <c r="I860" s="13">
        <v>6</v>
      </c>
      <c r="J860" s="15" t="s">
        <v>1405</v>
      </c>
      <c r="K860" s="15" t="s">
        <v>2708</v>
      </c>
      <c r="L860" s="16">
        <v>1746.29</v>
      </c>
      <c r="M860" s="16">
        <v>2923.0834999999997</v>
      </c>
      <c r="N860" s="16">
        <v>570.48450000000003</v>
      </c>
      <c r="O860" s="16"/>
      <c r="P860" s="16"/>
      <c r="Q860" s="16">
        <f>SUM(Tabela1[[#This Row],[201805]:[201807]])</f>
        <v>5239.8580000000002</v>
      </c>
      <c r="R860" s="16">
        <f>SUM(Tabela1[[#This Row],[201905]:[201906]])</f>
        <v>0</v>
      </c>
      <c r="S860" s="16">
        <v>100000</v>
      </c>
      <c r="T860" s="16">
        <f>Tabela1[[#This Row],[Total 2019]]-Tabela1[[#This Row],[Total 2018]]</f>
        <v>-5239.8580000000002</v>
      </c>
      <c r="U860" s="40">
        <f>Tabela1[[#This Row],[Total 2019]]/Tabela1[[#This Row],[Meta]]</f>
        <v>0</v>
      </c>
      <c r="V860" s="17">
        <f>IFERROR(Tabela1[[#This Row],[Total 2019]]/Tabela1[[#This Row],[Total 2018]]-1,0)</f>
        <v>-1</v>
      </c>
      <c r="W86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60" s="48"/>
      <c r="Y860" s="19"/>
      <c r="Z860" s="68"/>
    </row>
    <row r="861" spans="3:26" x14ac:dyDescent="0.35">
      <c r="C861" s="11" t="s">
        <v>2704</v>
      </c>
      <c r="D861" s="12" t="s">
        <v>2699</v>
      </c>
      <c r="E861" s="12">
        <v>840</v>
      </c>
      <c r="F861" s="13" t="s">
        <v>2287</v>
      </c>
      <c r="G861" s="14">
        <v>1</v>
      </c>
      <c r="H861" s="14" t="s">
        <v>1372</v>
      </c>
      <c r="I861" s="13">
        <v>20</v>
      </c>
      <c r="J861" s="15" t="s">
        <v>1419</v>
      </c>
      <c r="K861" s="15" t="s">
        <v>2708</v>
      </c>
      <c r="L861" s="16">
        <v>1090.1914999999999</v>
      </c>
      <c r="M861" s="16"/>
      <c r="N861" s="16"/>
      <c r="O861" s="16"/>
      <c r="P861" s="16"/>
      <c r="Q861" s="16">
        <f>SUM(Tabela1[[#This Row],[201805]:[201807]])</f>
        <v>1090.1914999999999</v>
      </c>
      <c r="R861" s="16">
        <f>SUM(Tabela1[[#This Row],[201905]:[201906]])</f>
        <v>0</v>
      </c>
      <c r="S861" s="16">
        <v>100000</v>
      </c>
      <c r="T861" s="16">
        <f>Tabela1[[#This Row],[Total 2019]]-Tabela1[[#This Row],[Total 2018]]</f>
        <v>-1090.1914999999999</v>
      </c>
      <c r="U861" s="40">
        <f>Tabela1[[#This Row],[Total 2019]]/Tabela1[[#This Row],[Meta]]</f>
        <v>0</v>
      </c>
      <c r="V861" s="17">
        <f>IFERROR(Tabela1[[#This Row],[Total 2019]]/Tabela1[[#This Row],[Total 2018]]-1,0)</f>
        <v>-1</v>
      </c>
      <c r="W86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61" s="48"/>
      <c r="Y861" s="19"/>
      <c r="Z861" s="68"/>
    </row>
    <row r="862" spans="3:26" x14ac:dyDescent="0.35">
      <c r="C862" s="11" t="s">
        <v>2703</v>
      </c>
      <c r="D862" s="12" t="s">
        <v>2700</v>
      </c>
      <c r="E862" s="12">
        <v>841</v>
      </c>
      <c r="F862" s="13" t="s">
        <v>2288</v>
      </c>
      <c r="G862" s="14">
        <v>3</v>
      </c>
      <c r="H862" s="14" t="s">
        <v>1370</v>
      </c>
      <c r="I862" s="13">
        <v>8</v>
      </c>
      <c r="J862" s="15" t="s">
        <v>1407</v>
      </c>
      <c r="K862" s="15" t="s">
        <v>2706</v>
      </c>
      <c r="L862" s="16">
        <v>2464.1005</v>
      </c>
      <c r="M862" s="16">
        <v>1049.4175</v>
      </c>
      <c r="N862" s="16"/>
      <c r="O862" s="16"/>
      <c r="P862" s="16"/>
      <c r="Q862" s="16">
        <f>SUM(Tabela1[[#This Row],[201805]:[201807]])</f>
        <v>3513.518</v>
      </c>
      <c r="R862" s="16">
        <f>SUM(Tabela1[[#This Row],[201905]:[201906]])</f>
        <v>0</v>
      </c>
      <c r="S862" s="16">
        <v>100000</v>
      </c>
      <c r="T862" s="16">
        <f>Tabela1[[#This Row],[Total 2019]]-Tabela1[[#This Row],[Total 2018]]</f>
        <v>-3513.518</v>
      </c>
      <c r="U862" s="40">
        <f>Tabela1[[#This Row],[Total 2019]]/Tabela1[[#This Row],[Meta]]</f>
        <v>0</v>
      </c>
      <c r="V862" s="17">
        <f>IFERROR(Tabela1[[#This Row],[Total 2019]]/Tabela1[[#This Row],[Total 2018]]-1,0)</f>
        <v>-1</v>
      </c>
      <c r="W86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62" s="48"/>
      <c r="Y862" s="19"/>
      <c r="Z862" s="68"/>
    </row>
    <row r="863" spans="3:26" x14ac:dyDescent="0.35">
      <c r="C863" s="11" t="s">
        <v>2702</v>
      </c>
      <c r="D863" s="12" t="s">
        <v>2698</v>
      </c>
      <c r="E863" s="12">
        <v>842</v>
      </c>
      <c r="F863" s="13" t="s">
        <v>2289</v>
      </c>
      <c r="G863" s="14">
        <v>3</v>
      </c>
      <c r="H863" s="14" t="s">
        <v>1370</v>
      </c>
      <c r="I863" s="13">
        <v>3</v>
      </c>
      <c r="J863" s="15" t="s">
        <v>1402</v>
      </c>
      <c r="K863" s="15" t="s">
        <v>2706</v>
      </c>
      <c r="L863" s="16"/>
      <c r="M863" s="16">
        <v>963.8415</v>
      </c>
      <c r="N863" s="16"/>
      <c r="O863" s="16"/>
      <c r="P863" s="16"/>
      <c r="Q863" s="16">
        <f>SUM(Tabela1[[#This Row],[201805]:[201807]])</f>
        <v>963.8415</v>
      </c>
      <c r="R863" s="16">
        <f>SUM(Tabela1[[#This Row],[201905]:[201906]])</f>
        <v>0</v>
      </c>
      <c r="S863" s="16">
        <v>100000</v>
      </c>
      <c r="T863" s="16">
        <f>Tabela1[[#This Row],[Total 2019]]-Tabela1[[#This Row],[Total 2018]]</f>
        <v>-963.8415</v>
      </c>
      <c r="U863" s="40">
        <f>Tabela1[[#This Row],[Total 2019]]/Tabela1[[#This Row],[Meta]]</f>
        <v>0</v>
      </c>
      <c r="V863" s="17">
        <f>IFERROR(Tabela1[[#This Row],[Total 2019]]/Tabela1[[#This Row],[Total 2018]]-1,0)</f>
        <v>-1</v>
      </c>
      <c r="W86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63" s="48"/>
      <c r="Y863" s="19"/>
      <c r="Z863" s="68"/>
    </row>
    <row r="864" spans="3:26" x14ac:dyDescent="0.35">
      <c r="C864" s="11" t="s">
        <v>2703</v>
      </c>
      <c r="D864" s="12" t="s">
        <v>2698</v>
      </c>
      <c r="E864" s="12">
        <v>843</v>
      </c>
      <c r="F864" s="13" t="s">
        <v>2290</v>
      </c>
      <c r="G864" s="14">
        <v>2</v>
      </c>
      <c r="H864" s="14" t="s">
        <v>1372</v>
      </c>
      <c r="I864" s="13">
        <v>25</v>
      </c>
      <c r="J864" s="15" t="s">
        <v>1424</v>
      </c>
      <c r="K864" s="15" t="s">
        <v>2708</v>
      </c>
      <c r="L864" s="16"/>
      <c r="M864" s="16"/>
      <c r="N864" s="16"/>
      <c r="O864" s="16">
        <v>1604.7114999999999</v>
      </c>
      <c r="P864" s="16">
        <v>1630.4564999999998</v>
      </c>
      <c r="Q864" s="16">
        <f>SUM(Tabela1[[#This Row],[201805]:[201807]])</f>
        <v>0</v>
      </c>
      <c r="R864" s="16">
        <f>SUM(Tabela1[[#This Row],[201905]:[201906]])</f>
        <v>3235.1679999999997</v>
      </c>
      <c r="S864" s="16">
        <v>100000</v>
      </c>
      <c r="T864" s="16">
        <f>Tabela1[[#This Row],[Total 2019]]-Tabela1[[#This Row],[Total 2018]]</f>
        <v>3235.1679999999997</v>
      </c>
      <c r="U864" s="40">
        <f>Tabela1[[#This Row],[Total 2019]]/Tabela1[[#This Row],[Meta]]</f>
        <v>3.2351679999999994E-2</v>
      </c>
      <c r="V864" s="17">
        <f>IFERROR(Tabela1[[#This Row],[Total 2019]]/Tabela1[[#This Row],[Total 2018]]-1,0)</f>
        <v>0</v>
      </c>
      <c r="W86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864" s="48"/>
      <c r="Y864" s="19"/>
      <c r="Z864" s="68"/>
    </row>
    <row r="865" spans="3:26" x14ac:dyDescent="0.35">
      <c r="C865" s="11" t="s">
        <v>2703</v>
      </c>
      <c r="D865" s="12" t="s">
        <v>2698</v>
      </c>
      <c r="E865" s="12">
        <v>844</v>
      </c>
      <c r="F865" s="13" t="s">
        <v>2291</v>
      </c>
      <c r="G865" s="14">
        <v>3</v>
      </c>
      <c r="H865" s="14" t="s">
        <v>1371</v>
      </c>
      <c r="I865" s="13">
        <v>14</v>
      </c>
      <c r="J865" s="15" t="s">
        <v>1413</v>
      </c>
      <c r="K865" s="15" t="s">
        <v>2707</v>
      </c>
      <c r="L865" s="16"/>
      <c r="M865" s="16">
        <v>3729.643</v>
      </c>
      <c r="N865" s="16"/>
      <c r="O865" s="16"/>
      <c r="P865" s="16"/>
      <c r="Q865" s="16">
        <f>SUM(Tabela1[[#This Row],[201805]:[201807]])</f>
        <v>3729.643</v>
      </c>
      <c r="R865" s="16">
        <f>SUM(Tabela1[[#This Row],[201905]:[201906]])</f>
        <v>0</v>
      </c>
      <c r="S865" s="16">
        <v>100000</v>
      </c>
      <c r="T865" s="16">
        <f>Tabela1[[#This Row],[Total 2019]]-Tabela1[[#This Row],[Total 2018]]</f>
        <v>-3729.643</v>
      </c>
      <c r="U865" s="40">
        <f>Tabela1[[#This Row],[Total 2019]]/Tabela1[[#This Row],[Meta]]</f>
        <v>0</v>
      </c>
      <c r="V865" s="17">
        <f>IFERROR(Tabela1[[#This Row],[Total 2019]]/Tabela1[[#This Row],[Total 2018]]-1,0)</f>
        <v>-1</v>
      </c>
      <c r="W86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65" s="48"/>
      <c r="Y865" s="19"/>
      <c r="Z865" s="68"/>
    </row>
    <row r="866" spans="3:26" x14ac:dyDescent="0.35">
      <c r="C866" s="11" t="s">
        <v>2702</v>
      </c>
      <c r="D866" s="12" t="s">
        <v>2699</v>
      </c>
      <c r="E866" s="12">
        <v>845</v>
      </c>
      <c r="F866" s="13" t="s">
        <v>2292</v>
      </c>
      <c r="G866" s="14">
        <v>1</v>
      </c>
      <c r="H866" s="14" t="s">
        <v>1372</v>
      </c>
      <c r="I866" s="13">
        <v>6</v>
      </c>
      <c r="J866" s="15" t="s">
        <v>1405</v>
      </c>
      <c r="K866" s="15" t="s">
        <v>2708</v>
      </c>
      <c r="L866" s="16">
        <v>4426.0024999999996</v>
      </c>
      <c r="M866" s="16">
        <v>5819.9279999999999</v>
      </c>
      <c r="N866" s="16">
        <v>3180.2485000000001</v>
      </c>
      <c r="O866" s="16"/>
      <c r="P866" s="16"/>
      <c r="Q866" s="16">
        <f>SUM(Tabela1[[#This Row],[201805]:[201807]])</f>
        <v>13426.178999999998</v>
      </c>
      <c r="R866" s="16">
        <f>SUM(Tabela1[[#This Row],[201905]:[201906]])</f>
        <v>0</v>
      </c>
      <c r="S866" s="16">
        <v>100000</v>
      </c>
      <c r="T866" s="16">
        <f>Tabela1[[#This Row],[Total 2019]]-Tabela1[[#This Row],[Total 2018]]</f>
        <v>-13426.178999999998</v>
      </c>
      <c r="U866" s="40">
        <f>Tabela1[[#This Row],[Total 2019]]/Tabela1[[#This Row],[Meta]]</f>
        <v>0</v>
      </c>
      <c r="V866" s="17">
        <f>IFERROR(Tabela1[[#This Row],[Total 2019]]/Tabela1[[#This Row],[Total 2018]]-1,0)</f>
        <v>-1</v>
      </c>
      <c r="W86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66" s="48"/>
      <c r="Y866" s="19"/>
      <c r="Z866" s="68"/>
    </row>
    <row r="867" spans="3:26" x14ac:dyDescent="0.35">
      <c r="C867" s="11" t="s">
        <v>2703</v>
      </c>
      <c r="D867" s="12" t="s">
        <v>2699</v>
      </c>
      <c r="E867" s="12">
        <v>846</v>
      </c>
      <c r="F867" s="13" t="s">
        <v>2293</v>
      </c>
      <c r="G867" s="14">
        <v>3</v>
      </c>
      <c r="H867" s="14" t="s">
        <v>1372</v>
      </c>
      <c r="I867" s="13">
        <v>18</v>
      </c>
      <c r="J867" s="15" t="s">
        <v>1417</v>
      </c>
      <c r="K867" s="15" t="s">
        <v>2708</v>
      </c>
      <c r="L867" s="16">
        <v>2512.75</v>
      </c>
      <c r="M867" s="16">
        <v>4961.7264999999998</v>
      </c>
      <c r="N867" s="16"/>
      <c r="O867" s="16"/>
      <c r="P867" s="16"/>
      <c r="Q867" s="16">
        <f>SUM(Tabela1[[#This Row],[201805]:[201807]])</f>
        <v>7474.4764999999998</v>
      </c>
      <c r="R867" s="16">
        <f>SUM(Tabela1[[#This Row],[201905]:[201906]])</f>
        <v>0</v>
      </c>
      <c r="S867" s="16">
        <v>100000</v>
      </c>
      <c r="T867" s="16">
        <f>Tabela1[[#This Row],[Total 2019]]-Tabela1[[#This Row],[Total 2018]]</f>
        <v>-7474.4764999999998</v>
      </c>
      <c r="U867" s="40">
        <f>Tabela1[[#This Row],[Total 2019]]/Tabela1[[#This Row],[Meta]]</f>
        <v>0</v>
      </c>
      <c r="V867" s="17">
        <f>IFERROR(Tabela1[[#This Row],[Total 2019]]/Tabela1[[#This Row],[Total 2018]]-1,0)</f>
        <v>-1</v>
      </c>
      <c r="W86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67" s="48"/>
      <c r="Y867" s="19"/>
      <c r="Z867" s="68"/>
    </row>
    <row r="868" spans="3:26" x14ac:dyDescent="0.35">
      <c r="C868" s="11" t="s">
        <v>2702</v>
      </c>
      <c r="D868" s="12" t="s">
        <v>2698</v>
      </c>
      <c r="E868" s="12">
        <v>847</v>
      </c>
      <c r="F868" s="13" t="s">
        <v>2294</v>
      </c>
      <c r="G868" s="14">
        <v>3</v>
      </c>
      <c r="H868" s="14" t="s">
        <v>1372</v>
      </c>
      <c r="I868" s="13">
        <v>18</v>
      </c>
      <c r="J868" s="15" t="s">
        <v>1417</v>
      </c>
      <c r="K868" s="15" t="s">
        <v>2708</v>
      </c>
      <c r="L868" s="16">
        <v>3305.069</v>
      </c>
      <c r="M868" s="16">
        <v>2949.1990000000001</v>
      </c>
      <c r="N868" s="16"/>
      <c r="O868" s="16">
        <v>5067.2714999999998</v>
      </c>
      <c r="P868" s="16">
        <v>2116.3624999999997</v>
      </c>
      <c r="Q868" s="16">
        <f>SUM(Tabela1[[#This Row],[201805]:[201807]])</f>
        <v>6254.268</v>
      </c>
      <c r="R868" s="16">
        <f>SUM(Tabela1[[#This Row],[201905]:[201906]])</f>
        <v>7183.634</v>
      </c>
      <c r="S868" s="16">
        <v>100000</v>
      </c>
      <c r="T868" s="16">
        <f>Tabela1[[#This Row],[Total 2019]]-Tabela1[[#This Row],[Total 2018]]</f>
        <v>929.36599999999999</v>
      </c>
      <c r="U868" s="40">
        <f>Tabela1[[#This Row],[Total 2019]]/Tabela1[[#This Row],[Meta]]</f>
        <v>7.1836339999999999E-2</v>
      </c>
      <c r="V868" s="17">
        <f>IFERROR(Tabela1[[#This Row],[Total 2019]]/Tabela1[[#This Row],[Total 2018]]-1,0)</f>
        <v>0.14859708602189747</v>
      </c>
      <c r="W86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868" s="48"/>
      <c r="Y868" s="19"/>
      <c r="Z868" s="68"/>
    </row>
    <row r="869" spans="3:26" x14ac:dyDescent="0.35">
      <c r="C869" s="11" t="s">
        <v>2704</v>
      </c>
      <c r="D869" s="12" t="s">
        <v>2700</v>
      </c>
      <c r="E869" s="12">
        <v>848</v>
      </c>
      <c r="F869" s="13" t="s">
        <v>2295</v>
      </c>
      <c r="G869" s="14">
        <v>3</v>
      </c>
      <c r="H869" s="14" t="s">
        <v>1301</v>
      </c>
      <c r="I869" s="13">
        <v>28</v>
      </c>
      <c r="J869" s="15" t="s">
        <v>1427</v>
      </c>
      <c r="K869" s="15" t="s">
        <v>2710</v>
      </c>
      <c r="L869" s="16">
        <v>8200.9984999999997</v>
      </c>
      <c r="M869" s="16">
        <v>3945.2455</v>
      </c>
      <c r="N869" s="16"/>
      <c r="O869" s="16"/>
      <c r="P869" s="16"/>
      <c r="Q869" s="16">
        <f>SUM(Tabela1[[#This Row],[201805]:[201807]])</f>
        <v>12146.243999999999</v>
      </c>
      <c r="R869" s="16">
        <f>SUM(Tabela1[[#This Row],[201905]:[201906]])</f>
        <v>0</v>
      </c>
      <c r="S869" s="16">
        <v>100000</v>
      </c>
      <c r="T869" s="16">
        <f>Tabela1[[#This Row],[Total 2019]]-Tabela1[[#This Row],[Total 2018]]</f>
        <v>-12146.243999999999</v>
      </c>
      <c r="U869" s="40">
        <f>Tabela1[[#This Row],[Total 2019]]/Tabela1[[#This Row],[Meta]]</f>
        <v>0</v>
      </c>
      <c r="V869" s="17">
        <f>IFERROR(Tabela1[[#This Row],[Total 2019]]/Tabela1[[#This Row],[Total 2018]]-1,0)</f>
        <v>-1</v>
      </c>
      <c r="W86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69" s="48"/>
      <c r="Y869" s="19"/>
      <c r="Z869" s="68"/>
    </row>
    <row r="870" spans="3:26" x14ac:dyDescent="0.35">
      <c r="C870" s="11" t="s">
        <v>2702</v>
      </c>
      <c r="D870" s="12" t="s">
        <v>2700</v>
      </c>
      <c r="E870" s="12">
        <v>849</v>
      </c>
      <c r="F870" s="13" t="s">
        <v>2296</v>
      </c>
      <c r="G870" s="14">
        <v>2</v>
      </c>
      <c r="H870" s="14" t="s">
        <v>1370</v>
      </c>
      <c r="I870" s="13">
        <v>19</v>
      </c>
      <c r="J870" s="15" t="s">
        <v>1418</v>
      </c>
      <c r="K870" s="15" t="s">
        <v>2706</v>
      </c>
      <c r="L870" s="16">
        <v>35956.483499999995</v>
      </c>
      <c r="M870" s="16">
        <v>19618.516500000002</v>
      </c>
      <c r="N870" s="16"/>
      <c r="O870" s="16"/>
      <c r="P870" s="16"/>
      <c r="Q870" s="16">
        <f>SUM(Tabela1[[#This Row],[201805]:[201807]])</f>
        <v>55575</v>
      </c>
      <c r="R870" s="16">
        <f>SUM(Tabela1[[#This Row],[201905]:[201906]])</f>
        <v>0</v>
      </c>
      <c r="S870" s="16">
        <v>100000</v>
      </c>
      <c r="T870" s="16">
        <f>Tabela1[[#This Row],[Total 2019]]-Tabela1[[#This Row],[Total 2018]]</f>
        <v>-55575</v>
      </c>
      <c r="U870" s="40">
        <f>Tabela1[[#This Row],[Total 2019]]/Tabela1[[#This Row],[Meta]]</f>
        <v>0</v>
      </c>
      <c r="V870" s="17">
        <f>IFERROR(Tabela1[[#This Row],[Total 2019]]/Tabela1[[#This Row],[Total 2018]]-1,0)</f>
        <v>-1</v>
      </c>
      <c r="W87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70" s="48"/>
      <c r="Y870" s="19"/>
      <c r="Z870" s="68"/>
    </row>
    <row r="871" spans="3:26" x14ac:dyDescent="0.35">
      <c r="C871" s="11" t="s">
        <v>2702</v>
      </c>
      <c r="D871" s="12" t="s">
        <v>2699</v>
      </c>
      <c r="E871" s="12">
        <v>850</v>
      </c>
      <c r="F871" s="13" t="s">
        <v>2297</v>
      </c>
      <c r="G871" s="14">
        <v>2</v>
      </c>
      <c r="H871" s="14" t="s">
        <v>1372</v>
      </c>
      <c r="I871" s="13">
        <v>22</v>
      </c>
      <c r="J871" s="15" t="s">
        <v>1421</v>
      </c>
      <c r="K871" s="15" t="s">
        <v>2708</v>
      </c>
      <c r="L871" s="16">
        <v>2155.1129999999998</v>
      </c>
      <c r="M871" s="16">
        <v>308.88299999999998</v>
      </c>
      <c r="N871" s="16"/>
      <c r="O871" s="16"/>
      <c r="P871" s="16"/>
      <c r="Q871" s="16">
        <f>SUM(Tabela1[[#This Row],[201805]:[201807]])</f>
        <v>2463.9959999999996</v>
      </c>
      <c r="R871" s="16">
        <f>SUM(Tabela1[[#This Row],[201905]:[201906]])</f>
        <v>0</v>
      </c>
      <c r="S871" s="16">
        <v>100000</v>
      </c>
      <c r="T871" s="16">
        <f>Tabela1[[#This Row],[Total 2019]]-Tabela1[[#This Row],[Total 2018]]</f>
        <v>-2463.9959999999996</v>
      </c>
      <c r="U871" s="40">
        <f>Tabela1[[#This Row],[Total 2019]]/Tabela1[[#This Row],[Meta]]</f>
        <v>0</v>
      </c>
      <c r="V871" s="17">
        <f>IFERROR(Tabela1[[#This Row],[Total 2019]]/Tabela1[[#This Row],[Total 2018]]-1,0)</f>
        <v>-1</v>
      </c>
      <c r="W87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71" s="48"/>
      <c r="Y871" s="19"/>
      <c r="Z871" s="68"/>
    </row>
    <row r="872" spans="3:26" x14ac:dyDescent="0.35">
      <c r="C872" s="11" t="s">
        <v>2703</v>
      </c>
      <c r="D872" s="12" t="s">
        <v>2700</v>
      </c>
      <c r="E872" s="12">
        <v>851</v>
      </c>
      <c r="F872" s="13" t="s">
        <v>2298</v>
      </c>
      <c r="G872" s="14">
        <v>1</v>
      </c>
      <c r="H872" s="14" t="s">
        <v>1373</v>
      </c>
      <c r="I872" s="13">
        <v>35</v>
      </c>
      <c r="J872" s="15" t="s">
        <v>1434</v>
      </c>
      <c r="K872" s="15" t="s">
        <v>2710</v>
      </c>
      <c r="L872" s="16"/>
      <c r="M872" s="16">
        <v>6962.9299999999994</v>
      </c>
      <c r="N872" s="16"/>
      <c r="O872" s="16"/>
      <c r="P872" s="16"/>
      <c r="Q872" s="16">
        <f>SUM(Tabela1[[#This Row],[201805]:[201807]])</f>
        <v>6962.9299999999994</v>
      </c>
      <c r="R872" s="16">
        <f>SUM(Tabela1[[#This Row],[201905]:[201906]])</f>
        <v>0</v>
      </c>
      <c r="S872" s="16">
        <v>100000</v>
      </c>
      <c r="T872" s="16">
        <f>Tabela1[[#This Row],[Total 2019]]-Tabela1[[#This Row],[Total 2018]]</f>
        <v>-6962.9299999999994</v>
      </c>
      <c r="U872" s="40">
        <f>Tabela1[[#This Row],[Total 2019]]/Tabela1[[#This Row],[Meta]]</f>
        <v>0</v>
      </c>
      <c r="V872" s="17">
        <f>IFERROR(Tabela1[[#This Row],[Total 2019]]/Tabela1[[#This Row],[Total 2018]]-1,0)</f>
        <v>-1</v>
      </c>
      <c r="W87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72" s="48"/>
      <c r="Y872" s="19"/>
      <c r="Z872" s="68"/>
    </row>
    <row r="873" spans="3:26" x14ac:dyDescent="0.35">
      <c r="C873" s="11" t="s">
        <v>2703</v>
      </c>
      <c r="D873" s="12" t="s">
        <v>2699</v>
      </c>
      <c r="E873" s="12">
        <v>852</v>
      </c>
      <c r="F873" s="13" t="s">
        <v>2299</v>
      </c>
      <c r="G873" s="14">
        <v>2</v>
      </c>
      <c r="H873" s="14" t="s">
        <v>1372</v>
      </c>
      <c r="I873" s="13">
        <v>16</v>
      </c>
      <c r="J873" s="15" t="s">
        <v>1415</v>
      </c>
      <c r="K873" s="15" t="s">
        <v>2708</v>
      </c>
      <c r="L873" s="16"/>
      <c r="M873" s="16">
        <v>1745.3495</v>
      </c>
      <c r="N873" s="16"/>
      <c r="O873" s="16"/>
      <c r="P873" s="16"/>
      <c r="Q873" s="16">
        <f>SUM(Tabela1[[#This Row],[201805]:[201807]])</f>
        <v>1745.3495</v>
      </c>
      <c r="R873" s="16">
        <f>SUM(Tabela1[[#This Row],[201905]:[201906]])</f>
        <v>0</v>
      </c>
      <c r="S873" s="16">
        <v>100000</v>
      </c>
      <c r="T873" s="16">
        <f>Tabela1[[#This Row],[Total 2019]]-Tabela1[[#This Row],[Total 2018]]</f>
        <v>-1745.3495</v>
      </c>
      <c r="U873" s="40">
        <f>Tabela1[[#This Row],[Total 2019]]/Tabela1[[#This Row],[Meta]]</f>
        <v>0</v>
      </c>
      <c r="V873" s="17">
        <f>IFERROR(Tabela1[[#This Row],[Total 2019]]/Tabela1[[#This Row],[Total 2018]]-1,0)</f>
        <v>-1</v>
      </c>
      <c r="W87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73" s="48"/>
      <c r="Y873" s="19"/>
      <c r="Z873" s="68"/>
    </row>
    <row r="874" spans="3:26" x14ac:dyDescent="0.35">
      <c r="C874" s="11" t="s">
        <v>2704</v>
      </c>
      <c r="D874" s="12" t="s">
        <v>2699</v>
      </c>
      <c r="E874" s="12">
        <v>853</v>
      </c>
      <c r="F874" s="13" t="s">
        <v>2300</v>
      </c>
      <c r="G874" s="14">
        <v>1</v>
      </c>
      <c r="H874" s="14" t="s">
        <v>1371</v>
      </c>
      <c r="I874" s="13">
        <v>24</v>
      </c>
      <c r="J874" s="15" t="s">
        <v>1423</v>
      </c>
      <c r="K874" s="15" t="s">
        <v>2707</v>
      </c>
      <c r="L874" s="16">
        <v>4448.4984999999997</v>
      </c>
      <c r="M874" s="16">
        <v>3992.7359999999999</v>
      </c>
      <c r="N874" s="16"/>
      <c r="O874" s="16"/>
      <c r="P874" s="16"/>
      <c r="Q874" s="16">
        <f>SUM(Tabela1[[#This Row],[201805]:[201807]])</f>
        <v>8441.2344999999987</v>
      </c>
      <c r="R874" s="16">
        <f>SUM(Tabela1[[#This Row],[201905]:[201906]])</f>
        <v>0</v>
      </c>
      <c r="S874" s="16">
        <v>100000</v>
      </c>
      <c r="T874" s="16">
        <f>Tabela1[[#This Row],[Total 2019]]-Tabela1[[#This Row],[Total 2018]]</f>
        <v>-8441.2344999999987</v>
      </c>
      <c r="U874" s="40">
        <f>Tabela1[[#This Row],[Total 2019]]/Tabela1[[#This Row],[Meta]]</f>
        <v>0</v>
      </c>
      <c r="V874" s="17">
        <f>IFERROR(Tabela1[[#This Row],[Total 2019]]/Tabela1[[#This Row],[Total 2018]]-1,0)</f>
        <v>-1</v>
      </c>
      <c r="W87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74" s="48"/>
      <c r="Y874" s="19"/>
      <c r="Z874" s="68"/>
    </row>
    <row r="875" spans="3:26" x14ac:dyDescent="0.35">
      <c r="C875" s="11" t="s">
        <v>2703</v>
      </c>
      <c r="D875" s="12" t="s">
        <v>2699</v>
      </c>
      <c r="E875" s="12">
        <v>854</v>
      </c>
      <c r="F875" s="13" t="s">
        <v>2301</v>
      </c>
      <c r="G875" s="14">
        <v>3</v>
      </c>
      <c r="H875" s="14" t="s">
        <v>1372</v>
      </c>
      <c r="I875" s="13">
        <v>25</v>
      </c>
      <c r="J875" s="15" t="s">
        <v>1424</v>
      </c>
      <c r="K875" s="15" t="s">
        <v>2708</v>
      </c>
      <c r="L875" s="16">
        <v>1996.3489999999999</v>
      </c>
      <c r="M875" s="16">
        <v>3221.5925000000002</v>
      </c>
      <c r="N875" s="16"/>
      <c r="O875" s="16"/>
      <c r="P875" s="16"/>
      <c r="Q875" s="16">
        <f>SUM(Tabela1[[#This Row],[201805]:[201807]])</f>
        <v>5217.9414999999999</v>
      </c>
      <c r="R875" s="16">
        <f>SUM(Tabela1[[#This Row],[201905]:[201906]])</f>
        <v>0</v>
      </c>
      <c r="S875" s="16">
        <v>100000</v>
      </c>
      <c r="T875" s="16">
        <f>Tabela1[[#This Row],[Total 2019]]-Tabela1[[#This Row],[Total 2018]]</f>
        <v>-5217.9414999999999</v>
      </c>
      <c r="U875" s="40">
        <f>Tabela1[[#This Row],[Total 2019]]/Tabela1[[#This Row],[Meta]]</f>
        <v>0</v>
      </c>
      <c r="V875" s="17">
        <f>IFERROR(Tabela1[[#This Row],[Total 2019]]/Tabela1[[#This Row],[Total 2018]]-1,0)</f>
        <v>-1</v>
      </c>
      <c r="W87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75" s="48"/>
      <c r="Y875" s="19"/>
      <c r="Z875" s="68"/>
    </row>
    <row r="876" spans="3:26" x14ac:dyDescent="0.35">
      <c r="C876" s="11" t="s">
        <v>2704</v>
      </c>
      <c r="D876" s="12" t="s">
        <v>2699</v>
      </c>
      <c r="E876" s="12">
        <v>855</v>
      </c>
      <c r="F876" s="13" t="s">
        <v>2302</v>
      </c>
      <c r="G876" s="14">
        <v>2</v>
      </c>
      <c r="H876" s="14" t="s">
        <v>1372</v>
      </c>
      <c r="I876" s="13">
        <v>25</v>
      </c>
      <c r="J876" s="15" t="s">
        <v>1424</v>
      </c>
      <c r="K876" s="15" t="s">
        <v>2708</v>
      </c>
      <c r="L876" s="16">
        <v>805.79</v>
      </c>
      <c r="M876" s="16">
        <v>1971.8959999999997</v>
      </c>
      <c r="N876" s="16">
        <v>814.07399999999984</v>
      </c>
      <c r="O876" s="16"/>
      <c r="P876" s="16"/>
      <c r="Q876" s="16">
        <f>SUM(Tabela1[[#This Row],[201805]:[201807]])</f>
        <v>3591.7599999999993</v>
      </c>
      <c r="R876" s="16">
        <f>SUM(Tabela1[[#This Row],[201905]:[201906]])</f>
        <v>0</v>
      </c>
      <c r="S876" s="16">
        <v>100000</v>
      </c>
      <c r="T876" s="16">
        <f>Tabela1[[#This Row],[Total 2019]]-Tabela1[[#This Row],[Total 2018]]</f>
        <v>-3591.7599999999993</v>
      </c>
      <c r="U876" s="40">
        <f>Tabela1[[#This Row],[Total 2019]]/Tabela1[[#This Row],[Meta]]</f>
        <v>0</v>
      </c>
      <c r="V876" s="17">
        <f>IFERROR(Tabela1[[#This Row],[Total 2019]]/Tabela1[[#This Row],[Total 2018]]-1,0)</f>
        <v>-1</v>
      </c>
      <c r="W87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76" s="48"/>
      <c r="Y876" s="19"/>
      <c r="Z876" s="68"/>
    </row>
    <row r="877" spans="3:26" x14ac:dyDescent="0.35">
      <c r="C877" s="11" t="s">
        <v>2703</v>
      </c>
      <c r="D877" s="12" t="s">
        <v>2698</v>
      </c>
      <c r="E877" s="12">
        <v>856</v>
      </c>
      <c r="F877" s="13" t="s">
        <v>2303</v>
      </c>
      <c r="G877" s="14">
        <v>1</v>
      </c>
      <c r="H877" s="14" t="s">
        <v>1372</v>
      </c>
      <c r="I877" s="13">
        <v>20</v>
      </c>
      <c r="J877" s="15" t="s">
        <v>1419</v>
      </c>
      <c r="K877" s="15" t="s">
        <v>2708</v>
      </c>
      <c r="L877" s="16">
        <v>4595.1120000000001</v>
      </c>
      <c r="M877" s="16"/>
      <c r="N877" s="16">
        <v>1767.8359999999998</v>
      </c>
      <c r="O877" s="16"/>
      <c r="P877" s="16"/>
      <c r="Q877" s="16">
        <f>SUM(Tabela1[[#This Row],[201805]:[201807]])</f>
        <v>6362.9480000000003</v>
      </c>
      <c r="R877" s="16">
        <f>SUM(Tabela1[[#This Row],[201905]:[201906]])</f>
        <v>0</v>
      </c>
      <c r="S877" s="16">
        <v>100000</v>
      </c>
      <c r="T877" s="16">
        <f>Tabela1[[#This Row],[Total 2019]]-Tabela1[[#This Row],[Total 2018]]</f>
        <v>-6362.9480000000003</v>
      </c>
      <c r="U877" s="40">
        <f>Tabela1[[#This Row],[Total 2019]]/Tabela1[[#This Row],[Meta]]</f>
        <v>0</v>
      </c>
      <c r="V877" s="17">
        <f>IFERROR(Tabela1[[#This Row],[Total 2019]]/Tabela1[[#This Row],[Total 2018]]-1,0)</f>
        <v>-1</v>
      </c>
      <c r="W87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77" s="48"/>
      <c r="Y877" s="19"/>
      <c r="Z877" s="68"/>
    </row>
    <row r="878" spans="3:26" x14ac:dyDescent="0.35">
      <c r="C878" s="11" t="s">
        <v>2702</v>
      </c>
      <c r="D878" s="12" t="s">
        <v>2700</v>
      </c>
      <c r="E878" s="12">
        <v>857</v>
      </c>
      <c r="F878" s="13" t="s">
        <v>2304</v>
      </c>
      <c r="G878" s="14">
        <v>1</v>
      </c>
      <c r="H878" s="14" t="s">
        <v>1373</v>
      </c>
      <c r="I878" s="13">
        <v>28</v>
      </c>
      <c r="J878" s="15" t="s">
        <v>1427</v>
      </c>
      <c r="K878" s="15" t="s">
        <v>2710</v>
      </c>
      <c r="L878" s="16">
        <v>2373.328</v>
      </c>
      <c r="M878" s="16">
        <v>1270.9195</v>
      </c>
      <c r="N878" s="16"/>
      <c r="O878" s="16"/>
      <c r="P878" s="16"/>
      <c r="Q878" s="16">
        <f>SUM(Tabela1[[#This Row],[201805]:[201807]])</f>
        <v>3644.2474999999999</v>
      </c>
      <c r="R878" s="16">
        <f>SUM(Tabela1[[#This Row],[201905]:[201906]])</f>
        <v>0</v>
      </c>
      <c r="S878" s="16">
        <v>100000</v>
      </c>
      <c r="T878" s="16">
        <f>Tabela1[[#This Row],[Total 2019]]-Tabela1[[#This Row],[Total 2018]]</f>
        <v>-3644.2474999999999</v>
      </c>
      <c r="U878" s="40">
        <f>Tabela1[[#This Row],[Total 2019]]/Tabela1[[#This Row],[Meta]]</f>
        <v>0</v>
      </c>
      <c r="V878" s="17">
        <f>IFERROR(Tabela1[[#This Row],[Total 2019]]/Tabela1[[#This Row],[Total 2018]]-1,0)</f>
        <v>-1</v>
      </c>
      <c r="W87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78" s="48"/>
      <c r="Y878" s="19"/>
      <c r="Z878" s="68"/>
    </row>
    <row r="879" spans="3:26" x14ac:dyDescent="0.35">
      <c r="C879" s="11" t="s">
        <v>2702</v>
      </c>
      <c r="D879" s="12" t="s">
        <v>2698</v>
      </c>
      <c r="E879" s="12">
        <v>858</v>
      </c>
      <c r="F879" s="13" t="s">
        <v>2305</v>
      </c>
      <c r="G879" s="14">
        <v>3</v>
      </c>
      <c r="H879" s="14" t="s">
        <v>1371</v>
      </c>
      <c r="I879" s="13">
        <v>12</v>
      </c>
      <c r="J879" s="15" t="s">
        <v>1411</v>
      </c>
      <c r="K879" s="15" t="s">
        <v>2707</v>
      </c>
      <c r="L879" s="16">
        <v>3074.846</v>
      </c>
      <c r="M879" s="16">
        <v>2729.7870000000003</v>
      </c>
      <c r="N879" s="16">
        <v>2565.3989999999994</v>
      </c>
      <c r="O879" s="16"/>
      <c r="P879" s="16"/>
      <c r="Q879" s="16">
        <f>SUM(Tabela1[[#This Row],[201805]:[201807]])</f>
        <v>8370.0319999999992</v>
      </c>
      <c r="R879" s="16">
        <f>SUM(Tabela1[[#This Row],[201905]:[201906]])</f>
        <v>0</v>
      </c>
      <c r="S879" s="16">
        <v>100000</v>
      </c>
      <c r="T879" s="16">
        <f>Tabela1[[#This Row],[Total 2019]]-Tabela1[[#This Row],[Total 2018]]</f>
        <v>-8370.0319999999992</v>
      </c>
      <c r="U879" s="40">
        <f>Tabela1[[#This Row],[Total 2019]]/Tabela1[[#This Row],[Meta]]</f>
        <v>0</v>
      </c>
      <c r="V879" s="17">
        <f>IFERROR(Tabela1[[#This Row],[Total 2019]]/Tabela1[[#This Row],[Total 2018]]-1,0)</f>
        <v>-1</v>
      </c>
      <c r="W87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79" s="48"/>
      <c r="Y879" s="19"/>
      <c r="Z879" s="68"/>
    </row>
    <row r="880" spans="3:26" x14ac:dyDescent="0.35">
      <c r="C880" s="11" t="s">
        <v>2702</v>
      </c>
      <c r="D880" s="12" t="s">
        <v>2698</v>
      </c>
      <c r="E880" s="12">
        <v>859</v>
      </c>
      <c r="F880" s="13" t="s">
        <v>2306</v>
      </c>
      <c r="G880" s="14">
        <v>3</v>
      </c>
      <c r="H880" s="14" t="s">
        <v>1371</v>
      </c>
      <c r="I880" s="13">
        <v>9</v>
      </c>
      <c r="J880" s="15" t="s">
        <v>1408</v>
      </c>
      <c r="K880" s="15" t="s">
        <v>2707</v>
      </c>
      <c r="L880" s="16"/>
      <c r="M880" s="16">
        <v>10261.824000000001</v>
      </c>
      <c r="N880" s="16"/>
      <c r="O880" s="16"/>
      <c r="P880" s="16"/>
      <c r="Q880" s="16">
        <f>SUM(Tabela1[[#This Row],[201805]:[201807]])</f>
        <v>10261.824000000001</v>
      </c>
      <c r="R880" s="16">
        <f>SUM(Tabela1[[#This Row],[201905]:[201906]])</f>
        <v>0</v>
      </c>
      <c r="S880" s="16">
        <v>100000</v>
      </c>
      <c r="T880" s="16">
        <f>Tabela1[[#This Row],[Total 2019]]-Tabela1[[#This Row],[Total 2018]]</f>
        <v>-10261.824000000001</v>
      </c>
      <c r="U880" s="40">
        <f>Tabela1[[#This Row],[Total 2019]]/Tabela1[[#This Row],[Meta]]</f>
        <v>0</v>
      </c>
      <c r="V880" s="17">
        <f>IFERROR(Tabela1[[#This Row],[Total 2019]]/Tabela1[[#This Row],[Total 2018]]-1,0)</f>
        <v>-1</v>
      </c>
      <c r="W88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80" s="48"/>
      <c r="Y880" s="19"/>
      <c r="Z880" s="68"/>
    </row>
    <row r="881" spans="3:26" x14ac:dyDescent="0.35">
      <c r="C881" s="11" t="s">
        <v>2702</v>
      </c>
      <c r="D881" s="12" t="s">
        <v>2700</v>
      </c>
      <c r="E881" s="12">
        <v>860</v>
      </c>
      <c r="F881" s="13" t="s">
        <v>2307</v>
      </c>
      <c r="G881" s="14">
        <v>3</v>
      </c>
      <c r="H881" s="14" t="s">
        <v>1372</v>
      </c>
      <c r="I881" s="13">
        <v>23</v>
      </c>
      <c r="J881" s="15" t="s">
        <v>1422</v>
      </c>
      <c r="K881" s="15" t="s">
        <v>2708</v>
      </c>
      <c r="L881" s="16"/>
      <c r="M881" s="16">
        <v>1584.4955000000002</v>
      </c>
      <c r="N881" s="16"/>
      <c r="O881" s="16"/>
      <c r="P881" s="16"/>
      <c r="Q881" s="16">
        <f>SUM(Tabela1[[#This Row],[201805]:[201807]])</f>
        <v>1584.4955000000002</v>
      </c>
      <c r="R881" s="16">
        <f>SUM(Tabela1[[#This Row],[201905]:[201906]])</f>
        <v>0</v>
      </c>
      <c r="S881" s="16">
        <v>100000</v>
      </c>
      <c r="T881" s="16">
        <f>Tabela1[[#This Row],[Total 2019]]-Tabela1[[#This Row],[Total 2018]]</f>
        <v>-1584.4955000000002</v>
      </c>
      <c r="U881" s="40">
        <f>Tabela1[[#This Row],[Total 2019]]/Tabela1[[#This Row],[Meta]]</f>
        <v>0</v>
      </c>
      <c r="V881" s="17">
        <f>IFERROR(Tabela1[[#This Row],[Total 2019]]/Tabela1[[#This Row],[Total 2018]]-1,0)</f>
        <v>-1</v>
      </c>
      <c r="W88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81" s="48"/>
      <c r="Y881" s="19"/>
      <c r="Z881" s="68"/>
    </row>
    <row r="882" spans="3:26" x14ac:dyDescent="0.35">
      <c r="C882" s="11" t="s">
        <v>2703</v>
      </c>
      <c r="D882" s="12" t="s">
        <v>2699</v>
      </c>
      <c r="E882" s="12">
        <v>861</v>
      </c>
      <c r="F882" s="13" t="s">
        <v>2308</v>
      </c>
      <c r="G882" s="14">
        <v>2</v>
      </c>
      <c r="H882" s="14" t="s">
        <v>1373</v>
      </c>
      <c r="I882" s="13">
        <v>28</v>
      </c>
      <c r="J882" s="15" t="s">
        <v>1427</v>
      </c>
      <c r="K882" s="15" t="s">
        <v>2710</v>
      </c>
      <c r="L882" s="16">
        <v>6392.5974999999989</v>
      </c>
      <c r="M882" s="16">
        <v>3863.2889999999998</v>
      </c>
      <c r="N882" s="16"/>
      <c r="O882" s="16"/>
      <c r="P882" s="16"/>
      <c r="Q882" s="16">
        <f>SUM(Tabela1[[#This Row],[201805]:[201807]])</f>
        <v>10255.886499999999</v>
      </c>
      <c r="R882" s="16">
        <f>SUM(Tabela1[[#This Row],[201905]:[201906]])</f>
        <v>0</v>
      </c>
      <c r="S882" s="16">
        <v>100000</v>
      </c>
      <c r="T882" s="16">
        <f>Tabela1[[#This Row],[Total 2019]]-Tabela1[[#This Row],[Total 2018]]</f>
        <v>-10255.886499999999</v>
      </c>
      <c r="U882" s="40">
        <f>Tabela1[[#This Row],[Total 2019]]/Tabela1[[#This Row],[Meta]]</f>
        <v>0</v>
      </c>
      <c r="V882" s="17">
        <f>IFERROR(Tabela1[[#This Row],[Total 2019]]/Tabela1[[#This Row],[Total 2018]]-1,0)</f>
        <v>-1</v>
      </c>
      <c r="W88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82" s="48"/>
      <c r="Y882" s="19"/>
      <c r="Z882" s="68"/>
    </row>
    <row r="883" spans="3:26" x14ac:dyDescent="0.35">
      <c r="C883" s="11" t="s">
        <v>2703</v>
      </c>
      <c r="D883" s="12" t="s">
        <v>2700</v>
      </c>
      <c r="E883" s="12">
        <v>862</v>
      </c>
      <c r="F883" s="13" t="s">
        <v>2309</v>
      </c>
      <c r="G883" s="14">
        <v>3</v>
      </c>
      <c r="H883" s="14" t="s">
        <v>1370</v>
      </c>
      <c r="I883" s="13">
        <v>33</v>
      </c>
      <c r="J883" s="15" t="s">
        <v>1432</v>
      </c>
      <c r="K883" s="15" t="s">
        <v>2706</v>
      </c>
      <c r="L883" s="16"/>
      <c r="M883" s="16">
        <v>2797.1324999999997</v>
      </c>
      <c r="N883" s="16">
        <v>1557.0119999999999</v>
      </c>
      <c r="O883" s="16"/>
      <c r="P883" s="16"/>
      <c r="Q883" s="16">
        <f>SUM(Tabela1[[#This Row],[201805]:[201807]])</f>
        <v>4354.1444999999994</v>
      </c>
      <c r="R883" s="16">
        <f>SUM(Tabela1[[#This Row],[201905]:[201906]])</f>
        <v>0</v>
      </c>
      <c r="S883" s="16">
        <v>100000</v>
      </c>
      <c r="T883" s="16">
        <f>Tabela1[[#This Row],[Total 2019]]-Tabela1[[#This Row],[Total 2018]]</f>
        <v>-4354.1444999999994</v>
      </c>
      <c r="U883" s="40">
        <f>Tabela1[[#This Row],[Total 2019]]/Tabela1[[#This Row],[Meta]]</f>
        <v>0</v>
      </c>
      <c r="V883" s="17">
        <f>IFERROR(Tabela1[[#This Row],[Total 2019]]/Tabela1[[#This Row],[Total 2018]]-1,0)</f>
        <v>-1</v>
      </c>
      <c r="W88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83" s="48"/>
      <c r="Y883" s="19"/>
      <c r="Z883" s="68"/>
    </row>
    <row r="884" spans="3:26" x14ac:dyDescent="0.35">
      <c r="C884" s="11" t="s">
        <v>2704</v>
      </c>
      <c r="D884" s="12" t="s">
        <v>2698</v>
      </c>
      <c r="E884" s="12">
        <v>863</v>
      </c>
      <c r="F884" s="13" t="s">
        <v>2310</v>
      </c>
      <c r="G884" s="14">
        <v>1</v>
      </c>
      <c r="H884" s="14" t="s">
        <v>1372</v>
      </c>
      <c r="I884" s="13">
        <v>20</v>
      </c>
      <c r="J884" s="15" t="s">
        <v>1419</v>
      </c>
      <c r="K884" s="15" t="s">
        <v>2708</v>
      </c>
      <c r="L884" s="16">
        <v>1097.0504999999998</v>
      </c>
      <c r="M884" s="16">
        <v>7972.3904999999995</v>
      </c>
      <c r="N884" s="16">
        <v>4577.8885</v>
      </c>
      <c r="O884" s="16"/>
      <c r="P884" s="16"/>
      <c r="Q884" s="16">
        <f>SUM(Tabela1[[#This Row],[201805]:[201807]])</f>
        <v>13647.3295</v>
      </c>
      <c r="R884" s="16">
        <f>SUM(Tabela1[[#This Row],[201905]:[201906]])</f>
        <v>0</v>
      </c>
      <c r="S884" s="16">
        <v>100000</v>
      </c>
      <c r="T884" s="16">
        <f>Tabela1[[#This Row],[Total 2019]]-Tabela1[[#This Row],[Total 2018]]</f>
        <v>-13647.3295</v>
      </c>
      <c r="U884" s="40">
        <f>Tabela1[[#This Row],[Total 2019]]/Tabela1[[#This Row],[Meta]]</f>
        <v>0</v>
      </c>
      <c r="V884" s="17">
        <f>IFERROR(Tabela1[[#This Row],[Total 2019]]/Tabela1[[#This Row],[Total 2018]]-1,0)</f>
        <v>-1</v>
      </c>
      <c r="W88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84" s="48"/>
      <c r="Y884" s="19"/>
      <c r="Z884" s="68"/>
    </row>
    <row r="885" spans="3:26" x14ac:dyDescent="0.35">
      <c r="C885" s="11" t="s">
        <v>2704</v>
      </c>
      <c r="D885" s="12" t="s">
        <v>2699</v>
      </c>
      <c r="E885" s="12">
        <v>864</v>
      </c>
      <c r="F885" s="13" t="s">
        <v>2311</v>
      </c>
      <c r="G885" s="14">
        <v>2</v>
      </c>
      <c r="H885" s="14" t="s">
        <v>1372</v>
      </c>
      <c r="I885" s="13">
        <v>13</v>
      </c>
      <c r="J885" s="15" t="s">
        <v>1412</v>
      </c>
      <c r="K885" s="15" t="s">
        <v>2709</v>
      </c>
      <c r="L885" s="16">
        <v>2887.5344999999998</v>
      </c>
      <c r="M885" s="16">
        <v>1420.6299999999999</v>
      </c>
      <c r="N885" s="16"/>
      <c r="O885" s="16"/>
      <c r="P885" s="16"/>
      <c r="Q885" s="16">
        <f>SUM(Tabela1[[#This Row],[201805]:[201807]])</f>
        <v>4308.1644999999999</v>
      </c>
      <c r="R885" s="16">
        <f>SUM(Tabela1[[#This Row],[201905]:[201906]])</f>
        <v>0</v>
      </c>
      <c r="S885" s="16">
        <v>100000</v>
      </c>
      <c r="T885" s="16">
        <f>Tabela1[[#This Row],[Total 2019]]-Tabela1[[#This Row],[Total 2018]]</f>
        <v>-4308.1644999999999</v>
      </c>
      <c r="U885" s="40">
        <f>Tabela1[[#This Row],[Total 2019]]/Tabela1[[#This Row],[Meta]]</f>
        <v>0</v>
      </c>
      <c r="V885" s="17">
        <f>IFERROR(Tabela1[[#This Row],[Total 2019]]/Tabela1[[#This Row],[Total 2018]]-1,0)</f>
        <v>-1</v>
      </c>
      <c r="W88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85" s="48"/>
      <c r="Y885" s="19"/>
      <c r="Z885" s="68"/>
    </row>
    <row r="886" spans="3:26" x14ac:dyDescent="0.35">
      <c r="C886" s="11" t="s">
        <v>2702</v>
      </c>
      <c r="D886" s="12" t="s">
        <v>2699</v>
      </c>
      <c r="E886" s="12">
        <v>865</v>
      </c>
      <c r="F886" s="13" t="s">
        <v>2312</v>
      </c>
      <c r="G886" s="14">
        <v>2</v>
      </c>
      <c r="H886" s="14" t="s">
        <v>1370</v>
      </c>
      <c r="I886" s="13">
        <v>11</v>
      </c>
      <c r="J886" s="15" t="s">
        <v>1410</v>
      </c>
      <c r="K886" s="15" t="s">
        <v>2706</v>
      </c>
      <c r="L886" s="16"/>
      <c r="M886" s="16">
        <v>3396.5634999999997</v>
      </c>
      <c r="N886" s="16">
        <v>1393.175</v>
      </c>
      <c r="O886" s="16"/>
      <c r="P886" s="16"/>
      <c r="Q886" s="16">
        <f>SUM(Tabela1[[#This Row],[201805]:[201807]])</f>
        <v>4789.7384999999995</v>
      </c>
      <c r="R886" s="16">
        <f>SUM(Tabela1[[#This Row],[201905]:[201906]])</f>
        <v>0</v>
      </c>
      <c r="S886" s="16">
        <v>100000</v>
      </c>
      <c r="T886" s="16">
        <f>Tabela1[[#This Row],[Total 2019]]-Tabela1[[#This Row],[Total 2018]]</f>
        <v>-4789.7384999999995</v>
      </c>
      <c r="U886" s="40">
        <f>Tabela1[[#This Row],[Total 2019]]/Tabela1[[#This Row],[Meta]]</f>
        <v>0</v>
      </c>
      <c r="V886" s="17">
        <f>IFERROR(Tabela1[[#This Row],[Total 2019]]/Tabela1[[#This Row],[Total 2018]]-1,0)</f>
        <v>-1</v>
      </c>
      <c r="W88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86" s="48"/>
      <c r="Y886" s="19"/>
      <c r="Z886" s="68"/>
    </row>
    <row r="887" spans="3:26" x14ac:dyDescent="0.35">
      <c r="C887" s="11" t="s">
        <v>2702</v>
      </c>
      <c r="D887" s="12" t="s">
        <v>2700</v>
      </c>
      <c r="E887" s="12">
        <v>866</v>
      </c>
      <c r="F887" s="13" t="s">
        <v>2313</v>
      </c>
      <c r="G887" s="14">
        <v>1</v>
      </c>
      <c r="H887" s="14" t="s">
        <v>1371</v>
      </c>
      <c r="I887" s="13">
        <v>26</v>
      </c>
      <c r="J887" s="15" t="s">
        <v>1425</v>
      </c>
      <c r="K887" s="15" t="s">
        <v>2707</v>
      </c>
      <c r="L887" s="16">
        <v>2018.1229999999996</v>
      </c>
      <c r="M887" s="16">
        <v>2202.2614999999996</v>
      </c>
      <c r="N887" s="16"/>
      <c r="O887" s="16"/>
      <c r="P887" s="16"/>
      <c r="Q887" s="16">
        <f>SUM(Tabela1[[#This Row],[201805]:[201807]])</f>
        <v>4220.3844999999992</v>
      </c>
      <c r="R887" s="16">
        <f>SUM(Tabela1[[#This Row],[201905]:[201906]])</f>
        <v>0</v>
      </c>
      <c r="S887" s="16">
        <v>100000</v>
      </c>
      <c r="T887" s="16">
        <f>Tabela1[[#This Row],[Total 2019]]-Tabela1[[#This Row],[Total 2018]]</f>
        <v>-4220.3844999999992</v>
      </c>
      <c r="U887" s="40">
        <f>Tabela1[[#This Row],[Total 2019]]/Tabela1[[#This Row],[Meta]]</f>
        <v>0</v>
      </c>
      <c r="V887" s="17">
        <f>IFERROR(Tabela1[[#This Row],[Total 2019]]/Tabela1[[#This Row],[Total 2018]]-1,0)</f>
        <v>-1</v>
      </c>
      <c r="W88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87" s="48"/>
      <c r="Y887" s="19"/>
      <c r="Z887" s="68"/>
    </row>
    <row r="888" spans="3:26" x14ac:dyDescent="0.35">
      <c r="C888" s="11" t="s">
        <v>2702</v>
      </c>
      <c r="D888" s="12" t="s">
        <v>2699</v>
      </c>
      <c r="E888" s="12">
        <v>867</v>
      </c>
      <c r="F888" s="13" t="s">
        <v>2314</v>
      </c>
      <c r="G888" s="14">
        <v>3</v>
      </c>
      <c r="H888" s="14" t="s">
        <v>1370</v>
      </c>
      <c r="I888" s="13">
        <v>29</v>
      </c>
      <c r="J888" s="15" t="s">
        <v>1428</v>
      </c>
      <c r="K888" s="15" t="s">
        <v>2706</v>
      </c>
      <c r="L888" s="16"/>
      <c r="M888" s="16"/>
      <c r="N888" s="16">
        <v>15571.136499999999</v>
      </c>
      <c r="O888" s="16"/>
      <c r="P888" s="16"/>
      <c r="Q888" s="16">
        <f>SUM(Tabela1[[#This Row],[201805]:[201807]])</f>
        <v>15571.136499999999</v>
      </c>
      <c r="R888" s="16">
        <f>SUM(Tabela1[[#This Row],[201905]:[201906]])</f>
        <v>0</v>
      </c>
      <c r="S888" s="16">
        <v>100000</v>
      </c>
      <c r="T888" s="16">
        <f>Tabela1[[#This Row],[Total 2019]]-Tabela1[[#This Row],[Total 2018]]</f>
        <v>-15571.136499999999</v>
      </c>
      <c r="U888" s="40">
        <f>Tabela1[[#This Row],[Total 2019]]/Tabela1[[#This Row],[Meta]]</f>
        <v>0</v>
      </c>
      <c r="V888" s="17">
        <f>IFERROR(Tabela1[[#This Row],[Total 2019]]/Tabela1[[#This Row],[Total 2018]]-1,0)</f>
        <v>-1</v>
      </c>
      <c r="W88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88" s="48"/>
      <c r="Y888" s="19"/>
      <c r="Z888" s="68"/>
    </row>
    <row r="889" spans="3:26" x14ac:dyDescent="0.35">
      <c r="C889" s="11" t="s">
        <v>2704</v>
      </c>
      <c r="D889" s="12" t="s">
        <v>2699</v>
      </c>
      <c r="E889" s="12">
        <v>868</v>
      </c>
      <c r="F889" s="13" t="s">
        <v>2315</v>
      </c>
      <c r="G889" s="14">
        <v>1</v>
      </c>
      <c r="H889" s="14" t="s">
        <v>1372</v>
      </c>
      <c r="I889" s="13">
        <v>22</v>
      </c>
      <c r="J889" s="15" t="s">
        <v>1421</v>
      </c>
      <c r="K889" s="15" t="s">
        <v>2708</v>
      </c>
      <c r="L889" s="16"/>
      <c r="M889" s="16">
        <v>2262.3489999999997</v>
      </c>
      <c r="N889" s="16"/>
      <c r="O889" s="16"/>
      <c r="P889" s="16"/>
      <c r="Q889" s="16">
        <f>SUM(Tabela1[[#This Row],[201805]:[201807]])</f>
        <v>2262.3489999999997</v>
      </c>
      <c r="R889" s="16">
        <f>SUM(Tabela1[[#This Row],[201905]:[201906]])</f>
        <v>0</v>
      </c>
      <c r="S889" s="16">
        <v>100000</v>
      </c>
      <c r="T889" s="16">
        <f>Tabela1[[#This Row],[Total 2019]]-Tabela1[[#This Row],[Total 2018]]</f>
        <v>-2262.3489999999997</v>
      </c>
      <c r="U889" s="40">
        <f>Tabela1[[#This Row],[Total 2019]]/Tabela1[[#This Row],[Meta]]</f>
        <v>0</v>
      </c>
      <c r="V889" s="17">
        <f>IFERROR(Tabela1[[#This Row],[Total 2019]]/Tabela1[[#This Row],[Total 2018]]-1,0)</f>
        <v>-1</v>
      </c>
      <c r="W88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89" s="48"/>
      <c r="Y889" s="19"/>
      <c r="Z889" s="68"/>
    </row>
    <row r="890" spans="3:26" x14ac:dyDescent="0.35">
      <c r="C890" s="11" t="s">
        <v>2702</v>
      </c>
      <c r="D890" s="12" t="s">
        <v>2698</v>
      </c>
      <c r="E890" s="12">
        <v>869</v>
      </c>
      <c r="F890" s="13" t="s">
        <v>2316</v>
      </c>
      <c r="G890" s="14">
        <v>1</v>
      </c>
      <c r="H890" s="14" t="s">
        <v>1370</v>
      </c>
      <c r="I890" s="13">
        <v>19</v>
      </c>
      <c r="J890" s="15" t="s">
        <v>1418</v>
      </c>
      <c r="K890" s="15" t="s">
        <v>2706</v>
      </c>
      <c r="L890" s="16">
        <v>4020.951</v>
      </c>
      <c r="M890" s="16">
        <v>1426.7289999999998</v>
      </c>
      <c r="N890" s="16"/>
      <c r="O890" s="16"/>
      <c r="P890" s="16"/>
      <c r="Q890" s="16">
        <f>SUM(Tabela1[[#This Row],[201805]:[201807]])</f>
        <v>5447.68</v>
      </c>
      <c r="R890" s="16">
        <f>SUM(Tabela1[[#This Row],[201905]:[201906]])</f>
        <v>0</v>
      </c>
      <c r="S890" s="16">
        <v>100000</v>
      </c>
      <c r="T890" s="16">
        <f>Tabela1[[#This Row],[Total 2019]]-Tabela1[[#This Row],[Total 2018]]</f>
        <v>-5447.68</v>
      </c>
      <c r="U890" s="40">
        <f>Tabela1[[#This Row],[Total 2019]]/Tabela1[[#This Row],[Meta]]</f>
        <v>0</v>
      </c>
      <c r="V890" s="17">
        <f>IFERROR(Tabela1[[#This Row],[Total 2019]]/Tabela1[[#This Row],[Total 2018]]-1,0)</f>
        <v>-1</v>
      </c>
      <c r="W89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90" s="48"/>
      <c r="Y890" s="19"/>
      <c r="Z890" s="68"/>
    </row>
    <row r="891" spans="3:26" x14ac:dyDescent="0.35">
      <c r="C891" s="11" t="s">
        <v>2702</v>
      </c>
      <c r="D891" s="12" t="s">
        <v>2698</v>
      </c>
      <c r="E891" s="12">
        <v>870</v>
      </c>
      <c r="F891" s="13" t="s">
        <v>2317</v>
      </c>
      <c r="G891" s="14">
        <v>2</v>
      </c>
      <c r="H891" s="14" t="s">
        <v>1370</v>
      </c>
      <c r="I891" s="13">
        <v>8</v>
      </c>
      <c r="J891" s="15" t="s">
        <v>1407</v>
      </c>
      <c r="K891" s="15" t="s">
        <v>2706</v>
      </c>
      <c r="L891" s="16">
        <v>3235.8235</v>
      </c>
      <c r="M891" s="16">
        <v>1409.0685000000001</v>
      </c>
      <c r="N891" s="16"/>
      <c r="O891" s="16"/>
      <c r="P891" s="16"/>
      <c r="Q891" s="16">
        <f>SUM(Tabela1[[#This Row],[201805]:[201807]])</f>
        <v>4644.8919999999998</v>
      </c>
      <c r="R891" s="16">
        <f>SUM(Tabela1[[#This Row],[201905]:[201906]])</f>
        <v>0</v>
      </c>
      <c r="S891" s="16">
        <v>100000</v>
      </c>
      <c r="T891" s="16">
        <f>Tabela1[[#This Row],[Total 2019]]-Tabela1[[#This Row],[Total 2018]]</f>
        <v>-4644.8919999999998</v>
      </c>
      <c r="U891" s="40">
        <f>Tabela1[[#This Row],[Total 2019]]/Tabela1[[#This Row],[Meta]]</f>
        <v>0</v>
      </c>
      <c r="V891" s="17">
        <f>IFERROR(Tabela1[[#This Row],[Total 2019]]/Tabela1[[#This Row],[Total 2018]]-1,0)</f>
        <v>-1</v>
      </c>
      <c r="W89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91" s="48"/>
      <c r="Y891" s="19"/>
      <c r="Z891" s="68"/>
    </row>
    <row r="892" spans="3:26" x14ac:dyDescent="0.35">
      <c r="C892" s="11" t="s">
        <v>2702</v>
      </c>
      <c r="D892" s="12" t="s">
        <v>2698</v>
      </c>
      <c r="E892" s="12">
        <v>871</v>
      </c>
      <c r="F892" s="13" t="s">
        <v>2318</v>
      </c>
      <c r="G892" s="14">
        <v>2</v>
      </c>
      <c r="H892" s="14" t="s">
        <v>1371</v>
      </c>
      <c r="I892" s="13">
        <v>7</v>
      </c>
      <c r="J892" s="15" t="s">
        <v>1406</v>
      </c>
      <c r="K892" s="15" t="s">
        <v>2707</v>
      </c>
      <c r="L892" s="16"/>
      <c r="M892" s="16">
        <v>419.52</v>
      </c>
      <c r="N892" s="16"/>
      <c r="O892" s="16"/>
      <c r="P892" s="16"/>
      <c r="Q892" s="16">
        <f>SUM(Tabela1[[#This Row],[201805]:[201807]])</f>
        <v>419.52</v>
      </c>
      <c r="R892" s="16">
        <f>SUM(Tabela1[[#This Row],[201905]:[201906]])</f>
        <v>0</v>
      </c>
      <c r="S892" s="16">
        <v>100000</v>
      </c>
      <c r="T892" s="16">
        <f>Tabela1[[#This Row],[Total 2019]]-Tabela1[[#This Row],[Total 2018]]</f>
        <v>-419.52</v>
      </c>
      <c r="U892" s="40">
        <f>Tabela1[[#This Row],[Total 2019]]/Tabela1[[#This Row],[Meta]]</f>
        <v>0</v>
      </c>
      <c r="V892" s="17">
        <f>IFERROR(Tabela1[[#This Row],[Total 2019]]/Tabela1[[#This Row],[Total 2018]]-1,0)</f>
        <v>-1</v>
      </c>
      <c r="W89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92" s="48"/>
      <c r="Y892" s="19"/>
      <c r="Z892" s="68"/>
    </row>
    <row r="893" spans="3:26" x14ac:dyDescent="0.35">
      <c r="C893" s="11" t="s">
        <v>2704</v>
      </c>
      <c r="D893" s="12" t="s">
        <v>2700</v>
      </c>
      <c r="E893" s="12">
        <v>872</v>
      </c>
      <c r="F893" s="13" t="s">
        <v>2319</v>
      </c>
      <c r="G893" s="14">
        <v>2</v>
      </c>
      <c r="H893" s="14" t="s">
        <v>1371</v>
      </c>
      <c r="I893" s="13">
        <v>14</v>
      </c>
      <c r="J893" s="15" t="s">
        <v>1413</v>
      </c>
      <c r="K893" s="15" t="s">
        <v>2707</v>
      </c>
      <c r="L893" s="16"/>
      <c r="M893" s="16">
        <v>9369.4604999999992</v>
      </c>
      <c r="N893" s="16">
        <v>5377.6745000000001</v>
      </c>
      <c r="O893" s="16"/>
      <c r="P893" s="16"/>
      <c r="Q893" s="16">
        <f>SUM(Tabela1[[#This Row],[201805]:[201807]])</f>
        <v>14747.134999999998</v>
      </c>
      <c r="R893" s="16">
        <f>SUM(Tabela1[[#This Row],[201905]:[201906]])</f>
        <v>0</v>
      </c>
      <c r="S893" s="16">
        <v>100000</v>
      </c>
      <c r="T893" s="16">
        <f>Tabela1[[#This Row],[Total 2019]]-Tabela1[[#This Row],[Total 2018]]</f>
        <v>-14747.134999999998</v>
      </c>
      <c r="U893" s="40">
        <f>Tabela1[[#This Row],[Total 2019]]/Tabela1[[#This Row],[Meta]]</f>
        <v>0</v>
      </c>
      <c r="V893" s="17">
        <f>IFERROR(Tabela1[[#This Row],[Total 2019]]/Tabela1[[#This Row],[Total 2018]]-1,0)</f>
        <v>-1</v>
      </c>
      <c r="W89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93" s="48"/>
      <c r="Y893" s="19"/>
      <c r="Z893" s="68"/>
    </row>
    <row r="894" spans="3:26" x14ac:dyDescent="0.35">
      <c r="C894" s="11" t="s">
        <v>2703</v>
      </c>
      <c r="D894" s="12" t="s">
        <v>2699</v>
      </c>
      <c r="E894" s="12">
        <v>873</v>
      </c>
      <c r="F894" s="13" t="s">
        <v>2320</v>
      </c>
      <c r="G894" s="14">
        <v>3</v>
      </c>
      <c r="H894" s="14" t="s">
        <v>1372</v>
      </c>
      <c r="I894" s="13">
        <v>21</v>
      </c>
      <c r="J894" s="15" t="s">
        <v>1420</v>
      </c>
      <c r="K894" s="15" t="s">
        <v>2708</v>
      </c>
      <c r="L894" s="16">
        <v>645.41099999999994</v>
      </c>
      <c r="M894" s="16">
        <v>1722.4164999999998</v>
      </c>
      <c r="N894" s="16"/>
      <c r="O894" s="16"/>
      <c r="P894" s="16"/>
      <c r="Q894" s="16">
        <f>SUM(Tabela1[[#This Row],[201805]:[201807]])</f>
        <v>2367.8274999999999</v>
      </c>
      <c r="R894" s="16">
        <f>SUM(Tabela1[[#This Row],[201905]:[201906]])</f>
        <v>0</v>
      </c>
      <c r="S894" s="16">
        <v>100000</v>
      </c>
      <c r="T894" s="16">
        <f>Tabela1[[#This Row],[Total 2019]]-Tabela1[[#This Row],[Total 2018]]</f>
        <v>-2367.8274999999999</v>
      </c>
      <c r="U894" s="40">
        <f>Tabela1[[#This Row],[Total 2019]]/Tabela1[[#This Row],[Meta]]</f>
        <v>0</v>
      </c>
      <c r="V894" s="17">
        <f>IFERROR(Tabela1[[#This Row],[Total 2019]]/Tabela1[[#This Row],[Total 2018]]-1,0)</f>
        <v>-1</v>
      </c>
      <c r="W89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94" s="48"/>
      <c r="Y894" s="19"/>
      <c r="Z894" s="68"/>
    </row>
    <row r="895" spans="3:26" x14ac:dyDescent="0.35">
      <c r="C895" s="11" t="s">
        <v>2702</v>
      </c>
      <c r="D895" s="12" t="s">
        <v>2700</v>
      </c>
      <c r="E895" s="12">
        <v>874</v>
      </c>
      <c r="F895" s="13" t="s">
        <v>2321</v>
      </c>
      <c r="G895" s="14">
        <v>2</v>
      </c>
      <c r="H895" s="14" t="s">
        <v>1370</v>
      </c>
      <c r="I895" s="13">
        <v>3</v>
      </c>
      <c r="J895" s="15" t="s">
        <v>1402</v>
      </c>
      <c r="K895" s="15" t="s">
        <v>2706</v>
      </c>
      <c r="L895" s="16">
        <v>3501.7094999999999</v>
      </c>
      <c r="M895" s="16">
        <v>6301.9009999999998</v>
      </c>
      <c r="N895" s="16">
        <v>8079.8734999999997</v>
      </c>
      <c r="O895" s="16"/>
      <c r="P895" s="16"/>
      <c r="Q895" s="16">
        <f>SUM(Tabela1[[#This Row],[201805]:[201807]])</f>
        <v>17883.483999999997</v>
      </c>
      <c r="R895" s="16">
        <f>SUM(Tabela1[[#This Row],[201905]:[201906]])</f>
        <v>0</v>
      </c>
      <c r="S895" s="16">
        <v>100000</v>
      </c>
      <c r="T895" s="16">
        <f>Tabela1[[#This Row],[Total 2019]]-Tabela1[[#This Row],[Total 2018]]</f>
        <v>-17883.483999999997</v>
      </c>
      <c r="U895" s="40">
        <f>Tabela1[[#This Row],[Total 2019]]/Tabela1[[#This Row],[Meta]]</f>
        <v>0</v>
      </c>
      <c r="V895" s="17">
        <f>IFERROR(Tabela1[[#This Row],[Total 2019]]/Tabela1[[#This Row],[Total 2018]]-1,0)</f>
        <v>-1</v>
      </c>
      <c r="W89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95" s="48"/>
      <c r="Y895" s="19"/>
      <c r="Z895" s="68"/>
    </row>
    <row r="896" spans="3:26" x14ac:dyDescent="0.35">
      <c r="C896" s="11" t="s">
        <v>2704</v>
      </c>
      <c r="D896" s="12" t="s">
        <v>2699</v>
      </c>
      <c r="E896" s="12">
        <v>875</v>
      </c>
      <c r="F896" s="13" t="s">
        <v>2322</v>
      </c>
      <c r="G896" s="14">
        <v>3</v>
      </c>
      <c r="H896" s="14" t="s">
        <v>1370</v>
      </c>
      <c r="I896" s="13">
        <v>34</v>
      </c>
      <c r="J896" s="15" t="s">
        <v>1433</v>
      </c>
      <c r="K896" s="15" t="s">
        <v>2706</v>
      </c>
      <c r="L896" s="16">
        <v>3729.3959999999997</v>
      </c>
      <c r="M896" s="16">
        <v>7180.1665000000003</v>
      </c>
      <c r="N896" s="16"/>
      <c r="O896" s="16"/>
      <c r="P896" s="16"/>
      <c r="Q896" s="16">
        <f>SUM(Tabela1[[#This Row],[201805]:[201807]])</f>
        <v>10909.5625</v>
      </c>
      <c r="R896" s="16">
        <f>SUM(Tabela1[[#This Row],[201905]:[201906]])</f>
        <v>0</v>
      </c>
      <c r="S896" s="16">
        <v>100000</v>
      </c>
      <c r="T896" s="16">
        <f>Tabela1[[#This Row],[Total 2019]]-Tabela1[[#This Row],[Total 2018]]</f>
        <v>-10909.5625</v>
      </c>
      <c r="U896" s="40">
        <f>Tabela1[[#This Row],[Total 2019]]/Tabela1[[#This Row],[Meta]]</f>
        <v>0</v>
      </c>
      <c r="V896" s="17">
        <f>IFERROR(Tabela1[[#This Row],[Total 2019]]/Tabela1[[#This Row],[Total 2018]]-1,0)</f>
        <v>-1</v>
      </c>
      <c r="W89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96" s="48"/>
      <c r="Y896" s="19"/>
      <c r="Z896" s="68"/>
    </row>
    <row r="897" spans="3:26" x14ac:dyDescent="0.35">
      <c r="C897" s="11" t="s">
        <v>2704</v>
      </c>
      <c r="D897" s="12" t="s">
        <v>2700</v>
      </c>
      <c r="E897" s="12">
        <v>876</v>
      </c>
      <c r="F897" s="13" t="s">
        <v>2323</v>
      </c>
      <c r="G897" s="14">
        <v>3</v>
      </c>
      <c r="H897" s="14" t="s">
        <v>1370</v>
      </c>
      <c r="I897" s="13">
        <v>29</v>
      </c>
      <c r="J897" s="15" t="s">
        <v>1428</v>
      </c>
      <c r="K897" s="15" t="s">
        <v>2706</v>
      </c>
      <c r="L897" s="16"/>
      <c r="M897" s="16"/>
      <c r="N897" s="16">
        <v>5737.8005000000003</v>
      </c>
      <c r="O897" s="16"/>
      <c r="P897" s="16"/>
      <c r="Q897" s="16">
        <f>SUM(Tabela1[[#This Row],[201805]:[201807]])</f>
        <v>5737.8005000000003</v>
      </c>
      <c r="R897" s="16">
        <f>SUM(Tabela1[[#This Row],[201905]:[201906]])</f>
        <v>0</v>
      </c>
      <c r="S897" s="16">
        <v>100000</v>
      </c>
      <c r="T897" s="16">
        <f>Tabela1[[#This Row],[Total 2019]]-Tabela1[[#This Row],[Total 2018]]</f>
        <v>-5737.8005000000003</v>
      </c>
      <c r="U897" s="40">
        <f>Tabela1[[#This Row],[Total 2019]]/Tabela1[[#This Row],[Meta]]</f>
        <v>0</v>
      </c>
      <c r="V897" s="17">
        <f>IFERROR(Tabela1[[#This Row],[Total 2019]]/Tabela1[[#This Row],[Total 2018]]-1,0)</f>
        <v>-1</v>
      </c>
      <c r="W89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97" s="48"/>
      <c r="Y897" s="19"/>
      <c r="Z897" s="68"/>
    </row>
    <row r="898" spans="3:26" x14ac:dyDescent="0.35">
      <c r="C898" s="11" t="s">
        <v>2702</v>
      </c>
      <c r="D898" s="12" t="s">
        <v>2698</v>
      </c>
      <c r="E898" s="12">
        <v>877</v>
      </c>
      <c r="F898" s="13" t="s">
        <v>2324</v>
      </c>
      <c r="G898" s="14">
        <v>3</v>
      </c>
      <c r="H898" s="14" t="s">
        <v>1371</v>
      </c>
      <c r="I898" s="13">
        <v>7</v>
      </c>
      <c r="J898" s="15" t="s">
        <v>1406</v>
      </c>
      <c r="K898" s="15" t="s">
        <v>2707</v>
      </c>
      <c r="L898" s="16">
        <v>1758.1934999999999</v>
      </c>
      <c r="M898" s="16">
        <v>5212.1179999999995</v>
      </c>
      <c r="N898" s="16">
        <v>4622.32</v>
      </c>
      <c r="O898" s="16"/>
      <c r="P898" s="16"/>
      <c r="Q898" s="16">
        <f>SUM(Tabela1[[#This Row],[201805]:[201807]])</f>
        <v>11592.6315</v>
      </c>
      <c r="R898" s="16">
        <f>SUM(Tabela1[[#This Row],[201905]:[201906]])</f>
        <v>0</v>
      </c>
      <c r="S898" s="16">
        <v>100000</v>
      </c>
      <c r="T898" s="16">
        <f>Tabela1[[#This Row],[Total 2019]]-Tabela1[[#This Row],[Total 2018]]</f>
        <v>-11592.6315</v>
      </c>
      <c r="U898" s="40">
        <f>Tabela1[[#This Row],[Total 2019]]/Tabela1[[#This Row],[Meta]]</f>
        <v>0</v>
      </c>
      <c r="V898" s="17">
        <f>IFERROR(Tabela1[[#This Row],[Total 2019]]/Tabela1[[#This Row],[Total 2018]]-1,0)</f>
        <v>-1</v>
      </c>
      <c r="W89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898" s="48"/>
      <c r="Y898" s="19"/>
      <c r="Z898" s="68"/>
    </row>
    <row r="899" spans="3:26" x14ac:dyDescent="0.35">
      <c r="C899" s="11" t="s">
        <v>2702</v>
      </c>
      <c r="D899" s="12" t="s">
        <v>2699</v>
      </c>
      <c r="E899" s="12">
        <v>878</v>
      </c>
      <c r="F899" s="13" t="s">
        <v>2325</v>
      </c>
      <c r="G899" s="14">
        <v>1</v>
      </c>
      <c r="H899" s="14" t="s">
        <v>1370</v>
      </c>
      <c r="I899" s="13">
        <v>19</v>
      </c>
      <c r="J899" s="15" t="s">
        <v>1418</v>
      </c>
      <c r="K899" s="15" t="s">
        <v>2706</v>
      </c>
      <c r="L899" s="16">
        <v>6787.4174999999996</v>
      </c>
      <c r="M899" s="16">
        <v>3696.5449999999996</v>
      </c>
      <c r="N899" s="16"/>
      <c r="O899" s="16">
        <v>16190.137499999999</v>
      </c>
      <c r="P899" s="16">
        <v>8519.41</v>
      </c>
      <c r="Q899" s="16">
        <f>SUM(Tabela1[[#This Row],[201805]:[201807]])</f>
        <v>10483.9625</v>
      </c>
      <c r="R899" s="16">
        <f>SUM(Tabela1[[#This Row],[201905]:[201906]])</f>
        <v>24709.547500000001</v>
      </c>
      <c r="S899" s="16">
        <v>100000</v>
      </c>
      <c r="T899" s="16">
        <f>Tabela1[[#This Row],[Total 2019]]-Tabela1[[#This Row],[Total 2018]]</f>
        <v>14225.585000000001</v>
      </c>
      <c r="U899" s="40">
        <f>Tabela1[[#This Row],[Total 2019]]/Tabela1[[#This Row],[Meta]]</f>
        <v>0.24709547500000001</v>
      </c>
      <c r="V899" s="17">
        <f>IFERROR(Tabela1[[#This Row],[Total 2019]]/Tabela1[[#This Row],[Total 2018]]-1,0)</f>
        <v>1.3568901071517567</v>
      </c>
      <c r="W89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899" s="48"/>
      <c r="Y899" s="19"/>
      <c r="Z899" s="68"/>
    </row>
    <row r="900" spans="3:26" x14ac:dyDescent="0.35">
      <c r="C900" s="11" t="s">
        <v>2704</v>
      </c>
      <c r="D900" s="12" t="s">
        <v>2698</v>
      </c>
      <c r="E900" s="12">
        <v>879</v>
      </c>
      <c r="F900" s="13" t="s">
        <v>2326</v>
      </c>
      <c r="G900" s="14">
        <v>1</v>
      </c>
      <c r="H900" s="14" t="s">
        <v>1372</v>
      </c>
      <c r="I900" s="13">
        <v>18</v>
      </c>
      <c r="J900" s="15" t="s">
        <v>1417</v>
      </c>
      <c r="K900" s="15" t="s">
        <v>2708</v>
      </c>
      <c r="L900" s="16">
        <v>1781.5349999999999</v>
      </c>
      <c r="M900" s="16">
        <v>8883.6304999999993</v>
      </c>
      <c r="N900" s="16">
        <v>4073.5810000000001</v>
      </c>
      <c r="O900" s="16"/>
      <c r="P900" s="16"/>
      <c r="Q900" s="16">
        <f>SUM(Tabela1[[#This Row],[201805]:[201807]])</f>
        <v>14738.746499999999</v>
      </c>
      <c r="R900" s="16">
        <f>SUM(Tabela1[[#This Row],[201905]:[201906]])</f>
        <v>0</v>
      </c>
      <c r="S900" s="16">
        <v>100000</v>
      </c>
      <c r="T900" s="16">
        <f>Tabela1[[#This Row],[Total 2019]]-Tabela1[[#This Row],[Total 2018]]</f>
        <v>-14738.746499999999</v>
      </c>
      <c r="U900" s="40">
        <f>Tabela1[[#This Row],[Total 2019]]/Tabela1[[#This Row],[Meta]]</f>
        <v>0</v>
      </c>
      <c r="V900" s="17">
        <f>IFERROR(Tabela1[[#This Row],[Total 2019]]/Tabela1[[#This Row],[Total 2018]]-1,0)</f>
        <v>-1</v>
      </c>
      <c r="W90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00" s="48"/>
      <c r="Y900" s="19"/>
      <c r="Z900" s="68"/>
    </row>
    <row r="901" spans="3:26" x14ac:dyDescent="0.35">
      <c r="C901" s="11" t="s">
        <v>2703</v>
      </c>
      <c r="D901" s="12" t="s">
        <v>2698</v>
      </c>
      <c r="E901" s="12">
        <v>880</v>
      </c>
      <c r="F901" s="13" t="s">
        <v>2327</v>
      </c>
      <c r="G901" s="14">
        <v>1</v>
      </c>
      <c r="H901" s="14" t="s">
        <v>1370</v>
      </c>
      <c r="I901" s="13">
        <v>29</v>
      </c>
      <c r="J901" s="15" t="s">
        <v>1428</v>
      </c>
      <c r="K901" s="15" t="s">
        <v>2706</v>
      </c>
      <c r="L901" s="16">
        <v>3181.3409999999999</v>
      </c>
      <c r="M901" s="16">
        <v>6027.1799999999994</v>
      </c>
      <c r="N901" s="16"/>
      <c r="O901" s="16"/>
      <c r="P901" s="16"/>
      <c r="Q901" s="16">
        <f>SUM(Tabela1[[#This Row],[201805]:[201807]])</f>
        <v>9208.5209999999988</v>
      </c>
      <c r="R901" s="16">
        <f>SUM(Tabela1[[#This Row],[201905]:[201906]])</f>
        <v>0</v>
      </c>
      <c r="S901" s="16">
        <v>100000</v>
      </c>
      <c r="T901" s="16">
        <f>Tabela1[[#This Row],[Total 2019]]-Tabela1[[#This Row],[Total 2018]]</f>
        <v>-9208.5209999999988</v>
      </c>
      <c r="U901" s="40">
        <f>Tabela1[[#This Row],[Total 2019]]/Tabela1[[#This Row],[Meta]]</f>
        <v>0</v>
      </c>
      <c r="V901" s="17">
        <f>IFERROR(Tabela1[[#This Row],[Total 2019]]/Tabela1[[#This Row],[Total 2018]]-1,0)</f>
        <v>-1</v>
      </c>
      <c r="W90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01" s="48"/>
      <c r="Y901" s="19"/>
      <c r="Z901" s="68"/>
    </row>
    <row r="902" spans="3:26" x14ac:dyDescent="0.35">
      <c r="C902" s="11" t="s">
        <v>2704</v>
      </c>
      <c r="D902" s="12" t="s">
        <v>2700</v>
      </c>
      <c r="E902" s="12">
        <v>881</v>
      </c>
      <c r="F902" s="13" t="s">
        <v>2328</v>
      </c>
      <c r="G902" s="14">
        <v>3</v>
      </c>
      <c r="H902" s="14" t="s">
        <v>1372</v>
      </c>
      <c r="I902" s="13">
        <v>6</v>
      </c>
      <c r="J902" s="15" t="s">
        <v>1405</v>
      </c>
      <c r="K902" s="15" t="s">
        <v>2708</v>
      </c>
      <c r="L902" s="16">
        <v>1421.2474999999999</v>
      </c>
      <c r="M902" s="16"/>
      <c r="N902" s="16"/>
      <c r="O902" s="16"/>
      <c r="P902" s="16"/>
      <c r="Q902" s="16">
        <f>SUM(Tabela1[[#This Row],[201805]:[201807]])</f>
        <v>1421.2474999999999</v>
      </c>
      <c r="R902" s="16">
        <f>SUM(Tabela1[[#This Row],[201905]:[201906]])</f>
        <v>0</v>
      </c>
      <c r="S902" s="16">
        <v>100000</v>
      </c>
      <c r="T902" s="16">
        <f>Tabela1[[#This Row],[Total 2019]]-Tabela1[[#This Row],[Total 2018]]</f>
        <v>-1421.2474999999999</v>
      </c>
      <c r="U902" s="40">
        <f>Tabela1[[#This Row],[Total 2019]]/Tabela1[[#This Row],[Meta]]</f>
        <v>0</v>
      </c>
      <c r="V902" s="17">
        <f>IFERROR(Tabela1[[#This Row],[Total 2019]]/Tabela1[[#This Row],[Total 2018]]-1,0)</f>
        <v>-1</v>
      </c>
      <c r="W90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02" s="48"/>
      <c r="Y902" s="19"/>
      <c r="Z902" s="68"/>
    </row>
    <row r="903" spans="3:26" x14ac:dyDescent="0.35">
      <c r="C903" s="11" t="s">
        <v>2702</v>
      </c>
      <c r="D903" s="12" t="s">
        <v>2698</v>
      </c>
      <c r="E903" s="12">
        <v>882</v>
      </c>
      <c r="F903" s="13" t="s">
        <v>2329</v>
      </c>
      <c r="G903" s="14">
        <v>1</v>
      </c>
      <c r="H903" s="14" t="s">
        <v>1372</v>
      </c>
      <c r="I903" s="13">
        <v>6</v>
      </c>
      <c r="J903" s="15" t="s">
        <v>1405</v>
      </c>
      <c r="K903" s="15" t="s">
        <v>2708</v>
      </c>
      <c r="L903" s="16">
        <v>3478.7860000000001</v>
      </c>
      <c r="M903" s="16">
        <v>8742.5649999999987</v>
      </c>
      <c r="N903" s="16">
        <v>5014.9740000000002</v>
      </c>
      <c r="O903" s="16"/>
      <c r="P903" s="16"/>
      <c r="Q903" s="16">
        <f>SUM(Tabela1[[#This Row],[201805]:[201807]])</f>
        <v>17236.324999999997</v>
      </c>
      <c r="R903" s="16">
        <f>SUM(Tabela1[[#This Row],[201905]:[201906]])</f>
        <v>0</v>
      </c>
      <c r="S903" s="16">
        <v>100000</v>
      </c>
      <c r="T903" s="16">
        <f>Tabela1[[#This Row],[Total 2019]]-Tabela1[[#This Row],[Total 2018]]</f>
        <v>-17236.324999999997</v>
      </c>
      <c r="U903" s="40">
        <f>Tabela1[[#This Row],[Total 2019]]/Tabela1[[#This Row],[Meta]]</f>
        <v>0</v>
      </c>
      <c r="V903" s="17">
        <f>IFERROR(Tabela1[[#This Row],[Total 2019]]/Tabela1[[#This Row],[Total 2018]]-1,0)</f>
        <v>-1</v>
      </c>
      <c r="W90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03" s="48"/>
      <c r="Y903" s="19"/>
      <c r="Z903" s="68"/>
    </row>
    <row r="904" spans="3:26" x14ac:dyDescent="0.35">
      <c r="C904" s="11" t="s">
        <v>2703</v>
      </c>
      <c r="D904" s="12" t="s">
        <v>2700</v>
      </c>
      <c r="E904" s="12">
        <v>883</v>
      </c>
      <c r="F904" s="13" t="s">
        <v>2330</v>
      </c>
      <c r="G904" s="14">
        <v>3</v>
      </c>
      <c r="H904" s="14" t="s">
        <v>1371</v>
      </c>
      <c r="I904" s="13">
        <v>5</v>
      </c>
      <c r="J904" s="15" t="s">
        <v>1404</v>
      </c>
      <c r="K904" s="15" t="s">
        <v>2707</v>
      </c>
      <c r="L904" s="16">
        <v>9646.7559999999994</v>
      </c>
      <c r="M904" s="16">
        <v>6173.442</v>
      </c>
      <c r="N904" s="16"/>
      <c r="O904" s="16"/>
      <c r="P904" s="16"/>
      <c r="Q904" s="16">
        <f>SUM(Tabela1[[#This Row],[201805]:[201807]])</f>
        <v>15820.198</v>
      </c>
      <c r="R904" s="16">
        <f>SUM(Tabela1[[#This Row],[201905]:[201906]])</f>
        <v>0</v>
      </c>
      <c r="S904" s="16">
        <v>100000</v>
      </c>
      <c r="T904" s="16">
        <f>Tabela1[[#This Row],[Total 2019]]-Tabela1[[#This Row],[Total 2018]]</f>
        <v>-15820.198</v>
      </c>
      <c r="U904" s="40">
        <f>Tabela1[[#This Row],[Total 2019]]/Tabela1[[#This Row],[Meta]]</f>
        <v>0</v>
      </c>
      <c r="V904" s="17">
        <f>IFERROR(Tabela1[[#This Row],[Total 2019]]/Tabela1[[#This Row],[Total 2018]]-1,0)</f>
        <v>-1</v>
      </c>
      <c r="W90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04" s="48"/>
      <c r="Y904" s="19"/>
      <c r="Z904" s="68"/>
    </row>
    <row r="905" spans="3:26" x14ac:dyDescent="0.35">
      <c r="C905" s="11" t="s">
        <v>2702</v>
      </c>
      <c r="D905" s="12" t="s">
        <v>2700</v>
      </c>
      <c r="E905" s="12">
        <v>884</v>
      </c>
      <c r="F905" s="13" t="s">
        <v>2331</v>
      </c>
      <c r="G905" s="14">
        <v>1</v>
      </c>
      <c r="H905" s="14" t="s">
        <v>1371</v>
      </c>
      <c r="I905" s="13">
        <v>9</v>
      </c>
      <c r="J905" s="15" t="s">
        <v>1408</v>
      </c>
      <c r="K905" s="15" t="s">
        <v>2707</v>
      </c>
      <c r="L905" s="16">
        <v>6764.4464999999991</v>
      </c>
      <c r="M905" s="16">
        <v>5996.7419999999984</v>
      </c>
      <c r="N905" s="16"/>
      <c r="O905" s="16"/>
      <c r="P905" s="16"/>
      <c r="Q905" s="16">
        <f>SUM(Tabela1[[#This Row],[201805]:[201807]])</f>
        <v>12761.188499999997</v>
      </c>
      <c r="R905" s="16">
        <f>SUM(Tabela1[[#This Row],[201905]:[201906]])</f>
        <v>0</v>
      </c>
      <c r="S905" s="16">
        <v>100000</v>
      </c>
      <c r="T905" s="16">
        <f>Tabela1[[#This Row],[Total 2019]]-Tabela1[[#This Row],[Total 2018]]</f>
        <v>-12761.188499999997</v>
      </c>
      <c r="U905" s="40">
        <f>Tabela1[[#This Row],[Total 2019]]/Tabela1[[#This Row],[Meta]]</f>
        <v>0</v>
      </c>
      <c r="V905" s="17">
        <f>IFERROR(Tabela1[[#This Row],[Total 2019]]/Tabela1[[#This Row],[Total 2018]]-1,0)</f>
        <v>-1</v>
      </c>
      <c r="W90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05" s="48"/>
      <c r="Y905" s="19"/>
      <c r="Z905" s="68"/>
    </row>
    <row r="906" spans="3:26" x14ac:dyDescent="0.35">
      <c r="C906" s="11" t="s">
        <v>2704</v>
      </c>
      <c r="D906" s="12" t="s">
        <v>2699</v>
      </c>
      <c r="E906" s="12">
        <v>885</v>
      </c>
      <c r="F906" s="13" t="s">
        <v>2332</v>
      </c>
      <c r="G906" s="14">
        <v>3</v>
      </c>
      <c r="H906" s="14" t="s">
        <v>1370</v>
      </c>
      <c r="I906" s="13">
        <v>1</v>
      </c>
      <c r="J906" s="15" t="s">
        <v>1400</v>
      </c>
      <c r="K906" s="15" t="s">
        <v>2706</v>
      </c>
      <c r="L906" s="16">
        <v>584.77249999999992</v>
      </c>
      <c r="M906" s="16">
        <v>1234.5440000000001</v>
      </c>
      <c r="N906" s="16"/>
      <c r="O906" s="16"/>
      <c r="P906" s="16"/>
      <c r="Q906" s="16">
        <f>SUM(Tabela1[[#This Row],[201805]:[201807]])</f>
        <v>1819.3164999999999</v>
      </c>
      <c r="R906" s="16">
        <f>SUM(Tabela1[[#This Row],[201905]:[201906]])</f>
        <v>0</v>
      </c>
      <c r="S906" s="16">
        <v>100000</v>
      </c>
      <c r="T906" s="16">
        <f>Tabela1[[#This Row],[Total 2019]]-Tabela1[[#This Row],[Total 2018]]</f>
        <v>-1819.3164999999999</v>
      </c>
      <c r="U906" s="40">
        <f>Tabela1[[#This Row],[Total 2019]]/Tabela1[[#This Row],[Meta]]</f>
        <v>0</v>
      </c>
      <c r="V906" s="17">
        <f>IFERROR(Tabela1[[#This Row],[Total 2019]]/Tabela1[[#This Row],[Total 2018]]-1,0)</f>
        <v>-1</v>
      </c>
      <c r="W90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06" s="48"/>
      <c r="Y906" s="19"/>
      <c r="Z906" s="68"/>
    </row>
    <row r="907" spans="3:26" x14ac:dyDescent="0.35">
      <c r="C907" s="11" t="s">
        <v>2702</v>
      </c>
      <c r="D907" s="12" t="s">
        <v>2699</v>
      </c>
      <c r="E907" s="12">
        <v>886</v>
      </c>
      <c r="F907" s="13" t="s">
        <v>2333</v>
      </c>
      <c r="G907" s="14">
        <v>1</v>
      </c>
      <c r="H907" s="14" t="s">
        <v>1370</v>
      </c>
      <c r="I907" s="13">
        <v>11</v>
      </c>
      <c r="J907" s="15" t="s">
        <v>1410</v>
      </c>
      <c r="K907" s="15" t="s">
        <v>2706</v>
      </c>
      <c r="L907" s="16"/>
      <c r="M907" s="16"/>
      <c r="N907" s="16"/>
      <c r="O907" s="16">
        <v>2324.7734999999998</v>
      </c>
      <c r="P907" s="16"/>
      <c r="Q907" s="16">
        <f>SUM(Tabela1[[#This Row],[201805]:[201807]])</f>
        <v>0</v>
      </c>
      <c r="R907" s="16">
        <f>SUM(Tabela1[[#This Row],[201905]:[201906]])</f>
        <v>2324.7734999999998</v>
      </c>
      <c r="S907" s="16">
        <v>100000</v>
      </c>
      <c r="T907" s="16">
        <f>Tabela1[[#This Row],[Total 2019]]-Tabela1[[#This Row],[Total 2018]]</f>
        <v>2324.7734999999998</v>
      </c>
      <c r="U907" s="40">
        <f>Tabela1[[#This Row],[Total 2019]]/Tabela1[[#This Row],[Meta]]</f>
        <v>2.3247734999999999E-2</v>
      </c>
      <c r="V907" s="17">
        <f>IFERROR(Tabela1[[#This Row],[Total 2019]]/Tabela1[[#This Row],[Total 2018]]-1,0)</f>
        <v>0</v>
      </c>
      <c r="W90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907" s="48"/>
      <c r="Y907" s="19"/>
      <c r="Z907" s="68"/>
    </row>
    <row r="908" spans="3:26" x14ac:dyDescent="0.35">
      <c r="C908" s="11" t="s">
        <v>2703</v>
      </c>
      <c r="D908" s="12" t="s">
        <v>2699</v>
      </c>
      <c r="E908" s="12">
        <v>887</v>
      </c>
      <c r="F908" s="13" t="s">
        <v>2334</v>
      </c>
      <c r="G908" s="14">
        <v>3</v>
      </c>
      <c r="H908" s="14" t="s">
        <v>1372</v>
      </c>
      <c r="I908" s="13">
        <v>21</v>
      </c>
      <c r="J908" s="15" t="s">
        <v>1420</v>
      </c>
      <c r="K908" s="15" t="s">
        <v>2708</v>
      </c>
      <c r="L908" s="16">
        <v>437.68399999999997</v>
      </c>
      <c r="M908" s="16">
        <v>171.68399999999997</v>
      </c>
      <c r="N908" s="16"/>
      <c r="O908" s="16"/>
      <c r="P908" s="16"/>
      <c r="Q908" s="16">
        <f>SUM(Tabela1[[#This Row],[201805]:[201807]])</f>
        <v>609.36799999999994</v>
      </c>
      <c r="R908" s="16">
        <f>SUM(Tabela1[[#This Row],[201905]:[201906]])</f>
        <v>0</v>
      </c>
      <c r="S908" s="16">
        <v>100000</v>
      </c>
      <c r="T908" s="16">
        <f>Tabela1[[#This Row],[Total 2019]]-Tabela1[[#This Row],[Total 2018]]</f>
        <v>-609.36799999999994</v>
      </c>
      <c r="U908" s="40">
        <f>Tabela1[[#This Row],[Total 2019]]/Tabela1[[#This Row],[Meta]]</f>
        <v>0</v>
      </c>
      <c r="V908" s="17">
        <f>IFERROR(Tabela1[[#This Row],[Total 2019]]/Tabela1[[#This Row],[Total 2018]]-1,0)</f>
        <v>-1</v>
      </c>
      <c r="W90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08" s="48"/>
      <c r="Y908" s="19"/>
      <c r="Z908" s="68"/>
    </row>
    <row r="909" spans="3:26" x14ac:dyDescent="0.35">
      <c r="C909" s="11" t="s">
        <v>2703</v>
      </c>
      <c r="D909" s="12" t="s">
        <v>2700</v>
      </c>
      <c r="E909" s="12">
        <v>888</v>
      </c>
      <c r="F909" s="13" t="s">
        <v>2335</v>
      </c>
      <c r="G909" s="14">
        <v>1</v>
      </c>
      <c r="H909" s="14" t="s">
        <v>1372</v>
      </c>
      <c r="I909" s="13">
        <v>21</v>
      </c>
      <c r="J909" s="15" t="s">
        <v>1420</v>
      </c>
      <c r="K909" s="15" t="s">
        <v>2708</v>
      </c>
      <c r="L909" s="16">
        <v>4128.8424999999997</v>
      </c>
      <c r="M909" s="16">
        <v>2600.2165</v>
      </c>
      <c r="N909" s="16"/>
      <c r="O909" s="16"/>
      <c r="P909" s="16"/>
      <c r="Q909" s="16">
        <f>SUM(Tabela1[[#This Row],[201805]:[201807]])</f>
        <v>6729.0589999999993</v>
      </c>
      <c r="R909" s="16">
        <f>SUM(Tabela1[[#This Row],[201905]:[201906]])</f>
        <v>0</v>
      </c>
      <c r="S909" s="16">
        <v>100000</v>
      </c>
      <c r="T909" s="16">
        <f>Tabela1[[#This Row],[Total 2019]]-Tabela1[[#This Row],[Total 2018]]</f>
        <v>-6729.0589999999993</v>
      </c>
      <c r="U909" s="40">
        <f>Tabela1[[#This Row],[Total 2019]]/Tabela1[[#This Row],[Meta]]</f>
        <v>0</v>
      </c>
      <c r="V909" s="17">
        <f>IFERROR(Tabela1[[#This Row],[Total 2019]]/Tabela1[[#This Row],[Total 2018]]-1,0)</f>
        <v>-1</v>
      </c>
      <c r="W90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09" s="48"/>
      <c r="Y909" s="19"/>
      <c r="Z909" s="68"/>
    </row>
    <row r="910" spans="3:26" x14ac:dyDescent="0.35">
      <c r="C910" s="11" t="s">
        <v>2702</v>
      </c>
      <c r="D910" s="12" t="s">
        <v>2699</v>
      </c>
      <c r="E910" s="12">
        <v>889</v>
      </c>
      <c r="F910" s="13" t="s">
        <v>2336</v>
      </c>
      <c r="G910" s="14">
        <v>1</v>
      </c>
      <c r="H910" s="14" t="s">
        <v>1372</v>
      </c>
      <c r="I910" s="13">
        <v>21</v>
      </c>
      <c r="J910" s="15" t="s">
        <v>1420</v>
      </c>
      <c r="K910" s="15" t="s">
        <v>2708</v>
      </c>
      <c r="L910" s="16">
        <v>858.51499999999999</v>
      </c>
      <c r="M910" s="16">
        <v>3064.3484999999996</v>
      </c>
      <c r="N910" s="16">
        <v>1856.2524999999998</v>
      </c>
      <c r="O910" s="16"/>
      <c r="P910" s="16"/>
      <c r="Q910" s="16">
        <f>SUM(Tabela1[[#This Row],[201805]:[201807]])</f>
        <v>5779.1159999999991</v>
      </c>
      <c r="R910" s="16">
        <f>SUM(Tabela1[[#This Row],[201905]:[201906]])</f>
        <v>0</v>
      </c>
      <c r="S910" s="16">
        <v>100000</v>
      </c>
      <c r="T910" s="16">
        <f>Tabela1[[#This Row],[Total 2019]]-Tabela1[[#This Row],[Total 2018]]</f>
        <v>-5779.1159999999991</v>
      </c>
      <c r="U910" s="40">
        <f>Tabela1[[#This Row],[Total 2019]]/Tabela1[[#This Row],[Meta]]</f>
        <v>0</v>
      </c>
      <c r="V910" s="17">
        <f>IFERROR(Tabela1[[#This Row],[Total 2019]]/Tabela1[[#This Row],[Total 2018]]-1,0)</f>
        <v>-1</v>
      </c>
      <c r="W91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10" s="48"/>
      <c r="Y910" s="19"/>
      <c r="Z910" s="68"/>
    </row>
    <row r="911" spans="3:26" x14ac:dyDescent="0.35">
      <c r="C911" s="11" t="s">
        <v>2704</v>
      </c>
      <c r="D911" s="12" t="s">
        <v>2699</v>
      </c>
      <c r="E911" s="12">
        <v>890</v>
      </c>
      <c r="F911" s="13" t="s">
        <v>2337</v>
      </c>
      <c r="G911" s="14">
        <v>2</v>
      </c>
      <c r="H911" s="14" t="s">
        <v>1371</v>
      </c>
      <c r="I911" s="13">
        <v>14</v>
      </c>
      <c r="J911" s="15" t="s">
        <v>1413</v>
      </c>
      <c r="K911" s="15" t="s">
        <v>2707</v>
      </c>
      <c r="L911" s="16"/>
      <c r="M911" s="16"/>
      <c r="N911" s="16"/>
      <c r="O911" s="16">
        <v>1587.2694999999999</v>
      </c>
      <c r="P911" s="16">
        <v>1669.1119999999999</v>
      </c>
      <c r="Q911" s="16">
        <f>SUM(Tabela1[[#This Row],[201805]:[201807]])</f>
        <v>0</v>
      </c>
      <c r="R911" s="16">
        <f>SUM(Tabela1[[#This Row],[201905]:[201906]])</f>
        <v>3256.3814999999995</v>
      </c>
      <c r="S911" s="16">
        <v>100000</v>
      </c>
      <c r="T911" s="16">
        <f>Tabela1[[#This Row],[Total 2019]]-Tabela1[[#This Row],[Total 2018]]</f>
        <v>3256.3814999999995</v>
      </c>
      <c r="U911" s="40">
        <f>Tabela1[[#This Row],[Total 2019]]/Tabela1[[#This Row],[Meta]]</f>
        <v>3.2563814999999996E-2</v>
      </c>
      <c r="V911" s="17">
        <f>IFERROR(Tabela1[[#This Row],[Total 2019]]/Tabela1[[#This Row],[Total 2018]]-1,0)</f>
        <v>0</v>
      </c>
      <c r="W91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911" s="48"/>
      <c r="Y911" s="19"/>
      <c r="Z911" s="68"/>
    </row>
    <row r="912" spans="3:26" x14ac:dyDescent="0.35">
      <c r="C912" s="11" t="s">
        <v>2704</v>
      </c>
      <c r="D912" s="12" t="s">
        <v>2700</v>
      </c>
      <c r="E912" s="12">
        <v>891</v>
      </c>
      <c r="F912" s="13" t="s">
        <v>2338</v>
      </c>
      <c r="G912" s="14">
        <v>1</v>
      </c>
      <c r="H912" s="14" t="s">
        <v>1370</v>
      </c>
      <c r="I912" s="13">
        <v>13</v>
      </c>
      <c r="J912" s="15" t="s">
        <v>1412</v>
      </c>
      <c r="K912" s="15" t="s">
        <v>2709</v>
      </c>
      <c r="L912" s="16"/>
      <c r="M912" s="16">
        <v>3689.0304999999998</v>
      </c>
      <c r="N912" s="16">
        <v>124.792</v>
      </c>
      <c r="O912" s="16"/>
      <c r="P912" s="16"/>
      <c r="Q912" s="16">
        <f>SUM(Tabela1[[#This Row],[201805]:[201807]])</f>
        <v>3813.8224999999998</v>
      </c>
      <c r="R912" s="16">
        <f>SUM(Tabela1[[#This Row],[201905]:[201906]])</f>
        <v>0</v>
      </c>
      <c r="S912" s="16">
        <v>100000</v>
      </c>
      <c r="T912" s="16">
        <f>Tabela1[[#This Row],[Total 2019]]-Tabela1[[#This Row],[Total 2018]]</f>
        <v>-3813.8224999999998</v>
      </c>
      <c r="U912" s="40">
        <f>Tabela1[[#This Row],[Total 2019]]/Tabela1[[#This Row],[Meta]]</f>
        <v>0</v>
      </c>
      <c r="V912" s="17">
        <f>IFERROR(Tabela1[[#This Row],[Total 2019]]/Tabela1[[#This Row],[Total 2018]]-1,0)</f>
        <v>-1</v>
      </c>
      <c r="W91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12" s="48"/>
      <c r="Y912" s="19"/>
      <c r="Z912" s="68"/>
    </row>
    <row r="913" spans="3:26" x14ac:dyDescent="0.35">
      <c r="C913" s="11" t="s">
        <v>2702</v>
      </c>
      <c r="D913" s="12" t="s">
        <v>2698</v>
      </c>
      <c r="E913" s="12">
        <v>892</v>
      </c>
      <c r="F913" s="13" t="s">
        <v>2339</v>
      </c>
      <c r="G913" s="14">
        <v>2</v>
      </c>
      <c r="H913" s="14" t="s">
        <v>1372</v>
      </c>
      <c r="I913" s="13">
        <v>27</v>
      </c>
      <c r="J913" s="15" t="s">
        <v>1426</v>
      </c>
      <c r="K913" s="15" t="s">
        <v>2708</v>
      </c>
      <c r="L913" s="16">
        <v>2628.0230000000001</v>
      </c>
      <c r="M913" s="16">
        <v>4015.8875000000003</v>
      </c>
      <c r="N913" s="16">
        <v>1561.3724999999997</v>
      </c>
      <c r="O913" s="16"/>
      <c r="P913" s="16"/>
      <c r="Q913" s="16">
        <f>SUM(Tabela1[[#This Row],[201805]:[201807]])</f>
        <v>8205.2829999999994</v>
      </c>
      <c r="R913" s="16">
        <f>SUM(Tabela1[[#This Row],[201905]:[201906]])</f>
        <v>0</v>
      </c>
      <c r="S913" s="16">
        <v>100000</v>
      </c>
      <c r="T913" s="16">
        <f>Tabela1[[#This Row],[Total 2019]]-Tabela1[[#This Row],[Total 2018]]</f>
        <v>-8205.2829999999994</v>
      </c>
      <c r="U913" s="40">
        <f>Tabela1[[#This Row],[Total 2019]]/Tabela1[[#This Row],[Meta]]</f>
        <v>0</v>
      </c>
      <c r="V913" s="17">
        <f>IFERROR(Tabela1[[#This Row],[Total 2019]]/Tabela1[[#This Row],[Total 2018]]-1,0)</f>
        <v>-1</v>
      </c>
      <c r="W91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13" s="48"/>
      <c r="Y913" s="19"/>
      <c r="Z913" s="68"/>
    </row>
    <row r="914" spans="3:26" x14ac:dyDescent="0.35">
      <c r="C914" s="11" t="s">
        <v>2704</v>
      </c>
      <c r="D914" s="12" t="s">
        <v>2699</v>
      </c>
      <c r="E914" s="12">
        <v>893</v>
      </c>
      <c r="F914" s="13" t="s">
        <v>2340</v>
      </c>
      <c r="G914" s="14">
        <v>3</v>
      </c>
      <c r="H914" s="14" t="s">
        <v>1370</v>
      </c>
      <c r="I914" s="13">
        <v>15</v>
      </c>
      <c r="J914" s="15" t="s">
        <v>1414</v>
      </c>
      <c r="K914" s="15" t="s">
        <v>2706</v>
      </c>
      <c r="L914" s="16">
        <v>2895.9515000000001</v>
      </c>
      <c r="M914" s="16">
        <v>767.5619999999999</v>
      </c>
      <c r="N914" s="16"/>
      <c r="O914" s="16"/>
      <c r="P914" s="16"/>
      <c r="Q914" s="16">
        <f>SUM(Tabela1[[#This Row],[201805]:[201807]])</f>
        <v>3663.5135</v>
      </c>
      <c r="R914" s="16">
        <f>SUM(Tabela1[[#This Row],[201905]:[201906]])</f>
        <v>0</v>
      </c>
      <c r="S914" s="16">
        <v>100000</v>
      </c>
      <c r="T914" s="16">
        <f>Tabela1[[#This Row],[Total 2019]]-Tabela1[[#This Row],[Total 2018]]</f>
        <v>-3663.5135</v>
      </c>
      <c r="U914" s="40">
        <f>Tabela1[[#This Row],[Total 2019]]/Tabela1[[#This Row],[Meta]]</f>
        <v>0</v>
      </c>
      <c r="V914" s="17">
        <f>IFERROR(Tabela1[[#This Row],[Total 2019]]/Tabela1[[#This Row],[Total 2018]]-1,0)</f>
        <v>-1</v>
      </c>
      <c r="W91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14" s="48"/>
      <c r="Y914" s="19"/>
      <c r="Z914" s="68"/>
    </row>
    <row r="915" spans="3:26" x14ac:dyDescent="0.35">
      <c r="C915" s="11" t="s">
        <v>2703</v>
      </c>
      <c r="D915" s="12" t="s">
        <v>2698</v>
      </c>
      <c r="E915" s="12">
        <v>894</v>
      </c>
      <c r="F915" s="13" t="s">
        <v>2341</v>
      </c>
      <c r="G915" s="14">
        <v>1</v>
      </c>
      <c r="H915" s="14" t="s">
        <v>1370</v>
      </c>
      <c r="I915" s="13">
        <v>15</v>
      </c>
      <c r="J915" s="15" t="s">
        <v>1414</v>
      </c>
      <c r="K915" s="15" t="s">
        <v>2706</v>
      </c>
      <c r="L915" s="16">
        <v>2878.6234999999997</v>
      </c>
      <c r="M915" s="16">
        <v>1874.9389999999999</v>
      </c>
      <c r="N915" s="16">
        <v>2166.1329999999998</v>
      </c>
      <c r="O915" s="16">
        <v>8676.9390000000003</v>
      </c>
      <c r="P915" s="16">
        <v>6428.3174999999992</v>
      </c>
      <c r="Q915" s="16">
        <f>SUM(Tabela1[[#This Row],[201805]:[201807]])</f>
        <v>6919.6954999999998</v>
      </c>
      <c r="R915" s="16">
        <f>SUM(Tabela1[[#This Row],[201905]:[201906]])</f>
        <v>15105.2565</v>
      </c>
      <c r="S915" s="16">
        <v>100000</v>
      </c>
      <c r="T915" s="16">
        <f>Tabela1[[#This Row],[Total 2019]]-Tabela1[[#This Row],[Total 2018]]</f>
        <v>8185.5609999999997</v>
      </c>
      <c r="U915" s="40">
        <f>Tabela1[[#This Row],[Total 2019]]/Tabela1[[#This Row],[Meta]]</f>
        <v>0.151052565</v>
      </c>
      <c r="V915" s="17">
        <f>IFERROR(Tabela1[[#This Row],[Total 2019]]/Tabela1[[#This Row],[Total 2018]]-1,0)</f>
        <v>1.1829365902011149</v>
      </c>
      <c r="W91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915" s="48"/>
      <c r="Y915" s="19"/>
      <c r="Z915" s="68"/>
    </row>
    <row r="916" spans="3:26" x14ac:dyDescent="0.35">
      <c r="C916" s="11" t="s">
        <v>2702</v>
      </c>
      <c r="D916" s="12" t="s">
        <v>2698</v>
      </c>
      <c r="E916" s="12">
        <v>895</v>
      </c>
      <c r="F916" s="13" t="s">
        <v>2342</v>
      </c>
      <c r="G916" s="14">
        <v>2</v>
      </c>
      <c r="H916" s="14" t="s">
        <v>1370</v>
      </c>
      <c r="I916" s="13">
        <v>15</v>
      </c>
      <c r="J916" s="15" t="s">
        <v>1414</v>
      </c>
      <c r="K916" s="15" t="s">
        <v>2706</v>
      </c>
      <c r="L916" s="16">
        <v>2341.3510000000001</v>
      </c>
      <c r="M916" s="16">
        <v>2835.3320000000003</v>
      </c>
      <c r="N916" s="16">
        <v>936.79499999999996</v>
      </c>
      <c r="O916" s="16">
        <v>4132.7565000000004</v>
      </c>
      <c r="P916" s="16">
        <v>1722.5874999999999</v>
      </c>
      <c r="Q916" s="16">
        <f>SUM(Tabela1[[#This Row],[201805]:[201807]])</f>
        <v>6113.478000000001</v>
      </c>
      <c r="R916" s="16">
        <f>SUM(Tabela1[[#This Row],[201905]:[201906]])</f>
        <v>5855.3440000000001</v>
      </c>
      <c r="S916" s="16">
        <v>100000</v>
      </c>
      <c r="T916" s="16">
        <f>Tabela1[[#This Row],[Total 2019]]-Tabela1[[#This Row],[Total 2018]]</f>
        <v>-258.13400000000092</v>
      </c>
      <c r="U916" s="40">
        <f>Tabela1[[#This Row],[Total 2019]]/Tabela1[[#This Row],[Meta]]</f>
        <v>5.8553439999999998E-2</v>
      </c>
      <c r="V916" s="17">
        <f>IFERROR(Tabela1[[#This Row],[Total 2019]]/Tabela1[[#This Row],[Total 2018]]-1,0)</f>
        <v>-4.222375544657242E-2</v>
      </c>
      <c r="W91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916" s="48"/>
      <c r="Y916" s="19"/>
      <c r="Z916" s="68"/>
    </row>
    <row r="917" spans="3:26" x14ac:dyDescent="0.35">
      <c r="C917" s="11" t="s">
        <v>2703</v>
      </c>
      <c r="D917" s="12" t="s">
        <v>2699</v>
      </c>
      <c r="E917" s="12">
        <v>896</v>
      </c>
      <c r="F917" s="13" t="s">
        <v>2343</v>
      </c>
      <c r="G917" s="14">
        <v>2</v>
      </c>
      <c r="H917" s="14" t="s">
        <v>1370</v>
      </c>
      <c r="I917" s="13">
        <v>15</v>
      </c>
      <c r="J917" s="15" t="s">
        <v>1414</v>
      </c>
      <c r="K917" s="15" t="s">
        <v>2706</v>
      </c>
      <c r="L917" s="16">
        <v>3875.0784999999996</v>
      </c>
      <c r="M917" s="16">
        <v>1832.5214999999998</v>
      </c>
      <c r="N917" s="16">
        <v>803.21550000000002</v>
      </c>
      <c r="O917" s="16">
        <v>6817.4660000000003</v>
      </c>
      <c r="P917" s="16">
        <v>6868.0439999999999</v>
      </c>
      <c r="Q917" s="16">
        <f>SUM(Tabela1[[#This Row],[201805]:[201807]])</f>
        <v>6510.8154999999997</v>
      </c>
      <c r="R917" s="16">
        <f>SUM(Tabela1[[#This Row],[201905]:[201906]])</f>
        <v>13685.51</v>
      </c>
      <c r="S917" s="16">
        <v>100000</v>
      </c>
      <c r="T917" s="16">
        <f>Tabela1[[#This Row],[Total 2019]]-Tabela1[[#This Row],[Total 2018]]</f>
        <v>7174.6945000000005</v>
      </c>
      <c r="U917" s="40">
        <f>Tabela1[[#This Row],[Total 2019]]/Tabela1[[#This Row],[Meta]]</f>
        <v>0.13685510000000001</v>
      </c>
      <c r="V917" s="17">
        <f>IFERROR(Tabela1[[#This Row],[Total 2019]]/Tabela1[[#This Row],[Total 2018]]-1,0)</f>
        <v>1.1019655679077376</v>
      </c>
      <c r="W91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917" s="48"/>
      <c r="Y917" s="19"/>
      <c r="Z917" s="68"/>
    </row>
    <row r="918" spans="3:26" x14ac:dyDescent="0.35">
      <c r="C918" s="11" t="s">
        <v>2704</v>
      </c>
      <c r="D918" s="12" t="s">
        <v>2698</v>
      </c>
      <c r="E918" s="12">
        <v>897</v>
      </c>
      <c r="F918" s="13" t="s">
        <v>2344</v>
      </c>
      <c r="G918" s="14">
        <v>2</v>
      </c>
      <c r="H918" s="14" t="s">
        <v>1372</v>
      </c>
      <c r="I918" s="13">
        <v>21</v>
      </c>
      <c r="J918" s="15" t="s">
        <v>1420</v>
      </c>
      <c r="K918" s="15" t="s">
        <v>2708</v>
      </c>
      <c r="L918" s="16">
        <v>3051.989</v>
      </c>
      <c r="M918" s="16">
        <v>3794.0719999999997</v>
      </c>
      <c r="N918" s="16"/>
      <c r="O918" s="16">
        <v>1009.109</v>
      </c>
      <c r="P918" s="16">
        <v>3402.5389999999998</v>
      </c>
      <c r="Q918" s="16">
        <f>SUM(Tabela1[[#This Row],[201805]:[201807]])</f>
        <v>6846.0609999999997</v>
      </c>
      <c r="R918" s="16">
        <f>SUM(Tabela1[[#This Row],[201905]:[201906]])</f>
        <v>4411.6480000000001</v>
      </c>
      <c r="S918" s="16">
        <v>100000</v>
      </c>
      <c r="T918" s="16">
        <f>Tabela1[[#This Row],[Total 2019]]-Tabela1[[#This Row],[Total 2018]]</f>
        <v>-2434.4129999999996</v>
      </c>
      <c r="U918" s="40">
        <f>Tabela1[[#This Row],[Total 2019]]/Tabela1[[#This Row],[Meta]]</f>
        <v>4.411648E-2</v>
      </c>
      <c r="V918" s="17">
        <f>IFERROR(Tabela1[[#This Row],[Total 2019]]/Tabela1[[#This Row],[Total 2018]]-1,0)</f>
        <v>-0.35559323821391597</v>
      </c>
      <c r="W91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918" s="48"/>
      <c r="Y918" s="19"/>
      <c r="Z918" s="68"/>
    </row>
    <row r="919" spans="3:26" x14ac:dyDescent="0.35">
      <c r="C919" s="11" t="s">
        <v>2704</v>
      </c>
      <c r="D919" s="12" t="s">
        <v>2698</v>
      </c>
      <c r="E919" s="12">
        <v>898</v>
      </c>
      <c r="F919" s="13" t="s">
        <v>2345</v>
      </c>
      <c r="G919" s="14">
        <v>1</v>
      </c>
      <c r="H919" s="14" t="s">
        <v>1370</v>
      </c>
      <c r="I919" s="13">
        <v>8</v>
      </c>
      <c r="J919" s="15" t="s">
        <v>1407</v>
      </c>
      <c r="K919" s="15" t="s">
        <v>2706</v>
      </c>
      <c r="L919" s="16">
        <v>6061.3895000000002</v>
      </c>
      <c r="M919" s="16">
        <v>3127.1624999999995</v>
      </c>
      <c r="N919" s="16"/>
      <c r="O919" s="16">
        <v>3396.6584999999995</v>
      </c>
      <c r="P919" s="16">
        <v>3919.3294999999994</v>
      </c>
      <c r="Q919" s="16">
        <f>SUM(Tabela1[[#This Row],[201805]:[201807]])</f>
        <v>9188.5519999999997</v>
      </c>
      <c r="R919" s="16">
        <f>SUM(Tabela1[[#This Row],[201905]:[201906]])</f>
        <v>7315.9879999999994</v>
      </c>
      <c r="S919" s="16">
        <v>100000</v>
      </c>
      <c r="T919" s="16">
        <f>Tabela1[[#This Row],[Total 2019]]-Tabela1[[#This Row],[Total 2018]]</f>
        <v>-1872.5640000000003</v>
      </c>
      <c r="U919" s="40">
        <f>Tabela1[[#This Row],[Total 2019]]/Tabela1[[#This Row],[Meta]]</f>
        <v>7.3159879999999997E-2</v>
      </c>
      <c r="V919" s="17">
        <f>IFERROR(Tabela1[[#This Row],[Total 2019]]/Tabela1[[#This Row],[Total 2018]]-1,0)</f>
        <v>-0.20379315478652138</v>
      </c>
      <c r="W91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919" s="48"/>
      <c r="Y919" s="19"/>
      <c r="Z919" s="68"/>
    </row>
    <row r="920" spans="3:26" x14ac:dyDescent="0.35">
      <c r="C920" s="11" t="s">
        <v>2704</v>
      </c>
      <c r="D920" s="12" t="s">
        <v>2698</v>
      </c>
      <c r="E920" s="12">
        <v>899</v>
      </c>
      <c r="F920" s="13" t="s">
        <v>2346</v>
      </c>
      <c r="G920" s="14">
        <v>2</v>
      </c>
      <c r="H920" s="14" t="s">
        <v>1370</v>
      </c>
      <c r="I920" s="13">
        <v>8</v>
      </c>
      <c r="J920" s="15" t="s">
        <v>1407</v>
      </c>
      <c r="K920" s="15" t="s">
        <v>2706</v>
      </c>
      <c r="L920" s="16">
        <v>12509.913500000001</v>
      </c>
      <c r="M920" s="16">
        <v>5612.049</v>
      </c>
      <c r="N920" s="16"/>
      <c r="O920" s="16">
        <v>4181.5104999999994</v>
      </c>
      <c r="P920" s="16">
        <v>4920.5344999999998</v>
      </c>
      <c r="Q920" s="16">
        <f>SUM(Tabela1[[#This Row],[201805]:[201807]])</f>
        <v>18121.962500000001</v>
      </c>
      <c r="R920" s="16">
        <f>SUM(Tabela1[[#This Row],[201905]:[201906]])</f>
        <v>9102.0449999999983</v>
      </c>
      <c r="S920" s="16">
        <v>100000</v>
      </c>
      <c r="T920" s="16">
        <f>Tabela1[[#This Row],[Total 2019]]-Tabela1[[#This Row],[Total 2018]]</f>
        <v>-9019.9175000000032</v>
      </c>
      <c r="U920" s="40">
        <f>Tabela1[[#This Row],[Total 2019]]/Tabela1[[#This Row],[Meta]]</f>
        <v>9.1020449999999989E-2</v>
      </c>
      <c r="V920" s="17">
        <f>IFERROR(Tabela1[[#This Row],[Total 2019]]/Tabela1[[#This Row],[Total 2018]]-1,0)</f>
        <v>-0.49773403404846484</v>
      </c>
      <c r="W92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920" s="48"/>
      <c r="Y920" s="19"/>
      <c r="Z920" s="68"/>
    </row>
    <row r="921" spans="3:26" x14ac:dyDescent="0.35">
      <c r="C921" s="11" t="s">
        <v>2703</v>
      </c>
      <c r="D921" s="12" t="s">
        <v>2698</v>
      </c>
      <c r="E921" s="12">
        <v>900</v>
      </c>
      <c r="F921" s="13" t="s">
        <v>2347</v>
      </c>
      <c r="G921" s="14">
        <v>2</v>
      </c>
      <c r="H921" s="14" t="s">
        <v>1372</v>
      </c>
      <c r="I921" s="13">
        <v>25</v>
      </c>
      <c r="J921" s="15" t="s">
        <v>1424</v>
      </c>
      <c r="K921" s="15" t="s">
        <v>2708</v>
      </c>
      <c r="L921" s="16"/>
      <c r="M921" s="16">
        <v>4623.9444999999987</v>
      </c>
      <c r="N921" s="16">
        <v>2629.8279999999995</v>
      </c>
      <c r="O921" s="16"/>
      <c r="P921" s="16"/>
      <c r="Q921" s="16">
        <f>SUM(Tabela1[[#This Row],[201805]:[201807]])</f>
        <v>7253.7724999999982</v>
      </c>
      <c r="R921" s="16">
        <f>SUM(Tabela1[[#This Row],[201905]:[201906]])</f>
        <v>0</v>
      </c>
      <c r="S921" s="16">
        <v>100000</v>
      </c>
      <c r="T921" s="16">
        <f>Tabela1[[#This Row],[Total 2019]]-Tabela1[[#This Row],[Total 2018]]</f>
        <v>-7253.7724999999982</v>
      </c>
      <c r="U921" s="40">
        <f>Tabela1[[#This Row],[Total 2019]]/Tabela1[[#This Row],[Meta]]</f>
        <v>0</v>
      </c>
      <c r="V921" s="17">
        <f>IFERROR(Tabela1[[#This Row],[Total 2019]]/Tabela1[[#This Row],[Total 2018]]-1,0)</f>
        <v>-1</v>
      </c>
      <c r="W92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21" s="48"/>
      <c r="Y921" s="19"/>
      <c r="Z921" s="68"/>
    </row>
    <row r="922" spans="3:26" x14ac:dyDescent="0.35">
      <c r="C922" s="11" t="s">
        <v>2703</v>
      </c>
      <c r="D922" s="12" t="s">
        <v>2699</v>
      </c>
      <c r="E922" s="12">
        <v>901</v>
      </c>
      <c r="F922" s="13" t="s">
        <v>2348</v>
      </c>
      <c r="G922" s="14">
        <v>2</v>
      </c>
      <c r="H922" s="14" t="s">
        <v>1370</v>
      </c>
      <c r="I922" s="13">
        <v>8</v>
      </c>
      <c r="J922" s="15" t="s">
        <v>1407</v>
      </c>
      <c r="K922" s="15" t="s">
        <v>2706</v>
      </c>
      <c r="L922" s="16"/>
      <c r="M922" s="16"/>
      <c r="N922" s="16"/>
      <c r="O922" s="16">
        <v>5987.4509999999991</v>
      </c>
      <c r="P922" s="16">
        <v>5665.9709999999995</v>
      </c>
      <c r="Q922" s="16">
        <f>SUM(Tabela1[[#This Row],[201805]:[201807]])</f>
        <v>0</v>
      </c>
      <c r="R922" s="16">
        <f>SUM(Tabela1[[#This Row],[201905]:[201906]])</f>
        <v>11653.421999999999</v>
      </c>
      <c r="S922" s="16">
        <v>100000</v>
      </c>
      <c r="T922" s="16">
        <f>Tabela1[[#This Row],[Total 2019]]-Tabela1[[#This Row],[Total 2018]]</f>
        <v>11653.421999999999</v>
      </c>
      <c r="U922" s="40">
        <f>Tabela1[[#This Row],[Total 2019]]/Tabela1[[#This Row],[Meta]]</f>
        <v>0.11653421999999998</v>
      </c>
      <c r="V922" s="17">
        <f>IFERROR(Tabela1[[#This Row],[Total 2019]]/Tabela1[[#This Row],[Total 2018]]-1,0)</f>
        <v>0</v>
      </c>
      <c r="W92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922" s="48"/>
      <c r="Y922" s="19"/>
      <c r="Z922" s="68"/>
    </row>
    <row r="923" spans="3:26" x14ac:dyDescent="0.35">
      <c r="C923" s="11" t="s">
        <v>2704</v>
      </c>
      <c r="D923" s="12" t="s">
        <v>2700</v>
      </c>
      <c r="E923" s="12">
        <v>902</v>
      </c>
      <c r="F923" s="13" t="s">
        <v>2349</v>
      </c>
      <c r="G923" s="14">
        <v>3</v>
      </c>
      <c r="H923" s="14" t="s">
        <v>1370</v>
      </c>
      <c r="I923" s="13">
        <v>30</v>
      </c>
      <c r="J923" s="15" t="s">
        <v>1429</v>
      </c>
      <c r="K923" s="15" t="s">
        <v>2706</v>
      </c>
      <c r="L923" s="16"/>
      <c r="M923" s="16">
        <v>6246.5445</v>
      </c>
      <c r="N923" s="16">
        <v>6591.9360000000006</v>
      </c>
      <c r="O923" s="16"/>
      <c r="P923" s="16"/>
      <c r="Q923" s="16">
        <f>SUM(Tabela1[[#This Row],[201805]:[201807]])</f>
        <v>12838.480500000001</v>
      </c>
      <c r="R923" s="16">
        <f>SUM(Tabela1[[#This Row],[201905]:[201906]])</f>
        <v>0</v>
      </c>
      <c r="S923" s="16">
        <v>100000</v>
      </c>
      <c r="T923" s="16">
        <f>Tabela1[[#This Row],[Total 2019]]-Tabela1[[#This Row],[Total 2018]]</f>
        <v>-12838.480500000001</v>
      </c>
      <c r="U923" s="40">
        <f>Tabela1[[#This Row],[Total 2019]]/Tabela1[[#This Row],[Meta]]</f>
        <v>0</v>
      </c>
      <c r="V923" s="17">
        <f>IFERROR(Tabela1[[#This Row],[Total 2019]]/Tabela1[[#This Row],[Total 2018]]-1,0)</f>
        <v>-1</v>
      </c>
      <c r="W92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23" s="48"/>
      <c r="Y923" s="19"/>
      <c r="Z923" s="68"/>
    </row>
    <row r="924" spans="3:26" x14ac:dyDescent="0.35">
      <c r="C924" s="11" t="s">
        <v>2703</v>
      </c>
      <c r="D924" s="12" t="s">
        <v>2698</v>
      </c>
      <c r="E924" s="12">
        <v>903</v>
      </c>
      <c r="F924" s="13" t="s">
        <v>2350</v>
      </c>
      <c r="G924" s="14">
        <v>3</v>
      </c>
      <c r="H924" s="14" t="s">
        <v>1371</v>
      </c>
      <c r="I924" s="13">
        <v>31</v>
      </c>
      <c r="J924" s="15" t="s">
        <v>1430</v>
      </c>
      <c r="K924" s="15" t="s">
        <v>2707</v>
      </c>
      <c r="L924" s="16"/>
      <c r="M924" s="16"/>
      <c r="N924" s="16">
        <v>8645.0760000000009</v>
      </c>
      <c r="O924" s="16"/>
      <c r="P924" s="16"/>
      <c r="Q924" s="16">
        <f>SUM(Tabela1[[#This Row],[201805]:[201807]])</f>
        <v>8645.0760000000009</v>
      </c>
      <c r="R924" s="16">
        <f>SUM(Tabela1[[#This Row],[201905]:[201906]])</f>
        <v>0</v>
      </c>
      <c r="S924" s="16">
        <v>100000</v>
      </c>
      <c r="T924" s="16">
        <f>Tabela1[[#This Row],[Total 2019]]-Tabela1[[#This Row],[Total 2018]]</f>
        <v>-8645.0760000000009</v>
      </c>
      <c r="U924" s="40">
        <f>Tabela1[[#This Row],[Total 2019]]/Tabela1[[#This Row],[Meta]]</f>
        <v>0</v>
      </c>
      <c r="V924" s="17">
        <f>IFERROR(Tabela1[[#This Row],[Total 2019]]/Tabela1[[#This Row],[Total 2018]]-1,0)</f>
        <v>-1</v>
      </c>
      <c r="W92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24" s="48"/>
      <c r="Y924" s="19"/>
      <c r="Z924" s="68"/>
    </row>
    <row r="925" spans="3:26" x14ac:dyDescent="0.35">
      <c r="C925" s="11" t="s">
        <v>2702</v>
      </c>
      <c r="D925" s="12" t="s">
        <v>2699</v>
      </c>
      <c r="E925" s="12">
        <v>904</v>
      </c>
      <c r="F925" s="13" t="s">
        <v>2351</v>
      </c>
      <c r="G925" s="14">
        <v>2</v>
      </c>
      <c r="H925" s="14" t="s">
        <v>1372</v>
      </c>
      <c r="I925" s="13">
        <v>22</v>
      </c>
      <c r="J925" s="15" t="s">
        <v>1421</v>
      </c>
      <c r="K925" s="15" t="s">
        <v>2708</v>
      </c>
      <c r="L925" s="16"/>
      <c r="M925" s="16">
        <v>5432.9549999999999</v>
      </c>
      <c r="N925" s="16"/>
      <c r="O925" s="16"/>
      <c r="P925" s="16"/>
      <c r="Q925" s="16">
        <f>SUM(Tabela1[[#This Row],[201805]:[201807]])</f>
        <v>5432.9549999999999</v>
      </c>
      <c r="R925" s="16">
        <f>SUM(Tabela1[[#This Row],[201905]:[201906]])</f>
        <v>0</v>
      </c>
      <c r="S925" s="16">
        <v>100000</v>
      </c>
      <c r="T925" s="16">
        <f>Tabela1[[#This Row],[Total 2019]]-Tabela1[[#This Row],[Total 2018]]</f>
        <v>-5432.9549999999999</v>
      </c>
      <c r="U925" s="40">
        <f>Tabela1[[#This Row],[Total 2019]]/Tabela1[[#This Row],[Meta]]</f>
        <v>0</v>
      </c>
      <c r="V925" s="17">
        <f>IFERROR(Tabela1[[#This Row],[Total 2019]]/Tabela1[[#This Row],[Total 2018]]-1,0)</f>
        <v>-1</v>
      </c>
      <c r="W92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25" s="48"/>
      <c r="Y925" s="19"/>
      <c r="Z925" s="68"/>
    </row>
    <row r="926" spans="3:26" x14ac:dyDescent="0.35">
      <c r="C926" s="11" t="s">
        <v>2703</v>
      </c>
      <c r="D926" s="12" t="s">
        <v>2699</v>
      </c>
      <c r="E926" s="12">
        <v>905</v>
      </c>
      <c r="F926" s="13" t="s">
        <v>2352</v>
      </c>
      <c r="G926" s="14">
        <v>1</v>
      </c>
      <c r="H926" s="14" t="s">
        <v>1370</v>
      </c>
      <c r="I926" s="13">
        <v>8</v>
      </c>
      <c r="J926" s="15" t="s">
        <v>1407</v>
      </c>
      <c r="K926" s="15" t="s">
        <v>2706</v>
      </c>
      <c r="L926" s="16">
        <v>6660.2219999999998</v>
      </c>
      <c r="M926" s="16">
        <v>6916.3040000000001</v>
      </c>
      <c r="N926" s="16"/>
      <c r="O926" s="16"/>
      <c r="P926" s="16"/>
      <c r="Q926" s="16">
        <f>SUM(Tabela1[[#This Row],[201805]:[201807]])</f>
        <v>13576.526</v>
      </c>
      <c r="R926" s="16">
        <f>SUM(Tabela1[[#This Row],[201905]:[201906]])</f>
        <v>0</v>
      </c>
      <c r="S926" s="16">
        <v>100000</v>
      </c>
      <c r="T926" s="16">
        <f>Tabela1[[#This Row],[Total 2019]]-Tabela1[[#This Row],[Total 2018]]</f>
        <v>-13576.526</v>
      </c>
      <c r="U926" s="40">
        <f>Tabela1[[#This Row],[Total 2019]]/Tabela1[[#This Row],[Meta]]</f>
        <v>0</v>
      </c>
      <c r="V926" s="17">
        <f>IFERROR(Tabela1[[#This Row],[Total 2019]]/Tabela1[[#This Row],[Total 2018]]-1,0)</f>
        <v>-1</v>
      </c>
      <c r="W92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26" s="48"/>
      <c r="Y926" s="19"/>
      <c r="Z926" s="68"/>
    </row>
    <row r="927" spans="3:26" x14ac:dyDescent="0.35">
      <c r="C927" s="11" t="s">
        <v>2703</v>
      </c>
      <c r="D927" s="12" t="s">
        <v>2698</v>
      </c>
      <c r="E927" s="12">
        <v>906</v>
      </c>
      <c r="F927" s="13" t="s">
        <v>2353</v>
      </c>
      <c r="G927" s="14">
        <v>3</v>
      </c>
      <c r="H927" s="14" t="s">
        <v>1372</v>
      </c>
      <c r="I927" s="13">
        <v>27</v>
      </c>
      <c r="J927" s="15" t="s">
        <v>1426</v>
      </c>
      <c r="K927" s="15" t="s">
        <v>2708</v>
      </c>
      <c r="L927" s="16"/>
      <c r="M927" s="16"/>
      <c r="N927" s="16"/>
      <c r="O927" s="16">
        <v>10633.4735</v>
      </c>
      <c r="P927" s="16">
        <v>5994.9369999999999</v>
      </c>
      <c r="Q927" s="16">
        <f>SUM(Tabela1[[#This Row],[201805]:[201807]])</f>
        <v>0</v>
      </c>
      <c r="R927" s="16">
        <f>SUM(Tabela1[[#This Row],[201905]:[201906]])</f>
        <v>16628.410499999998</v>
      </c>
      <c r="S927" s="16">
        <v>100000</v>
      </c>
      <c r="T927" s="16">
        <f>Tabela1[[#This Row],[Total 2019]]-Tabela1[[#This Row],[Total 2018]]</f>
        <v>16628.410499999998</v>
      </c>
      <c r="U927" s="40">
        <f>Tabela1[[#This Row],[Total 2019]]/Tabela1[[#This Row],[Meta]]</f>
        <v>0.16628410499999999</v>
      </c>
      <c r="V927" s="17">
        <f>IFERROR(Tabela1[[#This Row],[Total 2019]]/Tabela1[[#This Row],[Total 2018]]-1,0)</f>
        <v>0</v>
      </c>
      <c r="W92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927" s="48"/>
      <c r="Y927" s="19"/>
      <c r="Z927" s="68"/>
    </row>
    <row r="928" spans="3:26" x14ac:dyDescent="0.35">
      <c r="C928" s="11" t="s">
        <v>2702</v>
      </c>
      <c r="D928" s="12" t="s">
        <v>2698</v>
      </c>
      <c r="E928" s="12">
        <v>907</v>
      </c>
      <c r="F928" s="13" t="s">
        <v>2354</v>
      </c>
      <c r="G928" s="14">
        <v>2</v>
      </c>
      <c r="H928" s="14" t="s">
        <v>1370</v>
      </c>
      <c r="I928" s="13">
        <v>8</v>
      </c>
      <c r="J928" s="15" t="s">
        <v>1407</v>
      </c>
      <c r="K928" s="15" t="s">
        <v>2706</v>
      </c>
      <c r="L928" s="16">
        <v>2485.9409999999998</v>
      </c>
      <c r="M928" s="16">
        <v>9557.6364999999987</v>
      </c>
      <c r="N928" s="16"/>
      <c r="O928" s="16"/>
      <c r="P928" s="16"/>
      <c r="Q928" s="16">
        <f>SUM(Tabela1[[#This Row],[201805]:[201807]])</f>
        <v>12043.577499999999</v>
      </c>
      <c r="R928" s="16">
        <f>SUM(Tabela1[[#This Row],[201905]:[201906]])</f>
        <v>0</v>
      </c>
      <c r="S928" s="16">
        <v>100000</v>
      </c>
      <c r="T928" s="16">
        <f>Tabela1[[#This Row],[Total 2019]]-Tabela1[[#This Row],[Total 2018]]</f>
        <v>-12043.577499999999</v>
      </c>
      <c r="U928" s="40">
        <f>Tabela1[[#This Row],[Total 2019]]/Tabela1[[#This Row],[Meta]]</f>
        <v>0</v>
      </c>
      <c r="V928" s="17">
        <f>IFERROR(Tabela1[[#This Row],[Total 2019]]/Tabela1[[#This Row],[Total 2018]]-1,0)</f>
        <v>-1</v>
      </c>
      <c r="W92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28" s="48"/>
      <c r="Y928" s="19"/>
      <c r="Z928" s="68"/>
    </row>
    <row r="929" spans="3:26" x14ac:dyDescent="0.35">
      <c r="C929" s="11" t="s">
        <v>2702</v>
      </c>
      <c r="D929" s="12" t="s">
        <v>2699</v>
      </c>
      <c r="E929" s="12">
        <v>908</v>
      </c>
      <c r="F929" s="13" t="s">
        <v>2355</v>
      </c>
      <c r="G929" s="14">
        <v>2</v>
      </c>
      <c r="H929" s="14" t="s">
        <v>1372</v>
      </c>
      <c r="I929" s="13">
        <v>27</v>
      </c>
      <c r="J929" s="15" t="s">
        <v>1426</v>
      </c>
      <c r="K929" s="15" t="s">
        <v>2708</v>
      </c>
      <c r="L929" s="16">
        <v>2801.1224999999999</v>
      </c>
      <c r="M929" s="16">
        <v>5940.1409999999987</v>
      </c>
      <c r="N929" s="16"/>
      <c r="O929" s="16">
        <v>4011.7834999999995</v>
      </c>
      <c r="P929" s="16"/>
      <c r="Q929" s="16">
        <f>SUM(Tabela1[[#This Row],[201805]:[201807]])</f>
        <v>8741.2634999999991</v>
      </c>
      <c r="R929" s="16">
        <f>SUM(Tabela1[[#This Row],[201905]:[201906]])</f>
        <v>4011.7834999999995</v>
      </c>
      <c r="S929" s="16">
        <v>100000</v>
      </c>
      <c r="T929" s="16">
        <f>Tabela1[[#This Row],[Total 2019]]-Tabela1[[#This Row],[Total 2018]]</f>
        <v>-4729.4799999999996</v>
      </c>
      <c r="U929" s="40">
        <f>Tabela1[[#This Row],[Total 2019]]/Tabela1[[#This Row],[Meta]]</f>
        <v>4.0117834999999998E-2</v>
      </c>
      <c r="V929" s="17">
        <f>IFERROR(Tabela1[[#This Row],[Total 2019]]/Tabela1[[#This Row],[Total 2018]]-1,0)</f>
        <v>-0.54105221745117282</v>
      </c>
      <c r="W92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929" s="48"/>
      <c r="Y929" s="19"/>
      <c r="Z929" s="68"/>
    </row>
    <row r="930" spans="3:26" x14ac:dyDescent="0.35">
      <c r="C930" s="11" t="s">
        <v>2702</v>
      </c>
      <c r="D930" s="12" t="s">
        <v>2698</v>
      </c>
      <c r="E930" s="12">
        <v>909</v>
      </c>
      <c r="F930" s="13" t="s">
        <v>2356</v>
      </c>
      <c r="G930" s="14">
        <v>2</v>
      </c>
      <c r="H930" s="14" t="s">
        <v>1371</v>
      </c>
      <c r="I930" s="13">
        <v>9</v>
      </c>
      <c r="J930" s="15" t="s">
        <v>1408</v>
      </c>
      <c r="K930" s="15" t="s">
        <v>2707</v>
      </c>
      <c r="L930" s="16"/>
      <c r="M930" s="16">
        <v>8070.7724999999991</v>
      </c>
      <c r="N930" s="16"/>
      <c r="O930" s="16"/>
      <c r="P930" s="16"/>
      <c r="Q930" s="16">
        <f>SUM(Tabela1[[#This Row],[201805]:[201807]])</f>
        <v>8070.7724999999991</v>
      </c>
      <c r="R930" s="16">
        <f>SUM(Tabela1[[#This Row],[201905]:[201906]])</f>
        <v>0</v>
      </c>
      <c r="S930" s="16">
        <v>100000</v>
      </c>
      <c r="T930" s="16">
        <f>Tabela1[[#This Row],[Total 2019]]-Tabela1[[#This Row],[Total 2018]]</f>
        <v>-8070.7724999999991</v>
      </c>
      <c r="U930" s="40">
        <f>Tabela1[[#This Row],[Total 2019]]/Tabela1[[#This Row],[Meta]]</f>
        <v>0</v>
      </c>
      <c r="V930" s="17">
        <f>IFERROR(Tabela1[[#This Row],[Total 2019]]/Tabela1[[#This Row],[Total 2018]]-1,0)</f>
        <v>-1</v>
      </c>
      <c r="W93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30" s="48"/>
      <c r="Y930" s="19"/>
      <c r="Z930" s="68"/>
    </row>
    <row r="931" spans="3:26" x14ac:dyDescent="0.35">
      <c r="C931" s="11" t="s">
        <v>2704</v>
      </c>
      <c r="D931" s="12" t="s">
        <v>2698</v>
      </c>
      <c r="E931" s="12">
        <v>910</v>
      </c>
      <c r="F931" s="13" t="s">
        <v>2357</v>
      </c>
      <c r="G931" s="14">
        <v>1</v>
      </c>
      <c r="H931" s="14" t="s">
        <v>1371</v>
      </c>
      <c r="I931" s="13">
        <v>26</v>
      </c>
      <c r="J931" s="15" t="s">
        <v>1425</v>
      </c>
      <c r="K931" s="15" t="s">
        <v>2707</v>
      </c>
      <c r="L931" s="16"/>
      <c r="M931" s="16">
        <v>1798.7204999999999</v>
      </c>
      <c r="N931" s="16"/>
      <c r="O931" s="16"/>
      <c r="P931" s="16"/>
      <c r="Q931" s="16">
        <f>SUM(Tabela1[[#This Row],[201805]:[201807]])</f>
        <v>1798.7204999999999</v>
      </c>
      <c r="R931" s="16">
        <f>SUM(Tabela1[[#This Row],[201905]:[201906]])</f>
        <v>0</v>
      </c>
      <c r="S931" s="16">
        <v>100000</v>
      </c>
      <c r="T931" s="16">
        <f>Tabela1[[#This Row],[Total 2019]]-Tabela1[[#This Row],[Total 2018]]</f>
        <v>-1798.7204999999999</v>
      </c>
      <c r="U931" s="40">
        <f>Tabela1[[#This Row],[Total 2019]]/Tabela1[[#This Row],[Meta]]</f>
        <v>0</v>
      </c>
      <c r="V931" s="17">
        <f>IFERROR(Tabela1[[#This Row],[Total 2019]]/Tabela1[[#This Row],[Total 2018]]-1,0)</f>
        <v>-1</v>
      </c>
      <c r="W93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31" s="48"/>
      <c r="Y931" s="19"/>
      <c r="Z931" s="68"/>
    </row>
    <row r="932" spans="3:26" x14ac:dyDescent="0.35">
      <c r="C932" s="11" t="s">
        <v>2702</v>
      </c>
      <c r="D932" s="12" t="s">
        <v>2699</v>
      </c>
      <c r="E932" s="12">
        <v>911</v>
      </c>
      <c r="F932" s="13" t="s">
        <v>2358</v>
      </c>
      <c r="G932" s="14">
        <v>1</v>
      </c>
      <c r="H932" s="14" t="s">
        <v>1372</v>
      </c>
      <c r="I932" s="13">
        <v>10</v>
      </c>
      <c r="J932" s="15" t="s">
        <v>1409</v>
      </c>
      <c r="K932" s="15" t="s">
        <v>2708</v>
      </c>
      <c r="L932" s="16"/>
      <c r="M932" s="16">
        <v>1671.2779999999998</v>
      </c>
      <c r="N932" s="16"/>
      <c r="O932" s="16"/>
      <c r="P932" s="16"/>
      <c r="Q932" s="16">
        <f>SUM(Tabela1[[#This Row],[201805]:[201807]])</f>
        <v>1671.2779999999998</v>
      </c>
      <c r="R932" s="16">
        <f>SUM(Tabela1[[#This Row],[201905]:[201906]])</f>
        <v>0</v>
      </c>
      <c r="S932" s="16">
        <v>100000</v>
      </c>
      <c r="T932" s="16">
        <f>Tabela1[[#This Row],[Total 2019]]-Tabela1[[#This Row],[Total 2018]]</f>
        <v>-1671.2779999999998</v>
      </c>
      <c r="U932" s="40">
        <f>Tabela1[[#This Row],[Total 2019]]/Tabela1[[#This Row],[Meta]]</f>
        <v>0</v>
      </c>
      <c r="V932" s="17">
        <f>IFERROR(Tabela1[[#This Row],[Total 2019]]/Tabela1[[#This Row],[Total 2018]]-1,0)</f>
        <v>-1</v>
      </c>
      <c r="W93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32" s="48"/>
      <c r="Y932" s="19"/>
      <c r="Z932" s="68"/>
    </row>
    <row r="933" spans="3:26" x14ac:dyDescent="0.35">
      <c r="C933" s="11" t="s">
        <v>2702</v>
      </c>
      <c r="D933" s="12" t="s">
        <v>2700</v>
      </c>
      <c r="E933" s="12">
        <v>912</v>
      </c>
      <c r="F933" s="13" t="s">
        <v>2359</v>
      </c>
      <c r="G933" s="14">
        <v>1</v>
      </c>
      <c r="H933" s="14" t="s">
        <v>1371</v>
      </c>
      <c r="I933" s="13">
        <v>7</v>
      </c>
      <c r="J933" s="15" t="s">
        <v>1406</v>
      </c>
      <c r="K933" s="15" t="s">
        <v>2707</v>
      </c>
      <c r="L933" s="16">
        <v>174.79999999999998</v>
      </c>
      <c r="M933" s="16">
        <v>7602.1184999999996</v>
      </c>
      <c r="N933" s="16">
        <v>5366.1795000000002</v>
      </c>
      <c r="O933" s="16">
        <v>12313.538999999999</v>
      </c>
      <c r="P933" s="16"/>
      <c r="Q933" s="16">
        <f>SUM(Tabela1[[#This Row],[201805]:[201807]])</f>
        <v>13143.098</v>
      </c>
      <c r="R933" s="16">
        <f>SUM(Tabela1[[#This Row],[201905]:[201906]])</f>
        <v>12313.538999999999</v>
      </c>
      <c r="S933" s="16">
        <v>100000</v>
      </c>
      <c r="T933" s="16">
        <f>Tabela1[[#This Row],[Total 2019]]-Tabela1[[#This Row],[Total 2018]]</f>
        <v>-829.55900000000111</v>
      </c>
      <c r="U933" s="40">
        <f>Tabela1[[#This Row],[Total 2019]]/Tabela1[[#This Row],[Meta]]</f>
        <v>0.12313538999999998</v>
      </c>
      <c r="V933" s="17">
        <f>IFERROR(Tabela1[[#This Row],[Total 2019]]/Tabela1[[#This Row],[Total 2018]]-1,0)</f>
        <v>-6.3117462869104468E-2</v>
      </c>
      <c r="W93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933" s="48"/>
      <c r="Y933" s="19"/>
      <c r="Z933" s="68"/>
    </row>
    <row r="934" spans="3:26" x14ac:dyDescent="0.35">
      <c r="C934" s="11" t="s">
        <v>2703</v>
      </c>
      <c r="D934" s="12" t="s">
        <v>2700</v>
      </c>
      <c r="E934" s="12">
        <v>913</v>
      </c>
      <c r="F934" s="13" t="s">
        <v>2360</v>
      </c>
      <c r="G934" s="14">
        <v>3</v>
      </c>
      <c r="H934" s="14" t="s">
        <v>1371</v>
      </c>
      <c r="I934" s="13">
        <v>24</v>
      </c>
      <c r="J934" s="15" t="s">
        <v>1423</v>
      </c>
      <c r="K934" s="15" t="s">
        <v>2707</v>
      </c>
      <c r="L934" s="16"/>
      <c r="M934" s="16"/>
      <c r="N934" s="16"/>
      <c r="O934" s="16">
        <v>2140.0554999999999</v>
      </c>
      <c r="P934" s="16">
        <v>5750.1314999999995</v>
      </c>
      <c r="Q934" s="16">
        <f>SUM(Tabela1[[#This Row],[201805]:[201807]])</f>
        <v>0</v>
      </c>
      <c r="R934" s="16">
        <f>SUM(Tabela1[[#This Row],[201905]:[201906]])</f>
        <v>7890.1869999999999</v>
      </c>
      <c r="S934" s="16">
        <v>100000</v>
      </c>
      <c r="T934" s="16">
        <f>Tabela1[[#This Row],[Total 2019]]-Tabela1[[#This Row],[Total 2018]]</f>
        <v>7890.1869999999999</v>
      </c>
      <c r="U934" s="40">
        <f>Tabela1[[#This Row],[Total 2019]]/Tabela1[[#This Row],[Meta]]</f>
        <v>7.8901869999999999E-2</v>
      </c>
      <c r="V934" s="17">
        <f>IFERROR(Tabela1[[#This Row],[Total 2019]]/Tabela1[[#This Row],[Total 2018]]-1,0)</f>
        <v>0</v>
      </c>
      <c r="W93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934" s="48"/>
      <c r="Y934" s="19"/>
      <c r="Z934" s="68"/>
    </row>
    <row r="935" spans="3:26" x14ac:dyDescent="0.35">
      <c r="C935" s="11" t="s">
        <v>2704</v>
      </c>
      <c r="D935" s="12" t="s">
        <v>2698</v>
      </c>
      <c r="E935" s="12">
        <v>914</v>
      </c>
      <c r="F935" s="13" t="s">
        <v>2361</v>
      </c>
      <c r="G935" s="14">
        <v>1</v>
      </c>
      <c r="H935" s="14" t="s">
        <v>1372</v>
      </c>
      <c r="I935" s="13">
        <v>18</v>
      </c>
      <c r="J935" s="15" t="s">
        <v>1417</v>
      </c>
      <c r="K935" s="15" t="s">
        <v>2708</v>
      </c>
      <c r="L935" s="16"/>
      <c r="M935" s="16">
        <v>29581.993000000002</v>
      </c>
      <c r="N935" s="16">
        <v>15083.007500000002</v>
      </c>
      <c r="O935" s="16">
        <v>38183.549500000001</v>
      </c>
      <c r="P935" s="16"/>
      <c r="Q935" s="16">
        <f>SUM(Tabela1[[#This Row],[201805]:[201807]])</f>
        <v>44665.000500000002</v>
      </c>
      <c r="R935" s="16">
        <f>SUM(Tabela1[[#This Row],[201905]:[201906]])</f>
        <v>38183.549500000001</v>
      </c>
      <c r="S935" s="16">
        <v>100000</v>
      </c>
      <c r="T935" s="16">
        <f>Tabela1[[#This Row],[Total 2019]]-Tabela1[[#This Row],[Total 2018]]</f>
        <v>-6481.4510000000009</v>
      </c>
      <c r="U935" s="40">
        <f>Tabela1[[#This Row],[Total 2019]]/Tabela1[[#This Row],[Meta]]</f>
        <v>0.38183549500000002</v>
      </c>
      <c r="V935" s="17">
        <f>IFERROR(Tabela1[[#This Row],[Total 2019]]/Tabela1[[#This Row],[Total 2018]]-1,0)</f>
        <v>-0.14511252496235838</v>
      </c>
      <c r="W93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935" s="48"/>
      <c r="Y935" s="19"/>
      <c r="Z935" s="68"/>
    </row>
    <row r="936" spans="3:26" x14ac:dyDescent="0.35">
      <c r="C936" s="11" t="s">
        <v>2703</v>
      </c>
      <c r="D936" s="12" t="s">
        <v>2699</v>
      </c>
      <c r="E936" s="12">
        <v>915</v>
      </c>
      <c r="F936" s="13" t="s">
        <v>2362</v>
      </c>
      <c r="G936" s="14">
        <v>3</v>
      </c>
      <c r="H936" s="14" t="s">
        <v>1371</v>
      </c>
      <c r="I936" s="13">
        <v>4</v>
      </c>
      <c r="J936" s="15" t="s">
        <v>1403</v>
      </c>
      <c r="K936" s="15" t="s">
        <v>2707</v>
      </c>
      <c r="L936" s="16"/>
      <c r="M936" s="16">
        <v>3523.8159999999998</v>
      </c>
      <c r="N936" s="16"/>
      <c r="O936" s="16">
        <v>3345.14</v>
      </c>
      <c r="P936" s="16"/>
      <c r="Q936" s="16">
        <f>SUM(Tabela1[[#This Row],[201805]:[201807]])</f>
        <v>3523.8159999999998</v>
      </c>
      <c r="R936" s="16">
        <f>SUM(Tabela1[[#This Row],[201905]:[201906]])</f>
        <v>3345.14</v>
      </c>
      <c r="S936" s="16">
        <v>100000</v>
      </c>
      <c r="T936" s="16">
        <f>Tabela1[[#This Row],[Total 2019]]-Tabela1[[#This Row],[Total 2018]]</f>
        <v>-178.67599999999993</v>
      </c>
      <c r="U936" s="40">
        <f>Tabela1[[#This Row],[Total 2019]]/Tabela1[[#This Row],[Meta]]</f>
        <v>3.3451399999999999E-2</v>
      </c>
      <c r="V936" s="17">
        <f>IFERROR(Tabela1[[#This Row],[Total 2019]]/Tabela1[[#This Row],[Total 2018]]-1,0)</f>
        <v>-5.0705258163309286E-2</v>
      </c>
      <c r="W93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936" s="48"/>
      <c r="Y936" s="19"/>
      <c r="Z936" s="68"/>
    </row>
    <row r="937" spans="3:26" x14ac:dyDescent="0.35">
      <c r="C937" s="11" t="s">
        <v>2702</v>
      </c>
      <c r="D937" s="12" t="s">
        <v>2699</v>
      </c>
      <c r="E937" s="12">
        <v>916</v>
      </c>
      <c r="F937" s="13" t="s">
        <v>2363</v>
      </c>
      <c r="G937" s="14">
        <v>2</v>
      </c>
      <c r="H937" s="14" t="s">
        <v>1372</v>
      </c>
      <c r="I937" s="13">
        <v>25</v>
      </c>
      <c r="J937" s="15" t="s">
        <v>1424</v>
      </c>
      <c r="K937" s="15" t="s">
        <v>2708</v>
      </c>
      <c r="L937" s="16">
        <v>974.47199999999998</v>
      </c>
      <c r="M937" s="16"/>
      <c r="N937" s="16"/>
      <c r="O937" s="16"/>
      <c r="P937" s="16"/>
      <c r="Q937" s="16">
        <f>SUM(Tabela1[[#This Row],[201805]:[201807]])</f>
        <v>974.47199999999998</v>
      </c>
      <c r="R937" s="16">
        <f>SUM(Tabela1[[#This Row],[201905]:[201906]])</f>
        <v>0</v>
      </c>
      <c r="S937" s="16">
        <v>100000</v>
      </c>
      <c r="T937" s="16">
        <f>Tabela1[[#This Row],[Total 2019]]-Tabela1[[#This Row],[Total 2018]]</f>
        <v>-974.47199999999998</v>
      </c>
      <c r="U937" s="40">
        <f>Tabela1[[#This Row],[Total 2019]]/Tabela1[[#This Row],[Meta]]</f>
        <v>0</v>
      </c>
      <c r="V937" s="17">
        <f>IFERROR(Tabela1[[#This Row],[Total 2019]]/Tabela1[[#This Row],[Total 2018]]-1,0)</f>
        <v>-1</v>
      </c>
      <c r="W93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37" s="48"/>
      <c r="Y937" s="19"/>
      <c r="Z937" s="68"/>
    </row>
    <row r="938" spans="3:26" x14ac:dyDescent="0.35">
      <c r="C938" s="11" t="s">
        <v>2703</v>
      </c>
      <c r="D938" s="12" t="s">
        <v>2699</v>
      </c>
      <c r="E938" s="12">
        <v>917</v>
      </c>
      <c r="F938" s="13" t="s">
        <v>2364</v>
      </c>
      <c r="G938" s="14">
        <v>3</v>
      </c>
      <c r="H938" s="14" t="s">
        <v>1372</v>
      </c>
      <c r="I938" s="13">
        <v>17</v>
      </c>
      <c r="J938" s="15" t="s">
        <v>1416</v>
      </c>
      <c r="K938" s="15" t="s">
        <v>2708</v>
      </c>
      <c r="L938" s="16">
        <v>3021.817</v>
      </c>
      <c r="M938" s="16">
        <v>2570.6714999999999</v>
      </c>
      <c r="N938" s="16"/>
      <c r="O938" s="16"/>
      <c r="P938" s="16"/>
      <c r="Q938" s="16">
        <f>SUM(Tabela1[[#This Row],[201805]:[201807]])</f>
        <v>5592.4884999999995</v>
      </c>
      <c r="R938" s="16">
        <f>SUM(Tabela1[[#This Row],[201905]:[201906]])</f>
        <v>0</v>
      </c>
      <c r="S938" s="16">
        <v>100000</v>
      </c>
      <c r="T938" s="16">
        <f>Tabela1[[#This Row],[Total 2019]]-Tabela1[[#This Row],[Total 2018]]</f>
        <v>-5592.4884999999995</v>
      </c>
      <c r="U938" s="40">
        <f>Tabela1[[#This Row],[Total 2019]]/Tabela1[[#This Row],[Meta]]</f>
        <v>0</v>
      </c>
      <c r="V938" s="17">
        <f>IFERROR(Tabela1[[#This Row],[Total 2019]]/Tabela1[[#This Row],[Total 2018]]-1,0)</f>
        <v>-1</v>
      </c>
      <c r="W93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38" s="48"/>
      <c r="Y938" s="19"/>
      <c r="Z938" s="68"/>
    </row>
    <row r="939" spans="3:26" x14ac:dyDescent="0.35">
      <c r="C939" s="11" t="s">
        <v>2702</v>
      </c>
      <c r="D939" s="12" t="s">
        <v>2699</v>
      </c>
      <c r="E939" s="12">
        <v>918</v>
      </c>
      <c r="F939" s="13" t="s">
        <v>2365</v>
      </c>
      <c r="G939" s="14">
        <v>3</v>
      </c>
      <c r="H939" s="14" t="s">
        <v>1370</v>
      </c>
      <c r="I939" s="13">
        <v>8</v>
      </c>
      <c r="J939" s="15" t="s">
        <v>1407</v>
      </c>
      <c r="K939" s="15" t="s">
        <v>2706</v>
      </c>
      <c r="L939" s="16"/>
      <c r="M939" s="16"/>
      <c r="N939" s="16"/>
      <c r="O939" s="16">
        <v>9584.3314999999984</v>
      </c>
      <c r="P939" s="16">
        <v>5578.058</v>
      </c>
      <c r="Q939" s="16">
        <f>SUM(Tabela1[[#This Row],[201805]:[201807]])</f>
        <v>0</v>
      </c>
      <c r="R939" s="16">
        <f>SUM(Tabela1[[#This Row],[201905]:[201906]])</f>
        <v>15162.389499999997</v>
      </c>
      <c r="S939" s="16">
        <v>100000</v>
      </c>
      <c r="T939" s="16">
        <f>Tabela1[[#This Row],[Total 2019]]-Tabela1[[#This Row],[Total 2018]]</f>
        <v>15162.389499999997</v>
      </c>
      <c r="U939" s="40">
        <f>Tabela1[[#This Row],[Total 2019]]/Tabela1[[#This Row],[Meta]]</f>
        <v>0.15162389499999998</v>
      </c>
      <c r="V939" s="17">
        <f>IFERROR(Tabela1[[#This Row],[Total 2019]]/Tabela1[[#This Row],[Total 2018]]-1,0)</f>
        <v>0</v>
      </c>
      <c r="W93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939" s="48"/>
      <c r="Y939" s="19"/>
      <c r="Z939" s="68"/>
    </row>
    <row r="940" spans="3:26" x14ac:dyDescent="0.35">
      <c r="C940" s="11" t="s">
        <v>2702</v>
      </c>
      <c r="D940" s="12" t="s">
        <v>2698</v>
      </c>
      <c r="E940" s="12">
        <v>919</v>
      </c>
      <c r="F940" s="13" t="s">
        <v>2366</v>
      </c>
      <c r="G940" s="14">
        <v>1</v>
      </c>
      <c r="H940" s="14" t="s">
        <v>1371</v>
      </c>
      <c r="I940" s="13">
        <v>31</v>
      </c>
      <c r="J940" s="15" t="s">
        <v>1430</v>
      </c>
      <c r="K940" s="15" t="s">
        <v>2707</v>
      </c>
      <c r="L940" s="16">
        <v>5391.762999999999</v>
      </c>
      <c r="M940" s="16">
        <v>2079.4454999999998</v>
      </c>
      <c r="N940" s="16"/>
      <c r="O940" s="16"/>
      <c r="P940" s="16"/>
      <c r="Q940" s="16">
        <f>SUM(Tabela1[[#This Row],[201805]:[201807]])</f>
        <v>7471.2084999999988</v>
      </c>
      <c r="R940" s="16">
        <f>SUM(Tabela1[[#This Row],[201905]:[201906]])</f>
        <v>0</v>
      </c>
      <c r="S940" s="16">
        <v>100000</v>
      </c>
      <c r="T940" s="16">
        <f>Tabela1[[#This Row],[Total 2019]]-Tabela1[[#This Row],[Total 2018]]</f>
        <v>-7471.2084999999988</v>
      </c>
      <c r="U940" s="40">
        <f>Tabela1[[#This Row],[Total 2019]]/Tabela1[[#This Row],[Meta]]</f>
        <v>0</v>
      </c>
      <c r="V940" s="17">
        <f>IFERROR(Tabela1[[#This Row],[Total 2019]]/Tabela1[[#This Row],[Total 2018]]-1,0)</f>
        <v>-1</v>
      </c>
      <c r="W94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40" s="48"/>
      <c r="Y940" s="19"/>
      <c r="Z940" s="68"/>
    </row>
    <row r="941" spans="3:26" x14ac:dyDescent="0.35">
      <c r="C941" s="11" t="s">
        <v>2703</v>
      </c>
      <c r="D941" s="12" t="s">
        <v>2699</v>
      </c>
      <c r="E941" s="12">
        <v>920</v>
      </c>
      <c r="F941" s="13" t="s">
        <v>2367</v>
      </c>
      <c r="G941" s="14">
        <v>2</v>
      </c>
      <c r="H941" s="14" t="s">
        <v>1370</v>
      </c>
      <c r="I941" s="13">
        <v>3</v>
      </c>
      <c r="J941" s="15" t="s">
        <v>1402</v>
      </c>
      <c r="K941" s="15" t="s">
        <v>2706</v>
      </c>
      <c r="L941" s="16"/>
      <c r="M941" s="16">
        <v>1169.6400000000001</v>
      </c>
      <c r="N941" s="16">
        <v>2330.3879999999999</v>
      </c>
      <c r="O941" s="16"/>
      <c r="P941" s="16"/>
      <c r="Q941" s="16">
        <f>SUM(Tabela1[[#This Row],[201805]:[201807]])</f>
        <v>3500.0280000000002</v>
      </c>
      <c r="R941" s="16">
        <f>SUM(Tabela1[[#This Row],[201905]:[201906]])</f>
        <v>0</v>
      </c>
      <c r="S941" s="16">
        <v>100000</v>
      </c>
      <c r="T941" s="16">
        <f>Tabela1[[#This Row],[Total 2019]]-Tabela1[[#This Row],[Total 2018]]</f>
        <v>-3500.0280000000002</v>
      </c>
      <c r="U941" s="40">
        <f>Tabela1[[#This Row],[Total 2019]]/Tabela1[[#This Row],[Meta]]</f>
        <v>0</v>
      </c>
      <c r="V941" s="17">
        <f>IFERROR(Tabela1[[#This Row],[Total 2019]]/Tabela1[[#This Row],[Total 2018]]-1,0)</f>
        <v>-1</v>
      </c>
      <c r="W94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41" s="48"/>
      <c r="Y941" s="19"/>
      <c r="Z941" s="68"/>
    </row>
    <row r="942" spans="3:26" x14ac:dyDescent="0.35">
      <c r="C942" s="11" t="s">
        <v>2702</v>
      </c>
      <c r="D942" s="12" t="s">
        <v>2698</v>
      </c>
      <c r="E942" s="12">
        <v>921</v>
      </c>
      <c r="F942" s="13" t="s">
        <v>2368</v>
      </c>
      <c r="G942" s="14">
        <v>2</v>
      </c>
      <c r="H942" s="14" t="s">
        <v>1370</v>
      </c>
      <c r="I942" s="13">
        <v>3</v>
      </c>
      <c r="J942" s="15" t="s">
        <v>1402</v>
      </c>
      <c r="K942" s="15" t="s">
        <v>2706</v>
      </c>
      <c r="L942" s="16">
        <v>3700.3449999999998</v>
      </c>
      <c r="M942" s="16">
        <v>1573.4184999999998</v>
      </c>
      <c r="N942" s="16"/>
      <c r="O942" s="16"/>
      <c r="P942" s="16"/>
      <c r="Q942" s="16">
        <f>SUM(Tabela1[[#This Row],[201805]:[201807]])</f>
        <v>5273.7634999999991</v>
      </c>
      <c r="R942" s="16">
        <f>SUM(Tabela1[[#This Row],[201905]:[201906]])</f>
        <v>0</v>
      </c>
      <c r="S942" s="16">
        <v>100000</v>
      </c>
      <c r="T942" s="16">
        <f>Tabela1[[#This Row],[Total 2019]]-Tabela1[[#This Row],[Total 2018]]</f>
        <v>-5273.7634999999991</v>
      </c>
      <c r="U942" s="40">
        <f>Tabela1[[#This Row],[Total 2019]]/Tabela1[[#This Row],[Meta]]</f>
        <v>0</v>
      </c>
      <c r="V942" s="17">
        <f>IFERROR(Tabela1[[#This Row],[Total 2019]]/Tabela1[[#This Row],[Total 2018]]-1,0)</f>
        <v>-1</v>
      </c>
      <c r="W94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42" s="48"/>
      <c r="Y942" s="19"/>
      <c r="Z942" s="68"/>
    </row>
    <row r="943" spans="3:26" x14ac:dyDescent="0.35">
      <c r="C943" s="11" t="s">
        <v>2704</v>
      </c>
      <c r="D943" s="12" t="s">
        <v>2699</v>
      </c>
      <c r="E943" s="12">
        <v>922</v>
      </c>
      <c r="F943" s="13" t="s">
        <v>2369</v>
      </c>
      <c r="G943" s="14">
        <v>3</v>
      </c>
      <c r="H943" s="14" t="s">
        <v>1370</v>
      </c>
      <c r="I943" s="13">
        <v>19</v>
      </c>
      <c r="J943" s="15" t="s">
        <v>1418</v>
      </c>
      <c r="K943" s="15" t="s">
        <v>2706</v>
      </c>
      <c r="L943" s="16">
        <v>5503.2550000000001</v>
      </c>
      <c r="M943" s="16">
        <v>1459.6559999999999</v>
      </c>
      <c r="N943" s="16"/>
      <c r="O943" s="16">
        <v>1744.105</v>
      </c>
      <c r="P943" s="16">
        <v>2174.9489999999996</v>
      </c>
      <c r="Q943" s="16">
        <f>SUM(Tabela1[[#This Row],[201805]:[201807]])</f>
        <v>6962.9110000000001</v>
      </c>
      <c r="R943" s="16">
        <f>SUM(Tabela1[[#This Row],[201905]:[201906]])</f>
        <v>3919.0539999999996</v>
      </c>
      <c r="S943" s="16">
        <v>100000</v>
      </c>
      <c r="T943" s="16">
        <f>Tabela1[[#This Row],[Total 2019]]-Tabela1[[#This Row],[Total 2018]]</f>
        <v>-3043.8570000000004</v>
      </c>
      <c r="U943" s="40">
        <f>Tabela1[[#This Row],[Total 2019]]/Tabela1[[#This Row],[Meta]]</f>
        <v>3.9190539999999996E-2</v>
      </c>
      <c r="V943" s="17">
        <f>IFERROR(Tabela1[[#This Row],[Total 2019]]/Tabela1[[#This Row],[Total 2018]]-1,0)</f>
        <v>-0.43715293790197818</v>
      </c>
      <c r="W94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943" s="48"/>
      <c r="Y943" s="19"/>
      <c r="Z943" s="68"/>
    </row>
    <row r="944" spans="3:26" x14ac:dyDescent="0.35">
      <c r="C944" s="11" t="s">
        <v>2703</v>
      </c>
      <c r="D944" s="12" t="s">
        <v>2700</v>
      </c>
      <c r="E944" s="12">
        <v>923</v>
      </c>
      <c r="F944" s="13" t="s">
        <v>2370</v>
      </c>
      <c r="G944" s="14">
        <v>2</v>
      </c>
      <c r="H944" s="14" t="s">
        <v>1372</v>
      </c>
      <c r="I944" s="13">
        <v>21</v>
      </c>
      <c r="J944" s="15" t="s">
        <v>1420</v>
      </c>
      <c r="K944" s="15" t="s">
        <v>2708</v>
      </c>
      <c r="L944" s="16"/>
      <c r="M944" s="16">
        <v>6617.3580000000011</v>
      </c>
      <c r="N944" s="16"/>
      <c r="O944" s="16"/>
      <c r="P944" s="16"/>
      <c r="Q944" s="16">
        <f>SUM(Tabela1[[#This Row],[201805]:[201807]])</f>
        <v>6617.3580000000011</v>
      </c>
      <c r="R944" s="16">
        <f>SUM(Tabela1[[#This Row],[201905]:[201906]])</f>
        <v>0</v>
      </c>
      <c r="S944" s="16">
        <v>100000</v>
      </c>
      <c r="T944" s="16">
        <f>Tabela1[[#This Row],[Total 2019]]-Tabela1[[#This Row],[Total 2018]]</f>
        <v>-6617.3580000000011</v>
      </c>
      <c r="U944" s="40">
        <f>Tabela1[[#This Row],[Total 2019]]/Tabela1[[#This Row],[Meta]]</f>
        <v>0</v>
      </c>
      <c r="V944" s="17">
        <f>IFERROR(Tabela1[[#This Row],[Total 2019]]/Tabela1[[#This Row],[Total 2018]]-1,0)</f>
        <v>-1</v>
      </c>
      <c r="W94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44" s="48"/>
      <c r="Y944" s="19"/>
      <c r="Z944" s="68"/>
    </row>
    <row r="945" spans="3:26" x14ac:dyDescent="0.35">
      <c r="C945" s="11" t="s">
        <v>2704</v>
      </c>
      <c r="D945" s="12" t="s">
        <v>2699</v>
      </c>
      <c r="E945" s="12">
        <v>924</v>
      </c>
      <c r="F945" s="13" t="s">
        <v>2371</v>
      </c>
      <c r="G945" s="14">
        <v>1</v>
      </c>
      <c r="H945" s="14" t="s">
        <v>1370</v>
      </c>
      <c r="I945" s="13">
        <v>34</v>
      </c>
      <c r="J945" s="15" t="s">
        <v>1433</v>
      </c>
      <c r="K945" s="15" t="s">
        <v>2706</v>
      </c>
      <c r="L945" s="16">
        <v>6489.6969999999983</v>
      </c>
      <c r="M945" s="16">
        <v>4462.0834999999997</v>
      </c>
      <c r="N945" s="16"/>
      <c r="O945" s="16"/>
      <c r="P945" s="16"/>
      <c r="Q945" s="16">
        <f>SUM(Tabela1[[#This Row],[201805]:[201807]])</f>
        <v>10951.780499999997</v>
      </c>
      <c r="R945" s="16">
        <f>SUM(Tabela1[[#This Row],[201905]:[201906]])</f>
        <v>0</v>
      </c>
      <c r="S945" s="16">
        <v>100000</v>
      </c>
      <c r="T945" s="16">
        <f>Tabela1[[#This Row],[Total 2019]]-Tabela1[[#This Row],[Total 2018]]</f>
        <v>-10951.780499999997</v>
      </c>
      <c r="U945" s="40">
        <f>Tabela1[[#This Row],[Total 2019]]/Tabela1[[#This Row],[Meta]]</f>
        <v>0</v>
      </c>
      <c r="V945" s="17">
        <f>IFERROR(Tabela1[[#This Row],[Total 2019]]/Tabela1[[#This Row],[Total 2018]]-1,0)</f>
        <v>-1</v>
      </c>
      <c r="W94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45" s="48"/>
      <c r="Y945" s="19"/>
      <c r="Z945" s="68"/>
    </row>
    <row r="946" spans="3:26" x14ac:dyDescent="0.35">
      <c r="C946" s="11" t="s">
        <v>2703</v>
      </c>
      <c r="D946" s="12" t="s">
        <v>2699</v>
      </c>
      <c r="E946" s="12">
        <v>925</v>
      </c>
      <c r="F946" s="13" t="s">
        <v>2372</v>
      </c>
      <c r="G946" s="14">
        <v>1</v>
      </c>
      <c r="H946" s="14" t="s">
        <v>1371</v>
      </c>
      <c r="I946" s="13">
        <v>26</v>
      </c>
      <c r="J946" s="15" t="s">
        <v>1425</v>
      </c>
      <c r="K946" s="15" t="s">
        <v>2707</v>
      </c>
      <c r="L946" s="16">
        <v>4156.8675000000003</v>
      </c>
      <c r="M946" s="16">
        <v>2906.7529999999997</v>
      </c>
      <c r="N946" s="16"/>
      <c r="O946" s="16"/>
      <c r="P946" s="16"/>
      <c r="Q946" s="16">
        <f>SUM(Tabela1[[#This Row],[201805]:[201807]])</f>
        <v>7063.6205</v>
      </c>
      <c r="R946" s="16">
        <f>SUM(Tabela1[[#This Row],[201905]:[201906]])</f>
        <v>0</v>
      </c>
      <c r="S946" s="16">
        <v>100000</v>
      </c>
      <c r="T946" s="16">
        <f>Tabela1[[#This Row],[Total 2019]]-Tabela1[[#This Row],[Total 2018]]</f>
        <v>-7063.6205</v>
      </c>
      <c r="U946" s="40">
        <f>Tabela1[[#This Row],[Total 2019]]/Tabela1[[#This Row],[Meta]]</f>
        <v>0</v>
      </c>
      <c r="V946" s="17">
        <f>IFERROR(Tabela1[[#This Row],[Total 2019]]/Tabela1[[#This Row],[Total 2018]]-1,0)</f>
        <v>-1</v>
      </c>
      <c r="W94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46" s="48"/>
      <c r="Y946" s="19"/>
      <c r="Z946" s="68"/>
    </row>
    <row r="947" spans="3:26" x14ac:dyDescent="0.35">
      <c r="C947" s="11" t="s">
        <v>2703</v>
      </c>
      <c r="D947" s="12" t="s">
        <v>2699</v>
      </c>
      <c r="E947" s="12">
        <v>926</v>
      </c>
      <c r="F947" s="13" t="s">
        <v>2373</v>
      </c>
      <c r="G947" s="14">
        <v>2</v>
      </c>
      <c r="H947" s="14" t="s">
        <v>1371</v>
      </c>
      <c r="I947" s="13">
        <v>14</v>
      </c>
      <c r="J947" s="15" t="s">
        <v>1413</v>
      </c>
      <c r="K947" s="15" t="s">
        <v>2707</v>
      </c>
      <c r="L947" s="16">
        <v>2356.152</v>
      </c>
      <c r="M947" s="16">
        <v>4093.17</v>
      </c>
      <c r="N947" s="16"/>
      <c r="O947" s="16"/>
      <c r="P947" s="16"/>
      <c r="Q947" s="16">
        <f>SUM(Tabela1[[#This Row],[201805]:[201807]])</f>
        <v>6449.3220000000001</v>
      </c>
      <c r="R947" s="16">
        <f>SUM(Tabela1[[#This Row],[201905]:[201906]])</f>
        <v>0</v>
      </c>
      <c r="S947" s="16">
        <v>100000</v>
      </c>
      <c r="T947" s="16">
        <f>Tabela1[[#This Row],[Total 2019]]-Tabela1[[#This Row],[Total 2018]]</f>
        <v>-6449.3220000000001</v>
      </c>
      <c r="U947" s="40">
        <f>Tabela1[[#This Row],[Total 2019]]/Tabela1[[#This Row],[Meta]]</f>
        <v>0</v>
      </c>
      <c r="V947" s="17">
        <f>IFERROR(Tabela1[[#This Row],[Total 2019]]/Tabela1[[#This Row],[Total 2018]]-1,0)</f>
        <v>-1</v>
      </c>
      <c r="W94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47" s="48"/>
      <c r="Y947" s="19"/>
      <c r="Z947" s="68"/>
    </row>
    <row r="948" spans="3:26" x14ac:dyDescent="0.35">
      <c r="C948" s="11" t="s">
        <v>2703</v>
      </c>
      <c r="D948" s="12" t="s">
        <v>2700</v>
      </c>
      <c r="E948" s="12">
        <v>927</v>
      </c>
      <c r="F948" s="13" t="s">
        <v>2374</v>
      </c>
      <c r="G948" s="14">
        <v>2</v>
      </c>
      <c r="H948" s="14" t="s">
        <v>1372</v>
      </c>
      <c r="I948" s="13">
        <v>21</v>
      </c>
      <c r="J948" s="15" t="s">
        <v>1420</v>
      </c>
      <c r="K948" s="15" t="s">
        <v>2708</v>
      </c>
      <c r="L948" s="16">
        <v>537.38650000000007</v>
      </c>
      <c r="M948" s="16">
        <v>1693.8595</v>
      </c>
      <c r="N948" s="16">
        <v>744.83799999999997</v>
      </c>
      <c r="O948" s="16">
        <v>8208.9689999999991</v>
      </c>
      <c r="P948" s="16"/>
      <c r="Q948" s="16">
        <f>SUM(Tabela1[[#This Row],[201805]:[201807]])</f>
        <v>2976.0839999999998</v>
      </c>
      <c r="R948" s="16">
        <f>SUM(Tabela1[[#This Row],[201905]:[201906]])</f>
        <v>8208.9689999999991</v>
      </c>
      <c r="S948" s="16">
        <v>100000</v>
      </c>
      <c r="T948" s="16">
        <f>Tabela1[[#This Row],[Total 2019]]-Tabela1[[#This Row],[Total 2018]]</f>
        <v>5232.8849999999993</v>
      </c>
      <c r="U948" s="40">
        <f>Tabela1[[#This Row],[Total 2019]]/Tabela1[[#This Row],[Meta]]</f>
        <v>8.2089689999999993E-2</v>
      </c>
      <c r="V948" s="17">
        <f>IFERROR(Tabela1[[#This Row],[Total 2019]]/Tabela1[[#This Row],[Total 2018]]-1,0)</f>
        <v>1.7583122653796059</v>
      </c>
      <c r="W94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948" s="48"/>
      <c r="Y948" s="19"/>
      <c r="Z948" s="68"/>
    </row>
    <row r="949" spans="3:26" x14ac:dyDescent="0.35">
      <c r="C949" s="11" t="s">
        <v>2702</v>
      </c>
      <c r="D949" s="12" t="s">
        <v>2698</v>
      </c>
      <c r="E949" s="12">
        <v>928</v>
      </c>
      <c r="F949" s="13" t="s">
        <v>2375</v>
      </c>
      <c r="G949" s="14">
        <v>2</v>
      </c>
      <c r="H949" s="14" t="s">
        <v>1370</v>
      </c>
      <c r="I949" s="13">
        <v>30</v>
      </c>
      <c r="J949" s="15" t="s">
        <v>1429</v>
      </c>
      <c r="K949" s="15" t="s">
        <v>2706</v>
      </c>
      <c r="L949" s="16"/>
      <c r="M949" s="16">
        <v>6041.8099999999995</v>
      </c>
      <c r="N949" s="16"/>
      <c r="O949" s="16"/>
      <c r="P949" s="16"/>
      <c r="Q949" s="16">
        <f>SUM(Tabela1[[#This Row],[201805]:[201807]])</f>
        <v>6041.8099999999995</v>
      </c>
      <c r="R949" s="16">
        <f>SUM(Tabela1[[#This Row],[201905]:[201906]])</f>
        <v>0</v>
      </c>
      <c r="S949" s="16">
        <v>100000</v>
      </c>
      <c r="T949" s="16">
        <f>Tabela1[[#This Row],[Total 2019]]-Tabela1[[#This Row],[Total 2018]]</f>
        <v>-6041.8099999999995</v>
      </c>
      <c r="U949" s="40">
        <f>Tabela1[[#This Row],[Total 2019]]/Tabela1[[#This Row],[Meta]]</f>
        <v>0</v>
      </c>
      <c r="V949" s="17">
        <f>IFERROR(Tabela1[[#This Row],[Total 2019]]/Tabela1[[#This Row],[Total 2018]]-1,0)</f>
        <v>-1</v>
      </c>
      <c r="W94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49" s="48"/>
      <c r="Y949" s="19"/>
      <c r="Z949" s="68"/>
    </row>
    <row r="950" spans="3:26" x14ac:dyDescent="0.35">
      <c r="C950" s="11" t="s">
        <v>2704</v>
      </c>
      <c r="D950" s="12" t="s">
        <v>2699</v>
      </c>
      <c r="E950" s="12">
        <v>929</v>
      </c>
      <c r="F950" s="13" t="s">
        <v>2376</v>
      </c>
      <c r="G950" s="14">
        <v>2</v>
      </c>
      <c r="H950" s="14" t="s">
        <v>1372</v>
      </c>
      <c r="I950" s="13">
        <v>22</v>
      </c>
      <c r="J950" s="15" t="s">
        <v>1421</v>
      </c>
      <c r="K950" s="15" t="s">
        <v>2708</v>
      </c>
      <c r="L950" s="16"/>
      <c r="M950" s="16">
        <v>3500.1229999999996</v>
      </c>
      <c r="N950" s="16"/>
      <c r="O950" s="16"/>
      <c r="P950" s="16"/>
      <c r="Q950" s="16">
        <f>SUM(Tabela1[[#This Row],[201805]:[201807]])</f>
        <v>3500.1229999999996</v>
      </c>
      <c r="R950" s="16">
        <f>SUM(Tabela1[[#This Row],[201905]:[201906]])</f>
        <v>0</v>
      </c>
      <c r="S950" s="16">
        <v>100000</v>
      </c>
      <c r="T950" s="16">
        <f>Tabela1[[#This Row],[Total 2019]]-Tabela1[[#This Row],[Total 2018]]</f>
        <v>-3500.1229999999996</v>
      </c>
      <c r="U950" s="40">
        <f>Tabela1[[#This Row],[Total 2019]]/Tabela1[[#This Row],[Meta]]</f>
        <v>0</v>
      </c>
      <c r="V950" s="17">
        <f>IFERROR(Tabela1[[#This Row],[Total 2019]]/Tabela1[[#This Row],[Total 2018]]-1,0)</f>
        <v>-1</v>
      </c>
      <c r="W95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50" s="48"/>
      <c r="Y950" s="19"/>
      <c r="Z950" s="68"/>
    </row>
    <row r="951" spans="3:26" x14ac:dyDescent="0.35">
      <c r="C951" s="11" t="s">
        <v>2703</v>
      </c>
      <c r="D951" s="12" t="s">
        <v>2699</v>
      </c>
      <c r="E951" s="12">
        <v>930</v>
      </c>
      <c r="F951" s="13" t="s">
        <v>2377</v>
      </c>
      <c r="G951" s="14">
        <v>2</v>
      </c>
      <c r="H951" s="14" t="s">
        <v>1372</v>
      </c>
      <c r="I951" s="13">
        <v>27</v>
      </c>
      <c r="J951" s="15" t="s">
        <v>1426</v>
      </c>
      <c r="K951" s="15" t="s">
        <v>2708</v>
      </c>
      <c r="L951" s="16">
        <v>2117.607</v>
      </c>
      <c r="M951" s="16">
        <v>4883.6744999999992</v>
      </c>
      <c r="N951" s="16">
        <v>2510.0614999999998</v>
      </c>
      <c r="O951" s="16">
        <v>4019.4879999999994</v>
      </c>
      <c r="P951" s="16">
        <v>5090.9740000000002</v>
      </c>
      <c r="Q951" s="16">
        <f>SUM(Tabela1[[#This Row],[201805]:[201807]])</f>
        <v>9511.3429999999989</v>
      </c>
      <c r="R951" s="16">
        <f>SUM(Tabela1[[#This Row],[201905]:[201906]])</f>
        <v>9110.4619999999995</v>
      </c>
      <c r="S951" s="16">
        <v>100000</v>
      </c>
      <c r="T951" s="16">
        <f>Tabela1[[#This Row],[Total 2019]]-Tabela1[[#This Row],[Total 2018]]</f>
        <v>-400.8809999999994</v>
      </c>
      <c r="U951" s="40">
        <f>Tabela1[[#This Row],[Total 2019]]/Tabela1[[#This Row],[Meta]]</f>
        <v>9.1104619999999997E-2</v>
      </c>
      <c r="V951" s="17">
        <f>IFERROR(Tabela1[[#This Row],[Total 2019]]/Tabela1[[#This Row],[Total 2018]]-1,0)</f>
        <v>-4.214767567524369E-2</v>
      </c>
      <c r="W95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951" s="48"/>
      <c r="Y951" s="19"/>
      <c r="Z951" s="68"/>
    </row>
    <row r="952" spans="3:26" x14ac:dyDescent="0.35">
      <c r="C952" s="11" t="s">
        <v>2704</v>
      </c>
      <c r="D952" s="12" t="s">
        <v>2698</v>
      </c>
      <c r="E952" s="12">
        <v>931</v>
      </c>
      <c r="F952" s="13" t="s">
        <v>2378</v>
      </c>
      <c r="G952" s="14">
        <v>3</v>
      </c>
      <c r="H952" s="14" t="s">
        <v>1370</v>
      </c>
      <c r="I952" s="13">
        <v>30</v>
      </c>
      <c r="J952" s="15" t="s">
        <v>1429</v>
      </c>
      <c r="K952" s="15" t="s">
        <v>2706</v>
      </c>
      <c r="L952" s="16"/>
      <c r="M952" s="16"/>
      <c r="N952" s="16">
        <v>1593.8244999999999</v>
      </c>
      <c r="O952" s="16"/>
      <c r="P952" s="16"/>
      <c r="Q952" s="16">
        <f>SUM(Tabela1[[#This Row],[201805]:[201807]])</f>
        <v>1593.8244999999999</v>
      </c>
      <c r="R952" s="16">
        <f>SUM(Tabela1[[#This Row],[201905]:[201906]])</f>
        <v>0</v>
      </c>
      <c r="S952" s="16">
        <v>100000</v>
      </c>
      <c r="T952" s="16">
        <f>Tabela1[[#This Row],[Total 2019]]-Tabela1[[#This Row],[Total 2018]]</f>
        <v>-1593.8244999999999</v>
      </c>
      <c r="U952" s="40">
        <f>Tabela1[[#This Row],[Total 2019]]/Tabela1[[#This Row],[Meta]]</f>
        <v>0</v>
      </c>
      <c r="V952" s="17">
        <f>IFERROR(Tabela1[[#This Row],[Total 2019]]/Tabela1[[#This Row],[Total 2018]]-1,0)</f>
        <v>-1</v>
      </c>
      <c r="W95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52" s="48"/>
      <c r="Y952" s="19"/>
      <c r="Z952" s="68"/>
    </row>
    <row r="953" spans="3:26" x14ac:dyDescent="0.35">
      <c r="C953" s="11" t="s">
        <v>2703</v>
      </c>
      <c r="D953" s="12" t="s">
        <v>2699</v>
      </c>
      <c r="E953" s="12">
        <v>932</v>
      </c>
      <c r="F953" s="13" t="s">
        <v>2379</v>
      </c>
      <c r="G953" s="14">
        <v>1</v>
      </c>
      <c r="H953" s="14" t="s">
        <v>1372</v>
      </c>
      <c r="I953" s="13">
        <v>16</v>
      </c>
      <c r="J953" s="15" t="s">
        <v>1415</v>
      </c>
      <c r="K953" s="15" t="s">
        <v>2708</v>
      </c>
      <c r="L953" s="16">
        <v>1138.6224999999999</v>
      </c>
      <c r="M953" s="16">
        <v>2582.1284999999993</v>
      </c>
      <c r="N953" s="16"/>
      <c r="O953" s="16"/>
      <c r="P953" s="16"/>
      <c r="Q953" s="16">
        <f>SUM(Tabela1[[#This Row],[201805]:[201807]])</f>
        <v>3720.7509999999993</v>
      </c>
      <c r="R953" s="16">
        <f>SUM(Tabela1[[#This Row],[201905]:[201906]])</f>
        <v>0</v>
      </c>
      <c r="S953" s="16">
        <v>100000</v>
      </c>
      <c r="T953" s="16">
        <f>Tabela1[[#This Row],[Total 2019]]-Tabela1[[#This Row],[Total 2018]]</f>
        <v>-3720.7509999999993</v>
      </c>
      <c r="U953" s="40">
        <f>Tabela1[[#This Row],[Total 2019]]/Tabela1[[#This Row],[Meta]]</f>
        <v>0</v>
      </c>
      <c r="V953" s="17">
        <f>IFERROR(Tabela1[[#This Row],[Total 2019]]/Tabela1[[#This Row],[Total 2018]]-1,0)</f>
        <v>-1</v>
      </c>
      <c r="W95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53" s="48"/>
      <c r="Y953" s="19"/>
      <c r="Z953" s="68"/>
    </row>
    <row r="954" spans="3:26" x14ac:dyDescent="0.35">
      <c r="C954" s="11" t="s">
        <v>2702</v>
      </c>
      <c r="D954" s="12" t="s">
        <v>2700</v>
      </c>
      <c r="E954" s="12">
        <v>933</v>
      </c>
      <c r="F954" s="13" t="s">
        <v>2380</v>
      </c>
      <c r="G954" s="14">
        <v>3</v>
      </c>
      <c r="H954" s="14" t="s">
        <v>1370</v>
      </c>
      <c r="I954" s="13">
        <v>3</v>
      </c>
      <c r="J954" s="15" t="s">
        <v>1402</v>
      </c>
      <c r="K954" s="15" t="s">
        <v>2706</v>
      </c>
      <c r="L954" s="16"/>
      <c r="M954" s="16">
        <v>6305.701</v>
      </c>
      <c r="N954" s="16"/>
      <c r="O954" s="16"/>
      <c r="P954" s="16"/>
      <c r="Q954" s="16">
        <f>SUM(Tabela1[[#This Row],[201805]:[201807]])</f>
        <v>6305.701</v>
      </c>
      <c r="R954" s="16">
        <f>SUM(Tabela1[[#This Row],[201905]:[201906]])</f>
        <v>0</v>
      </c>
      <c r="S954" s="16">
        <v>100000</v>
      </c>
      <c r="T954" s="16">
        <f>Tabela1[[#This Row],[Total 2019]]-Tabela1[[#This Row],[Total 2018]]</f>
        <v>-6305.701</v>
      </c>
      <c r="U954" s="40">
        <f>Tabela1[[#This Row],[Total 2019]]/Tabela1[[#This Row],[Meta]]</f>
        <v>0</v>
      </c>
      <c r="V954" s="17">
        <f>IFERROR(Tabela1[[#This Row],[Total 2019]]/Tabela1[[#This Row],[Total 2018]]-1,0)</f>
        <v>-1</v>
      </c>
      <c r="W95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54" s="48"/>
      <c r="Y954" s="19"/>
      <c r="Z954" s="68"/>
    </row>
    <row r="955" spans="3:26" x14ac:dyDescent="0.35">
      <c r="C955" s="11" t="s">
        <v>2702</v>
      </c>
      <c r="D955" s="12" t="s">
        <v>2698</v>
      </c>
      <c r="E955" s="12">
        <v>934</v>
      </c>
      <c r="F955" s="13" t="s">
        <v>2381</v>
      </c>
      <c r="G955" s="14">
        <v>3</v>
      </c>
      <c r="H955" s="14" t="s">
        <v>1372</v>
      </c>
      <c r="I955" s="13">
        <v>16</v>
      </c>
      <c r="J955" s="15" t="s">
        <v>1415</v>
      </c>
      <c r="K955" s="15" t="s">
        <v>2708</v>
      </c>
      <c r="L955" s="16">
        <v>2586.6504999999997</v>
      </c>
      <c r="M955" s="16">
        <v>1635.0924999999997</v>
      </c>
      <c r="N955" s="16"/>
      <c r="O955" s="16"/>
      <c r="P955" s="16"/>
      <c r="Q955" s="16">
        <f>SUM(Tabela1[[#This Row],[201805]:[201807]])</f>
        <v>4221.7429999999995</v>
      </c>
      <c r="R955" s="16">
        <f>SUM(Tabela1[[#This Row],[201905]:[201906]])</f>
        <v>0</v>
      </c>
      <c r="S955" s="16">
        <v>100000</v>
      </c>
      <c r="T955" s="16">
        <f>Tabela1[[#This Row],[Total 2019]]-Tabela1[[#This Row],[Total 2018]]</f>
        <v>-4221.7429999999995</v>
      </c>
      <c r="U955" s="40">
        <f>Tabela1[[#This Row],[Total 2019]]/Tabela1[[#This Row],[Meta]]</f>
        <v>0</v>
      </c>
      <c r="V955" s="17">
        <f>IFERROR(Tabela1[[#This Row],[Total 2019]]/Tabela1[[#This Row],[Total 2018]]-1,0)</f>
        <v>-1</v>
      </c>
      <c r="W95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55" s="48"/>
      <c r="Y955" s="19"/>
      <c r="Z955" s="68"/>
    </row>
    <row r="956" spans="3:26" x14ac:dyDescent="0.35">
      <c r="C956" s="11" t="s">
        <v>2704</v>
      </c>
      <c r="D956" s="12" t="s">
        <v>2698</v>
      </c>
      <c r="E956" s="12">
        <v>935</v>
      </c>
      <c r="F956" s="13" t="s">
        <v>2382</v>
      </c>
      <c r="G956" s="14">
        <v>1</v>
      </c>
      <c r="H956" s="14" t="s">
        <v>1370</v>
      </c>
      <c r="I956" s="13">
        <v>15</v>
      </c>
      <c r="J956" s="15" t="s">
        <v>1414</v>
      </c>
      <c r="K956" s="15" t="s">
        <v>2706</v>
      </c>
      <c r="L956" s="16"/>
      <c r="M956" s="16"/>
      <c r="N956" s="16">
        <v>9634.3299999999981</v>
      </c>
      <c r="O956" s="16"/>
      <c r="P956" s="16"/>
      <c r="Q956" s="16">
        <f>SUM(Tabela1[[#This Row],[201805]:[201807]])</f>
        <v>9634.3299999999981</v>
      </c>
      <c r="R956" s="16">
        <f>SUM(Tabela1[[#This Row],[201905]:[201906]])</f>
        <v>0</v>
      </c>
      <c r="S956" s="16">
        <v>100000</v>
      </c>
      <c r="T956" s="16">
        <f>Tabela1[[#This Row],[Total 2019]]-Tabela1[[#This Row],[Total 2018]]</f>
        <v>-9634.3299999999981</v>
      </c>
      <c r="U956" s="40">
        <f>Tabela1[[#This Row],[Total 2019]]/Tabela1[[#This Row],[Meta]]</f>
        <v>0</v>
      </c>
      <c r="V956" s="17">
        <f>IFERROR(Tabela1[[#This Row],[Total 2019]]/Tabela1[[#This Row],[Total 2018]]-1,0)</f>
        <v>-1</v>
      </c>
      <c r="W95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56" s="48"/>
      <c r="Y956" s="19"/>
      <c r="Z956" s="68"/>
    </row>
    <row r="957" spans="3:26" x14ac:dyDescent="0.35">
      <c r="C957" s="11" t="s">
        <v>2702</v>
      </c>
      <c r="D957" s="12" t="s">
        <v>2699</v>
      </c>
      <c r="E957" s="12">
        <v>936</v>
      </c>
      <c r="F957" s="13" t="s">
        <v>2383</v>
      </c>
      <c r="G957" s="14">
        <v>3</v>
      </c>
      <c r="H957" s="14" t="s">
        <v>1372</v>
      </c>
      <c r="I957" s="13">
        <v>18</v>
      </c>
      <c r="J957" s="15" t="s">
        <v>1417</v>
      </c>
      <c r="K957" s="15" t="s">
        <v>2708</v>
      </c>
      <c r="L957" s="16">
        <v>3022.1685000000002</v>
      </c>
      <c r="M957" s="16">
        <v>8444.530999999999</v>
      </c>
      <c r="N957" s="16"/>
      <c r="O957" s="16"/>
      <c r="P957" s="16"/>
      <c r="Q957" s="16">
        <f>SUM(Tabela1[[#This Row],[201805]:[201807]])</f>
        <v>11466.699499999999</v>
      </c>
      <c r="R957" s="16">
        <f>SUM(Tabela1[[#This Row],[201905]:[201906]])</f>
        <v>0</v>
      </c>
      <c r="S957" s="16">
        <v>100000</v>
      </c>
      <c r="T957" s="16">
        <f>Tabela1[[#This Row],[Total 2019]]-Tabela1[[#This Row],[Total 2018]]</f>
        <v>-11466.699499999999</v>
      </c>
      <c r="U957" s="40">
        <f>Tabela1[[#This Row],[Total 2019]]/Tabela1[[#This Row],[Meta]]</f>
        <v>0</v>
      </c>
      <c r="V957" s="17">
        <f>IFERROR(Tabela1[[#This Row],[Total 2019]]/Tabela1[[#This Row],[Total 2018]]-1,0)</f>
        <v>-1</v>
      </c>
      <c r="W95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57" s="48"/>
      <c r="Y957" s="19"/>
      <c r="Z957" s="68"/>
    </row>
    <row r="958" spans="3:26" x14ac:dyDescent="0.35">
      <c r="C958" s="11" t="s">
        <v>2703</v>
      </c>
      <c r="D958" s="12" t="s">
        <v>2700</v>
      </c>
      <c r="E958" s="12">
        <v>937</v>
      </c>
      <c r="F958" s="13" t="s">
        <v>2384</v>
      </c>
      <c r="G958" s="14">
        <v>2</v>
      </c>
      <c r="H958" s="14" t="s">
        <v>1372</v>
      </c>
      <c r="I958" s="13">
        <v>17</v>
      </c>
      <c r="J958" s="15" t="s">
        <v>1416</v>
      </c>
      <c r="K958" s="15" t="s">
        <v>2708</v>
      </c>
      <c r="L958" s="16">
        <v>4689.7984999999999</v>
      </c>
      <c r="M958" s="16">
        <v>3098.6909999999998</v>
      </c>
      <c r="N958" s="16"/>
      <c r="O958" s="16"/>
      <c r="P958" s="16"/>
      <c r="Q958" s="16">
        <f>SUM(Tabela1[[#This Row],[201805]:[201807]])</f>
        <v>7788.4894999999997</v>
      </c>
      <c r="R958" s="16">
        <f>SUM(Tabela1[[#This Row],[201905]:[201906]])</f>
        <v>0</v>
      </c>
      <c r="S958" s="16">
        <v>100000</v>
      </c>
      <c r="T958" s="16">
        <f>Tabela1[[#This Row],[Total 2019]]-Tabela1[[#This Row],[Total 2018]]</f>
        <v>-7788.4894999999997</v>
      </c>
      <c r="U958" s="40">
        <f>Tabela1[[#This Row],[Total 2019]]/Tabela1[[#This Row],[Meta]]</f>
        <v>0</v>
      </c>
      <c r="V958" s="17">
        <f>IFERROR(Tabela1[[#This Row],[Total 2019]]/Tabela1[[#This Row],[Total 2018]]-1,0)</f>
        <v>-1</v>
      </c>
      <c r="W95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58" s="48"/>
      <c r="Y958" s="19"/>
      <c r="Z958" s="68"/>
    </row>
    <row r="959" spans="3:26" x14ac:dyDescent="0.35">
      <c r="C959" s="11" t="s">
        <v>2702</v>
      </c>
      <c r="D959" s="12" t="s">
        <v>2699</v>
      </c>
      <c r="E959" s="12">
        <v>938</v>
      </c>
      <c r="F959" s="13" t="s">
        <v>2385</v>
      </c>
      <c r="G959" s="14">
        <v>3</v>
      </c>
      <c r="H959" s="14" t="s">
        <v>1372</v>
      </c>
      <c r="I959" s="13">
        <v>23</v>
      </c>
      <c r="J959" s="15" t="s">
        <v>1422</v>
      </c>
      <c r="K959" s="15" t="s">
        <v>2708</v>
      </c>
      <c r="L959" s="16">
        <v>1654.8809999999999</v>
      </c>
      <c r="M959" s="16">
        <v>734.55900000000008</v>
      </c>
      <c r="N959" s="16"/>
      <c r="O959" s="16">
        <v>8389.469000000001</v>
      </c>
      <c r="P959" s="16">
        <v>1206.8895</v>
      </c>
      <c r="Q959" s="16">
        <f>SUM(Tabela1[[#This Row],[201805]:[201807]])</f>
        <v>2389.44</v>
      </c>
      <c r="R959" s="16">
        <f>SUM(Tabela1[[#This Row],[201905]:[201906]])</f>
        <v>9596.3585000000003</v>
      </c>
      <c r="S959" s="16">
        <v>100000</v>
      </c>
      <c r="T959" s="16">
        <f>Tabela1[[#This Row],[Total 2019]]-Tabela1[[#This Row],[Total 2018]]</f>
        <v>7206.9184999999998</v>
      </c>
      <c r="U959" s="40">
        <f>Tabela1[[#This Row],[Total 2019]]/Tabela1[[#This Row],[Meta]]</f>
        <v>9.5963585000000004E-2</v>
      </c>
      <c r="V959" s="17">
        <f>IFERROR(Tabela1[[#This Row],[Total 2019]]/Tabela1[[#This Row],[Total 2018]]-1,0)</f>
        <v>3.016153784987277</v>
      </c>
      <c r="W95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959" s="48"/>
      <c r="Y959" s="19"/>
      <c r="Z959" s="68"/>
    </row>
    <row r="960" spans="3:26" x14ac:dyDescent="0.35">
      <c r="C960" s="11" t="s">
        <v>2703</v>
      </c>
      <c r="D960" s="12" t="s">
        <v>2698</v>
      </c>
      <c r="E960" s="12">
        <v>939</v>
      </c>
      <c r="F960" s="13" t="s">
        <v>2386</v>
      </c>
      <c r="G960" s="14">
        <v>1</v>
      </c>
      <c r="H960" s="14" t="s">
        <v>1370</v>
      </c>
      <c r="I960" s="13">
        <v>3</v>
      </c>
      <c r="J960" s="15" t="s">
        <v>1402</v>
      </c>
      <c r="K960" s="15" t="s">
        <v>2706</v>
      </c>
      <c r="L960" s="16">
        <v>5679.1379999999999</v>
      </c>
      <c r="M960" s="16">
        <v>5119.9964999999993</v>
      </c>
      <c r="N960" s="16"/>
      <c r="O960" s="16"/>
      <c r="P960" s="16"/>
      <c r="Q960" s="16">
        <f>SUM(Tabela1[[#This Row],[201805]:[201807]])</f>
        <v>10799.1345</v>
      </c>
      <c r="R960" s="16">
        <f>SUM(Tabela1[[#This Row],[201905]:[201906]])</f>
        <v>0</v>
      </c>
      <c r="S960" s="16">
        <v>100000</v>
      </c>
      <c r="T960" s="16">
        <f>Tabela1[[#This Row],[Total 2019]]-Tabela1[[#This Row],[Total 2018]]</f>
        <v>-10799.1345</v>
      </c>
      <c r="U960" s="40">
        <f>Tabela1[[#This Row],[Total 2019]]/Tabela1[[#This Row],[Meta]]</f>
        <v>0</v>
      </c>
      <c r="V960" s="17">
        <f>IFERROR(Tabela1[[#This Row],[Total 2019]]/Tabela1[[#This Row],[Total 2018]]-1,0)</f>
        <v>-1</v>
      </c>
      <c r="W96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60" s="48"/>
      <c r="Y960" s="19"/>
      <c r="Z960" s="68"/>
    </row>
    <row r="961" spans="3:26" x14ac:dyDescent="0.35">
      <c r="C961" s="11" t="s">
        <v>2703</v>
      </c>
      <c r="D961" s="12" t="s">
        <v>2698</v>
      </c>
      <c r="E961" s="12">
        <v>940</v>
      </c>
      <c r="F961" s="13" t="s">
        <v>2387</v>
      </c>
      <c r="G961" s="14">
        <v>2</v>
      </c>
      <c r="H961" s="14" t="s">
        <v>1371</v>
      </c>
      <c r="I961" s="13">
        <v>4</v>
      </c>
      <c r="J961" s="15" t="s">
        <v>1403</v>
      </c>
      <c r="K961" s="15" t="s">
        <v>2707</v>
      </c>
      <c r="L961" s="16"/>
      <c r="M961" s="16">
        <v>2936.2505000000001</v>
      </c>
      <c r="N961" s="16"/>
      <c r="O961" s="16"/>
      <c r="P961" s="16"/>
      <c r="Q961" s="16">
        <f>SUM(Tabela1[[#This Row],[201805]:[201807]])</f>
        <v>2936.2505000000001</v>
      </c>
      <c r="R961" s="16">
        <f>SUM(Tabela1[[#This Row],[201905]:[201906]])</f>
        <v>0</v>
      </c>
      <c r="S961" s="16">
        <v>100000</v>
      </c>
      <c r="T961" s="16">
        <f>Tabela1[[#This Row],[Total 2019]]-Tabela1[[#This Row],[Total 2018]]</f>
        <v>-2936.2505000000001</v>
      </c>
      <c r="U961" s="40">
        <f>Tabela1[[#This Row],[Total 2019]]/Tabela1[[#This Row],[Meta]]</f>
        <v>0</v>
      </c>
      <c r="V961" s="17">
        <f>IFERROR(Tabela1[[#This Row],[Total 2019]]/Tabela1[[#This Row],[Total 2018]]-1,0)</f>
        <v>-1</v>
      </c>
      <c r="W96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61" s="48"/>
      <c r="Y961" s="19"/>
      <c r="Z961" s="68"/>
    </row>
    <row r="962" spans="3:26" x14ac:dyDescent="0.35">
      <c r="C962" s="11" t="s">
        <v>2702</v>
      </c>
      <c r="D962" s="12" t="s">
        <v>2698</v>
      </c>
      <c r="E962" s="12">
        <v>941</v>
      </c>
      <c r="F962" s="13" t="s">
        <v>2388</v>
      </c>
      <c r="G962" s="14">
        <v>1</v>
      </c>
      <c r="H962" s="14" t="s">
        <v>1372</v>
      </c>
      <c r="I962" s="13">
        <v>27</v>
      </c>
      <c r="J962" s="15" t="s">
        <v>1426</v>
      </c>
      <c r="K962" s="15" t="s">
        <v>2708</v>
      </c>
      <c r="L962" s="16">
        <v>2228.8519999999999</v>
      </c>
      <c r="M962" s="16">
        <v>3161.4479999999999</v>
      </c>
      <c r="N962" s="16">
        <v>845.12950000000001</v>
      </c>
      <c r="O962" s="16"/>
      <c r="P962" s="16"/>
      <c r="Q962" s="16">
        <f>SUM(Tabela1[[#This Row],[201805]:[201807]])</f>
        <v>6235.4294999999993</v>
      </c>
      <c r="R962" s="16">
        <f>SUM(Tabela1[[#This Row],[201905]:[201906]])</f>
        <v>0</v>
      </c>
      <c r="S962" s="16">
        <v>100000</v>
      </c>
      <c r="T962" s="16">
        <f>Tabela1[[#This Row],[Total 2019]]-Tabela1[[#This Row],[Total 2018]]</f>
        <v>-6235.4294999999993</v>
      </c>
      <c r="U962" s="40">
        <f>Tabela1[[#This Row],[Total 2019]]/Tabela1[[#This Row],[Meta]]</f>
        <v>0</v>
      </c>
      <c r="V962" s="17">
        <f>IFERROR(Tabela1[[#This Row],[Total 2019]]/Tabela1[[#This Row],[Total 2018]]-1,0)</f>
        <v>-1</v>
      </c>
      <c r="W96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62" s="48"/>
      <c r="Y962" s="19"/>
      <c r="Z962" s="68"/>
    </row>
    <row r="963" spans="3:26" x14ac:dyDescent="0.35">
      <c r="C963" s="11" t="s">
        <v>2702</v>
      </c>
      <c r="D963" s="12" t="s">
        <v>2700</v>
      </c>
      <c r="E963" s="12">
        <v>942</v>
      </c>
      <c r="F963" s="13" t="s">
        <v>2389</v>
      </c>
      <c r="G963" s="14">
        <v>1</v>
      </c>
      <c r="H963" s="14" t="s">
        <v>1371</v>
      </c>
      <c r="I963" s="13">
        <v>31</v>
      </c>
      <c r="J963" s="15" t="s">
        <v>1430</v>
      </c>
      <c r="K963" s="15" t="s">
        <v>2707</v>
      </c>
      <c r="L963" s="16"/>
      <c r="M963" s="16">
        <v>8614.1345000000001</v>
      </c>
      <c r="N963" s="16"/>
      <c r="O963" s="16"/>
      <c r="P963" s="16"/>
      <c r="Q963" s="16">
        <f>SUM(Tabela1[[#This Row],[201805]:[201807]])</f>
        <v>8614.1345000000001</v>
      </c>
      <c r="R963" s="16">
        <f>SUM(Tabela1[[#This Row],[201905]:[201906]])</f>
        <v>0</v>
      </c>
      <c r="S963" s="16">
        <v>100000</v>
      </c>
      <c r="T963" s="16">
        <f>Tabela1[[#This Row],[Total 2019]]-Tabela1[[#This Row],[Total 2018]]</f>
        <v>-8614.1345000000001</v>
      </c>
      <c r="U963" s="40">
        <f>Tabela1[[#This Row],[Total 2019]]/Tabela1[[#This Row],[Meta]]</f>
        <v>0</v>
      </c>
      <c r="V963" s="17">
        <f>IFERROR(Tabela1[[#This Row],[Total 2019]]/Tabela1[[#This Row],[Total 2018]]-1,0)</f>
        <v>-1</v>
      </c>
      <c r="W96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63" s="48"/>
      <c r="Y963" s="19"/>
      <c r="Z963" s="68"/>
    </row>
    <row r="964" spans="3:26" x14ac:dyDescent="0.35">
      <c r="C964" s="11" t="s">
        <v>2704</v>
      </c>
      <c r="D964" s="12" t="s">
        <v>2700</v>
      </c>
      <c r="E964" s="12">
        <v>943</v>
      </c>
      <c r="F964" s="13" t="s">
        <v>2390</v>
      </c>
      <c r="G964" s="14">
        <v>1</v>
      </c>
      <c r="H964" s="14" t="s">
        <v>1372</v>
      </c>
      <c r="I964" s="13">
        <v>25</v>
      </c>
      <c r="J964" s="15" t="s">
        <v>1424</v>
      </c>
      <c r="K964" s="15" t="s">
        <v>2708</v>
      </c>
      <c r="L964" s="16">
        <v>196.55500000000001</v>
      </c>
      <c r="M964" s="16">
        <v>1548.2530000000002</v>
      </c>
      <c r="N964" s="16">
        <v>1171.2645</v>
      </c>
      <c r="O964" s="16"/>
      <c r="P964" s="16"/>
      <c r="Q964" s="16">
        <f>SUM(Tabela1[[#This Row],[201805]:[201807]])</f>
        <v>2916.0725000000002</v>
      </c>
      <c r="R964" s="16">
        <f>SUM(Tabela1[[#This Row],[201905]:[201906]])</f>
        <v>0</v>
      </c>
      <c r="S964" s="16">
        <v>100000</v>
      </c>
      <c r="T964" s="16">
        <f>Tabela1[[#This Row],[Total 2019]]-Tabela1[[#This Row],[Total 2018]]</f>
        <v>-2916.0725000000002</v>
      </c>
      <c r="U964" s="40">
        <f>Tabela1[[#This Row],[Total 2019]]/Tabela1[[#This Row],[Meta]]</f>
        <v>0</v>
      </c>
      <c r="V964" s="17">
        <f>IFERROR(Tabela1[[#This Row],[Total 2019]]/Tabela1[[#This Row],[Total 2018]]-1,0)</f>
        <v>-1</v>
      </c>
      <c r="W96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64" s="48"/>
      <c r="Y964" s="19"/>
      <c r="Z964" s="68"/>
    </row>
    <row r="965" spans="3:26" x14ac:dyDescent="0.35">
      <c r="C965" s="11" t="s">
        <v>2703</v>
      </c>
      <c r="D965" s="12" t="s">
        <v>2698</v>
      </c>
      <c r="E965" s="12">
        <v>944</v>
      </c>
      <c r="F965" s="13" t="s">
        <v>2391</v>
      </c>
      <c r="G965" s="14">
        <v>3</v>
      </c>
      <c r="H965" s="14" t="s">
        <v>1371</v>
      </c>
      <c r="I965" s="13">
        <v>7</v>
      </c>
      <c r="J965" s="15" t="s">
        <v>1406</v>
      </c>
      <c r="K965" s="15" t="s">
        <v>2707</v>
      </c>
      <c r="L965" s="16"/>
      <c r="M965" s="16">
        <v>5165.8149999999996</v>
      </c>
      <c r="N965" s="16"/>
      <c r="O965" s="16"/>
      <c r="P965" s="16"/>
      <c r="Q965" s="16">
        <f>SUM(Tabela1[[#This Row],[201805]:[201807]])</f>
        <v>5165.8149999999996</v>
      </c>
      <c r="R965" s="16">
        <f>SUM(Tabela1[[#This Row],[201905]:[201906]])</f>
        <v>0</v>
      </c>
      <c r="S965" s="16">
        <v>100000</v>
      </c>
      <c r="T965" s="16">
        <f>Tabela1[[#This Row],[Total 2019]]-Tabela1[[#This Row],[Total 2018]]</f>
        <v>-5165.8149999999996</v>
      </c>
      <c r="U965" s="40">
        <f>Tabela1[[#This Row],[Total 2019]]/Tabela1[[#This Row],[Meta]]</f>
        <v>0</v>
      </c>
      <c r="V965" s="17">
        <f>IFERROR(Tabela1[[#This Row],[Total 2019]]/Tabela1[[#This Row],[Total 2018]]-1,0)</f>
        <v>-1</v>
      </c>
      <c r="W96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65" s="48"/>
      <c r="Y965" s="19"/>
      <c r="Z965" s="68"/>
    </row>
    <row r="966" spans="3:26" x14ac:dyDescent="0.35">
      <c r="C966" s="11" t="s">
        <v>2703</v>
      </c>
      <c r="D966" s="12" t="s">
        <v>2699</v>
      </c>
      <c r="E966" s="12">
        <v>945</v>
      </c>
      <c r="F966" s="13" t="s">
        <v>2392</v>
      </c>
      <c r="G966" s="14">
        <v>2</v>
      </c>
      <c r="H966" s="14" t="s">
        <v>1370</v>
      </c>
      <c r="I966" s="13">
        <v>11</v>
      </c>
      <c r="J966" s="15" t="s">
        <v>1410</v>
      </c>
      <c r="K966" s="15" t="s">
        <v>2706</v>
      </c>
      <c r="L966" s="16"/>
      <c r="M966" s="16">
        <v>1184.1179999999999</v>
      </c>
      <c r="N966" s="16"/>
      <c r="O966" s="16"/>
      <c r="P966" s="16"/>
      <c r="Q966" s="16">
        <f>SUM(Tabela1[[#This Row],[201805]:[201807]])</f>
        <v>1184.1179999999999</v>
      </c>
      <c r="R966" s="16">
        <f>SUM(Tabela1[[#This Row],[201905]:[201906]])</f>
        <v>0</v>
      </c>
      <c r="S966" s="16">
        <v>100000</v>
      </c>
      <c r="T966" s="16">
        <f>Tabela1[[#This Row],[Total 2019]]-Tabela1[[#This Row],[Total 2018]]</f>
        <v>-1184.1179999999999</v>
      </c>
      <c r="U966" s="40">
        <f>Tabela1[[#This Row],[Total 2019]]/Tabela1[[#This Row],[Meta]]</f>
        <v>0</v>
      </c>
      <c r="V966" s="17">
        <f>IFERROR(Tabela1[[#This Row],[Total 2019]]/Tabela1[[#This Row],[Total 2018]]-1,0)</f>
        <v>-1</v>
      </c>
      <c r="W96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66" s="48"/>
      <c r="Y966" s="19"/>
      <c r="Z966" s="68"/>
    </row>
    <row r="967" spans="3:26" x14ac:dyDescent="0.35">
      <c r="C967" s="11" t="s">
        <v>2704</v>
      </c>
      <c r="D967" s="12" t="s">
        <v>2698</v>
      </c>
      <c r="E967" s="12">
        <v>946</v>
      </c>
      <c r="F967" s="13" t="s">
        <v>2393</v>
      </c>
      <c r="G967" s="14">
        <v>3</v>
      </c>
      <c r="H967" s="14" t="s">
        <v>1373</v>
      </c>
      <c r="I967" s="13">
        <v>28</v>
      </c>
      <c r="J967" s="15" t="s">
        <v>1427</v>
      </c>
      <c r="K967" s="15" t="s">
        <v>2710</v>
      </c>
      <c r="L967" s="16">
        <v>4311.3185000000003</v>
      </c>
      <c r="M967" s="16">
        <v>2744.8634999999999</v>
      </c>
      <c r="N967" s="16"/>
      <c r="O967" s="16"/>
      <c r="P967" s="16"/>
      <c r="Q967" s="16">
        <f>SUM(Tabela1[[#This Row],[201805]:[201807]])</f>
        <v>7056.1820000000007</v>
      </c>
      <c r="R967" s="16">
        <f>SUM(Tabela1[[#This Row],[201905]:[201906]])</f>
        <v>0</v>
      </c>
      <c r="S967" s="16">
        <v>100000</v>
      </c>
      <c r="T967" s="16">
        <f>Tabela1[[#This Row],[Total 2019]]-Tabela1[[#This Row],[Total 2018]]</f>
        <v>-7056.1820000000007</v>
      </c>
      <c r="U967" s="40">
        <f>Tabela1[[#This Row],[Total 2019]]/Tabela1[[#This Row],[Meta]]</f>
        <v>0</v>
      </c>
      <c r="V967" s="17">
        <f>IFERROR(Tabela1[[#This Row],[Total 2019]]/Tabela1[[#This Row],[Total 2018]]-1,0)</f>
        <v>-1</v>
      </c>
      <c r="W96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67" s="48"/>
      <c r="Y967" s="19"/>
      <c r="Z967" s="68"/>
    </row>
    <row r="968" spans="3:26" x14ac:dyDescent="0.35">
      <c r="C968" s="11" t="s">
        <v>2704</v>
      </c>
      <c r="D968" s="12" t="s">
        <v>2698</v>
      </c>
      <c r="E968" s="12">
        <v>947</v>
      </c>
      <c r="F968" s="13" t="s">
        <v>2394</v>
      </c>
      <c r="G968" s="14">
        <v>3</v>
      </c>
      <c r="H968" s="14" t="s">
        <v>1372</v>
      </c>
      <c r="I968" s="13">
        <v>22</v>
      </c>
      <c r="J968" s="15" t="s">
        <v>1421</v>
      </c>
      <c r="K968" s="15" t="s">
        <v>2708</v>
      </c>
      <c r="L968" s="16"/>
      <c r="M968" s="16">
        <v>2931.529</v>
      </c>
      <c r="N968" s="16"/>
      <c r="O968" s="16"/>
      <c r="P968" s="16"/>
      <c r="Q968" s="16">
        <f>SUM(Tabela1[[#This Row],[201805]:[201807]])</f>
        <v>2931.529</v>
      </c>
      <c r="R968" s="16">
        <f>SUM(Tabela1[[#This Row],[201905]:[201906]])</f>
        <v>0</v>
      </c>
      <c r="S968" s="16">
        <v>100000</v>
      </c>
      <c r="T968" s="16">
        <f>Tabela1[[#This Row],[Total 2019]]-Tabela1[[#This Row],[Total 2018]]</f>
        <v>-2931.529</v>
      </c>
      <c r="U968" s="40">
        <f>Tabela1[[#This Row],[Total 2019]]/Tabela1[[#This Row],[Meta]]</f>
        <v>0</v>
      </c>
      <c r="V968" s="17">
        <f>IFERROR(Tabela1[[#This Row],[Total 2019]]/Tabela1[[#This Row],[Total 2018]]-1,0)</f>
        <v>-1</v>
      </c>
      <c r="W96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68" s="48"/>
      <c r="Y968" s="19"/>
      <c r="Z968" s="68"/>
    </row>
    <row r="969" spans="3:26" x14ac:dyDescent="0.35">
      <c r="C969" s="11" t="s">
        <v>2703</v>
      </c>
      <c r="D969" s="12" t="s">
        <v>2700</v>
      </c>
      <c r="E969" s="12">
        <v>948</v>
      </c>
      <c r="F969" s="13" t="s">
        <v>2395</v>
      </c>
      <c r="G969" s="14">
        <v>1</v>
      </c>
      <c r="H969" s="14" t="s">
        <v>1372</v>
      </c>
      <c r="I969" s="13">
        <v>23</v>
      </c>
      <c r="J969" s="15" t="s">
        <v>1422</v>
      </c>
      <c r="K969" s="15" t="s">
        <v>2708</v>
      </c>
      <c r="L969" s="16"/>
      <c r="M969" s="16">
        <v>5175.7044999999989</v>
      </c>
      <c r="N969" s="16">
        <v>1670.0144999999998</v>
      </c>
      <c r="O969" s="16">
        <v>3367.9019999999996</v>
      </c>
      <c r="P969" s="16"/>
      <c r="Q969" s="16">
        <f>SUM(Tabela1[[#This Row],[201805]:[201807]])</f>
        <v>6845.7189999999991</v>
      </c>
      <c r="R969" s="16">
        <f>SUM(Tabela1[[#This Row],[201905]:[201906]])</f>
        <v>3367.9019999999996</v>
      </c>
      <c r="S969" s="16">
        <v>100000</v>
      </c>
      <c r="T969" s="16">
        <f>Tabela1[[#This Row],[Total 2019]]-Tabela1[[#This Row],[Total 2018]]</f>
        <v>-3477.8169999999996</v>
      </c>
      <c r="U969" s="40">
        <f>Tabela1[[#This Row],[Total 2019]]/Tabela1[[#This Row],[Meta]]</f>
        <v>3.3679019999999997E-2</v>
      </c>
      <c r="V969" s="17">
        <f>IFERROR(Tabela1[[#This Row],[Total 2019]]/Tabela1[[#This Row],[Total 2018]]-1,0)</f>
        <v>-0.50802800991393315</v>
      </c>
      <c r="W96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969" s="48"/>
      <c r="Y969" s="19"/>
      <c r="Z969" s="68"/>
    </row>
    <row r="970" spans="3:26" x14ac:dyDescent="0.35">
      <c r="C970" s="11" t="s">
        <v>2703</v>
      </c>
      <c r="D970" s="12" t="s">
        <v>2699</v>
      </c>
      <c r="E970" s="12">
        <v>949</v>
      </c>
      <c r="F970" s="13" t="s">
        <v>2396</v>
      </c>
      <c r="G970" s="14">
        <v>1</v>
      </c>
      <c r="H970" s="14" t="s">
        <v>1370</v>
      </c>
      <c r="I970" s="13">
        <v>30</v>
      </c>
      <c r="J970" s="15" t="s">
        <v>1429</v>
      </c>
      <c r="K970" s="15" t="s">
        <v>2706</v>
      </c>
      <c r="L970" s="16"/>
      <c r="M970" s="16">
        <v>4533.5709999999999</v>
      </c>
      <c r="N970" s="16">
        <v>1089.8779999999999</v>
      </c>
      <c r="O970" s="16"/>
      <c r="P970" s="16"/>
      <c r="Q970" s="16">
        <f>SUM(Tabela1[[#This Row],[201805]:[201807]])</f>
        <v>5623.4489999999996</v>
      </c>
      <c r="R970" s="16">
        <f>SUM(Tabela1[[#This Row],[201905]:[201906]])</f>
        <v>0</v>
      </c>
      <c r="S970" s="16">
        <v>100000</v>
      </c>
      <c r="T970" s="16">
        <f>Tabela1[[#This Row],[Total 2019]]-Tabela1[[#This Row],[Total 2018]]</f>
        <v>-5623.4489999999996</v>
      </c>
      <c r="U970" s="40">
        <f>Tabela1[[#This Row],[Total 2019]]/Tabela1[[#This Row],[Meta]]</f>
        <v>0</v>
      </c>
      <c r="V970" s="17">
        <f>IFERROR(Tabela1[[#This Row],[Total 2019]]/Tabela1[[#This Row],[Total 2018]]-1,0)</f>
        <v>-1</v>
      </c>
      <c r="W97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70" s="48"/>
      <c r="Y970" s="19"/>
      <c r="Z970" s="68"/>
    </row>
    <row r="971" spans="3:26" x14ac:dyDescent="0.35">
      <c r="C971" s="11" t="s">
        <v>2703</v>
      </c>
      <c r="D971" s="12" t="s">
        <v>2699</v>
      </c>
      <c r="E971" s="12">
        <v>950</v>
      </c>
      <c r="F971" s="13" t="s">
        <v>2397</v>
      </c>
      <c r="G971" s="14">
        <v>2</v>
      </c>
      <c r="H971" s="14" t="s">
        <v>1372</v>
      </c>
      <c r="I971" s="13">
        <v>16</v>
      </c>
      <c r="J971" s="15" t="s">
        <v>1415</v>
      </c>
      <c r="K971" s="15" t="s">
        <v>2708</v>
      </c>
      <c r="L971" s="16">
        <v>2148.9854999999998</v>
      </c>
      <c r="M971" s="16">
        <v>862.28649999999993</v>
      </c>
      <c r="N971" s="16"/>
      <c r="O971" s="16"/>
      <c r="P971" s="16"/>
      <c r="Q971" s="16">
        <f>SUM(Tabela1[[#This Row],[201805]:[201807]])</f>
        <v>3011.2719999999999</v>
      </c>
      <c r="R971" s="16">
        <f>SUM(Tabela1[[#This Row],[201905]:[201906]])</f>
        <v>0</v>
      </c>
      <c r="S971" s="16">
        <v>100000</v>
      </c>
      <c r="T971" s="16">
        <f>Tabela1[[#This Row],[Total 2019]]-Tabela1[[#This Row],[Total 2018]]</f>
        <v>-3011.2719999999999</v>
      </c>
      <c r="U971" s="40">
        <f>Tabela1[[#This Row],[Total 2019]]/Tabela1[[#This Row],[Meta]]</f>
        <v>0</v>
      </c>
      <c r="V971" s="17">
        <f>IFERROR(Tabela1[[#This Row],[Total 2019]]/Tabela1[[#This Row],[Total 2018]]-1,0)</f>
        <v>-1</v>
      </c>
      <c r="W97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71" s="48"/>
      <c r="Y971" s="19"/>
      <c r="Z971" s="68"/>
    </row>
    <row r="972" spans="3:26" x14ac:dyDescent="0.35">
      <c r="C972" s="11" t="s">
        <v>2704</v>
      </c>
      <c r="D972" s="12" t="s">
        <v>2698</v>
      </c>
      <c r="E972" s="12">
        <v>951</v>
      </c>
      <c r="F972" s="13" t="s">
        <v>2398</v>
      </c>
      <c r="G972" s="14">
        <v>3</v>
      </c>
      <c r="H972" s="14" t="s">
        <v>1370</v>
      </c>
      <c r="I972" s="13">
        <v>29</v>
      </c>
      <c r="J972" s="15" t="s">
        <v>1428</v>
      </c>
      <c r="K972" s="15" t="s">
        <v>2706</v>
      </c>
      <c r="L972" s="16"/>
      <c r="M972" s="16">
        <v>1912.0555000000002</v>
      </c>
      <c r="N972" s="16"/>
      <c r="O972" s="16"/>
      <c r="P972" s="16"/>
      <c r="Q972" s="16">
        <f>SUM(Tabela1[[#This Row],[201805]:[201807]])</f>
        <v>1912.0555000000002</v>
      </c>
      <c r="R972" s="16">
        <f>SUM(Tabela1[[#This Row],[201905]:[201906]])</f>
        <v>0</v>
      </c>
      <c r="S972" s="16">
        <v>100000</v>
      </c>
      <c r="T972" s="16">
        <f>Tabela1[[#This Row],[Total 2019]]-Tabela1[[#This Row],[Total 2018]]</f>
        <v>-1912.0555000000002</v>
      </c>
      <c r="U972" s="40">
        <f>Tabela1[[#This Row],[Total 2019]]/Tabela1[[#This Row],[Meta]]</f>
        <v>0</v>
      </c>
      <c r="V972" s="17">
        <f>IFERROR(Tabela1[[#This Row],[Total 2019]]/Tabela1[[#This Row],[Total 2018]]-1,0)</f>
        <v>-1</v>
      </c>
      <c r="W97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72" s="48"/>
      <c r="Y972" s="19"/>
      <c r="Z972" s="68"/>
    </row>
    <row r="973" spans="3:26" x14ac:dyDescent="0.35">
      <c r="C973" s="11" t="s">
        <v>2704</v>
      </c>
      <c r="D973" s="12" t="s">
        <v>2700</v>
      </c>
      <c r="E973" s="12">
        <v>952</v>
      </c>
      <c r="F973" s="13" t="s">
        <v>2399</v>
      </c>
      <c r="G973" s="14">
        <v>3</v>
      </c>
      <c r="H973" s="14" t="s">
        <v>1370</v>
      </c>
      <c r="I973" s="13">
        <v>19</v>
      </c>
      <c r="J973" s="15" t="s">
        <v>1418</v>
      </c>
      <c r="K973" s="15" t="s">
        <v>2706</v>
      </c>
      <c r="L973" s="16"/>
      <c r="M973" s="16">
        <v>793.63</v>
      </c>
      <c r="N973" s="16"/>
      <c r="O973" s="16"/>
      <c r="P973" s="16"/>
      <c r="Q973" s="16">
        <f>SUM(Tabela1[[#This Row],[201805]:[201807]])</f>
        <v>793.63</v>
      </c>
      <c r="R973" s="16">
        <f>SUM(Tabela1[[#This Row],[201905]:[201906]])</f>
        <v>0</v>
      </c>
      <c r="S973" s="16">
        <v>100000</v>
      </c>
      <c r="T973" s="16">
        <f>Tabela1[[#This Row],[Total 2019]]-Tabela1[[#This Row],[Total 2018]]</f>
        <v>-793.63</v>
      </c>
      <c r="U973" s="40">
        <f>Tabela1[[#This Row],[Total 2019]]/Tabela1[[#This Row],[Meta]]</f>
        <v>0</v>
      </c>
      <c r="V973" s="17">
        <f>IFERROR(Tabela1[[#This Row],[Total 2019]]/Tabela1[[#This Row],[Total 2018]]-1,0)</f>
        <v>-1</v>
      </c>
      <c r="W97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73" s="48"/>
      <c r="Y973" s="19"/>
      <c r="Z973" s="68"/>
    </row>
    <row r="974" spans="3:26" x14ac:dyDescent="0.35">
      <c r="C974" s="11" t="s">
        <v>2704</v>
      </c>
      <c r="D974" s="12" t="s">
        <v>2698</v>
      </c>
      <c r="E974" s="12">
        <v>953</v>
      </c>
      <c r="F974" s="13" t="s">
        <v>2400</v>
      </c>
      <c r="G974" s="14">
        <v>2</v>
      </c>
      <c r="H974" s="14" t="s">
        <v>1370</v>
      </c>
      <c r="I974" s="13">
        <v>34</v>
      </c>
      <c r="J974" s="15" t="s">
        <v>1433</v>
      </c>
      <c r="K974" s="15" t="s">
        <v>2706</v>
      </c>
      <c r="L974" s="16"/>
      <c r="M974" s="16">
        <v>4970.7039999999997</v>
      </c>
      <c r="N974" s="16">
        <v>2437.6999999999998</v>
      </c>
      <c r="O974" s="16"/>
      <c r="P974" s="16"/>
      <c r="Q974" s="16">
        <f>SUM(Tabela1[[#This Row],[201805]:[201807]])</f>
        <v>7408.4039999999995</v>
      </c>
      <c r="R974" s="16">
        <f>SUM(Tabela1[[#This Row],[201905]:[201906]])</f>
        <v>0</v>
      </c>
      <c r="S974" s="16">
        <v>100000</v>
      </c>
      <c r="T974" s="16">
        <f>Tabela1[[#This Row],[Total 2019]]-Tabela1[[#This Row],[Total 2018]]</f>
        <v>-7408.4039999999995</v>
      </c>
      <c r="U974" s="40">
        <f>Tabela1[[#This Row],[Total 2019]]/Tabela1[[#This Row],[Meta]]</f>
        <v>0</v>
      </c>
      <c r="V974" s="17">
        <f>IFERROR(Tabela1[[#This Row],[Total 2019]]/Tabela1[[#This Row],[Total 2018]]-1,0)</f>
        <v>-1</v>
      </c>
      <c r="W97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74" s="48"/>
      <c r="Y974" s="19"/>
      <c r="Z974" s="68"/>
    </row>
    <row r="975" spans="3:26" x14ac:dyDescent="0.35">
      <c r="C975" s="11" t="s">
        <v>2702</v>
      </c>
      <c r="D975" s="12" t="s">
        <v>2699</v>
      </c>
      <c r="E975" s="12">
        <v>954</v>
      </c>
      <c r="F975" s="13" t="s">
        <v>2401</v>
      </c>
      <c r="G975" s="14">
        <v>2</v>
      </c>
      <c r="H975" s="14" t="s">
        <v>1371</v>
      </c>
      <c r="I975" s="13">
        <v>24</v>
      </c>
      <c r="J975" s="15" t="s">
        <v>1423</v>
      </c>
      <c r="K975" s="15" t="s">
        <v>2707</v>
      </c>
      <c r="L975" s="16"/>
      <c r="M975" s="16">
        <v>5297.1144999999988</v>
      </c>
      <c r="N975" s="16"/>
      <c r="O975" s="16"/>
      <c r="P975" s="16"/>
      <c r="Q975" s="16">
        <f>SUM(Tabela1[[#This Row],[201805]:[201807]])</f>
        <v>5297.1144999999988</v>
      </c>
      <c r="R975" s="16">
        <f>SUM(Tabela1[[#This Row],[201905]:[201906]])</f>
        <v>0</v>
      </c>
      <c r="S975" s="16">
        <v>100000</v>
      </c>
      <c r="T975" s="16">
        <f>Tabela1[[#This Row],[Total 2019]]-Tabela1[[#This Row],[Total 2018]]</f>
        <v>-5297.1144999999988</v>
      </c>
      <c r="U975" s="40">
        <f>Tabela1[[#This Row],[Total 2019]]/Tabela1[[#This Row],[Meta]]</f>
        <v>0</v>
      </c>
      <c r="V975" s="17">
        <f>IFERROR(Tabela1[[#This Row],[Total 2019]]/Tabela1[[#This Row],[Total 2018]]-1,0)</f>
        <v>-1</v>
      </c>
      <c r="W97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75" s="48"/>
      <c r="Y975" s="19"/>
      <c r="Z975" s="68"/>
    </row>
    <row r="976" spans="3:26" x14ac:dyDescent="0.35">
      <c r="C976" s="11" t="s">
        <v>2703</v>
      </c>
      <c r="D976" s="12" t="s">
        <v>2700</v>
      </c>
      <c r="E976" s="12">
        <v>955</v>
      </c>
      <c r="F976" s="13" t="s">
        <v>2402</v>
      </c>
      <c r="G976" s="14">
        <v>1</v>
      </c>
      <c r="H976" s="14" t="s">
        <v>1371</v>
      </c>
      <c r="I976" s="13">
        <v>4</v>
      </c>
      <c r="J976" s="15" t="s">
        <v>1403</v>
      </c>
      <c r="K976" s="15" t="s">
        <v>2707</v>
      </c>
      <c r="L976" s="16"/>
      <c r="M976" s="16"/>
      <c r="N976" s="16">
        <v>2706.5879999999997</v>
      </c>
      <c r="O976" s="16"/>
      <c r="P976" s="16"/>
      <c r="Q976" s="16">
        <f>SUM(Tabela1[[#This Row],[201805]:[201807]])</f>
        <v>2706.5879999999997</v>
      </c>
      <c r="R976" s="16">
        <f>SUM(Tabela1[[#This Row],[201905]:[201906]])</f>
        <v>0</v>
      </c>
      <c r="S976" s="16">
        <v>100000</v>
      </c>
      <c r="T976" s="16">
        <f>Tabela1[[#This Row],[Total 2019]]-Tabela1[[#This Row],[Total 2018]]</f>
        <v>-2706.5879999999997</v>
      </c>
      <c r="U976" s="40">
        <f>Tabela1[[#This Row],[Total 2019]]/Tabela1[[#This Row],[Meta]]</f>
        <v>0</v>
      </c>
      <c r="V976" s="17">
        <f>IFERROR(Tabela1[[#This Row],[Total 2019]]/Tabela1[[#This Row],[Total 2018]]-1,0)</f>
        <v>-1</v>
      </c>
      <c r="W97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76" s="48"/>
      <c r="Y976" s="19"/>
      <c r="Z976" s="68"/>
    </row>
    <row r="977" spans="3:26" x14ac:dyDescent="0.35">
      <c r="C977" s="11" t="s">
        <v>2703</v>
      </c>
      <c r="D977" s="12" t="s">
        <v>2700</v>
      </c>
      <c r="E977" s="12">
        <v>956</v>
      </c>
      <c r="F977" s="13" t="s">
        <v>2403</v>
      </c>
      <c r="G977" s="14">
        <v>1</v>
      </c>
      <c r="H977" s="14" t="s">
        <v>1371</v>
      </c>
      <c r="I977" s="13">
        <v>31</v>
      </c>
      <c r="J977" s="15" t="s">
        <v>1430</v>
      </c>
      <c r="K977" s="15" t="s">
        <v>2707</v>
      </c>
      <c r="L977" s="16">
        <v>3599.3504999999996</v>
      </c>
      <c r="M977" s="16">
        <v>2697.069</v>
      </c>
      <c r="N977" s="16"/>
      <c r="O977" s="16"/>
      <c r="P977" s="16"/>
      <c r="Q977" s="16">
        <f>SUM(Tabela1[[#This Row],[201805]:[201807]])</f>
        <v>6296.4195</v>
      </c>
      <c r="R977" s="16">
        <f>SUM(Tabela1[[#This Row],[201905]:[201906]])</f>
        <v>0</v>
      </c>
      <c r="S977" s="16">
        <v>100000</v>
      </c>
      <c r="T977" s="16">
        <f>Tabela1[[#This Row],[Total 2019]]-Tabela1[[#This Row],[Total 2018]]</f>
        <v>-6296.4195</v>
      </c>
      <c r="U977" s="40">
        <f>Tabela1[[#This Row],[Total 2019]]/Tabela1[[#This Row],[Meta]]</f>
        <v>0</v>
      </c>
      <c r="V977" s="17">
        <f>IFERROR(Tabela1[[#This Row],[Total 2019]]/Tabela1[[#This Row],[Total 2018]]-1,0)</f>
        <v>-1</v>
      </c>
      <c r="W97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77" s="48"/>
      <c r="Y977" s="19"/>
      <c r="Z977" s="68"/>
    </row>
    <row r="978" spans="3:26" x14ac:dyDescent="0.35">
      <c r="C978" s="11" t="s">
        <v>2704</v>
      </c>
      <c r="D978" s="12" t="s">
        <v>2698</v>
      </c>
      <c r="E978" s="12">
        <v>957</v>
      </c>
      <c r="F978" s="13" t="s">
        <v>2404</v>
      </c>
      <c r="G978" s="14">
        <v>2</v>
      </c>
      <c r="H978" s="14" t="s">
        <v>1371</v>
      </c>
      <c r="I978" s="13">
        <v>5</v>
      </c>
      <c r="J978" s="15" t="s">
        <v>1404</v>
      </c>
      <c r="K978" s="15" t="s">
        <v>2707</v>
      </c>
      <c r="L978" s="16">
        <v>55.042999999999992</v>
      </c>
      <c r="M978" s="16">
        <v>11242.813</v>
      </c>
      <c r="N978" s="16"/>
      <c r="O978" s="16"/>
      <c r="P978" s="16"/>
      <c r="Q978" s="16">
        <f>SUM(Tabela1[[#This Row],[201805]:[201807]])</f>
        <v>11297.856</v>
      </c>
      <c r="R978" s="16">
        <f>SUM(Tabela1[[#This Row],[201905]:[201906]])</f>
        <v>0</v>
      </c>
      <c r="S978" s="16">
        <v>100000</v>
      </c>
      <c r="T978" s="16">
        <f>Tabela1[[#This Row],[Total 2019]]-Tabela1[[#This Row],[Total 2018]]</f>
        <v>-11297.856</v>
      </c>
      <c r="U978" s="40">
        <f>Tabela1[[#This Row],[Total 2019]]/Tabela1[[#This Row],[Meta]]</f>
        <v>0</v>
      </c>
      <c r="V978" s="17">
        <f>IFERROR(Tabela1[[#This Row],[Total 2019]]/Tabela1[[#This Row],[Total 2018]]-1,0)</f>
        <v>-1</v>
      </c>
      <c r="W97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78" s="48"/>
      <c r="Y978" s="19"/>
      <c r="Z978" s="68"/>
    </row>
    <row r="979" spans="3:26" x14ac:dyDescent="0.35">
      <c r="C979" s="11" t="s">
        <v>2703</v>
      </c>
      <c r="D979" s="12" t="s">
        <v>2698</v>
      </c>
      <c r="E979" s="12">
        <v>958</v>
      </c>
      <c r="F979" s="13" t="s">
        <v>2405</v>
      </c>
      <c r="G979" s="14">
        <v>1</v>
      </c>
      <c r="H979" s="14" t="s">
        <v>1371</v>
      </c>
      <c r="I979" s="13">
        <v>7</v>
      </c>
      <c r="J979" s="15" t="s">
        <v>1406</v>
      </c>
      <c r="K979" s="15" t="s">
        <v>2707</v>
      </c>
      <c r="L979" s="16"/>
      <c r="M979" s="16">
        <v>6253.3940000000002</v>
      </c>
      <c r="N979" s="16">
        <v>3244.4495000000002</v>
      </c>
      <c r="O979" s="16"/>
      <c r="P979" s="16"/>
      <c r="Q979" s="16">
        <f>SUM(Tabela1[[#This Row],[201805]:[201807]])</f>
        <v>9497.8435000000009</v>
      </c>
      <c r="R979" s="16">
        <f>SUM(Tabela1[[#This Row],[201905]:[201906]])</f>
        <v>0</v>
      </c>
      <c r="S979" s="16">
        <v>100000</v>
      </c>
      <c r="T979" s="16">
        <f>Tabela1[[#This Row],[Total 2019]]-Tabela1[[#This Row],[Total 2018]]</f>
        <v>-9497.8435000000009</v>
      </c>
      <c r="U979" s="40">
        <f>Tabela1[[#This Row],[Total 2019]]/Tabela1[[#This Row],[Meta]]</f>
        <v>0</v>
      </c>
      <c r="V979" s="17">
        <f>IFERROR(Tabela1[[#This Row],[Total 2019]]/Tabela1[[#This Row],[Total 2018]]-1,0)</f>
        <v>-1</v>
      </c>
      <c r="W97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79" s="48"/>
      <c r="Y979" s="19"/>
      <c r="Z979" s="68"/>
    </row>
    <row r="980" spans="3:26" x14ac:dyDescent="0.35">
      <c r="C980" s="11" t="s">
        <v>2702</v>
      </c>
      <c r="D980" s="12" t="s">
        <v>2699</v>
      </c>
      <c r="E980" s="12">
        <v>959</v>
      </c>
      <c r="F980" s="13" t="s">
        <v>2406</v>
      </c>
      <c r="G980" s="14">
        <v>3</v>
      </c>
      <c r="H980" s="14" t="s">
        <v>1372</v>
      </c>
      <c r="I980" s="13">
        <v>23</v>
      </c>
      <c r="J980" s="15" t="s">
        <v>1422</v>
      </c>
      <c r="K980" s="15" t="s">
        <v>2708</v>
      </c>
      <c r="L980" s="16"/>
      <c r="M980" s="16"/>
      <c r="N980" s="16">
        <v>2348.4664999999995</v>
      </c>
      <c r="O980" s="16"/>
      <c r="P980" s="16"/>
      <c r="Q980" s="16">
        <f>SUM(Tabela1[[#This Row],[201805]:[201807]])</f>
        <v>2348.4664999999995</v>
      </c>
      <c r="R980" s="16">
        <f>SUM(Tabela1[[#This Row],[201905]:[201906]])</f>
        <v>0</v>
      </c>
      <c r="S980" s="16">
        <v>100000</v>
      </c>
      <c r="T980" s="16">
        <f>Tabela1[[#This Row],[Total 2019]]-Tabela1[[#This Row],[Total 2018]]</f>
        <v>-2348.4664999999995</v>
      </c>
      <c r="U980" s="40">
        <f>Tabela1[[#This Row],[Total 2019]]/Tabela1[[#This Row],[Meta]]</f>
        <v>0</v>
      </c>
      <c r="V980" s="17">
        <f>IFERROR(Tabela1[[#This Row],[Total 2019]]/Tabela1[[#This Row],[Total 2018]]-1,0)</f>
        <v>-1</v>
      </c>
      <c r="W98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80" s="48"/>
      <c r="Y980" s="19"/>
      <c r="Z980" s="68"/>
    </row>
    <row r="981" spans="3:26" x14ac:dyDescent="0.35">
      <c r="C981" s="11" t="s">
        <v>2704</v>
      </c>
      <c r="D981" s="12" t="s">
        <v>2699</v>
      </c>
      <c r="E981" s="12">
        <v>960</v>
      </c>
      <c r="F981" s="13" t="s">
        <v>2407</v>
      </c>
      <c r="G981" s="14">
        <v>3</v>
      </c>
      <c r="H981" s="14" t="s">
        <v>1372</v>
      </c>
      <c r="I981" s="13">
        <v>13</v>
      </c>
      <c r="J981" s="15" t="s">
        <v>1412</v>
      </c>
      <c r="K981" s="15" t="s">
        <v>2709</v>
      </c>
      <c r="L981" s="16">
        <v>408.77550000000002</v>
      </c>
      <c r="M981" s="16">
        <v>246.696</v>
      </c>
      <c r="N981" s="16"/>
      <c r="O981" s="16"/>
      <c r="P981" s="16"/>
      <c r="Q981" s="16">
        <f>SUM(Tabela1[[#This Row],[201805]:[201807]])</f>
        <v>655.47149999999999</v>
      </c>
      <c r="R981" s="16">
        <f>SUM(Tabela1[[#This Row],[201905]:[201906]])</f>
        <v>0</v>
      </c>
      <c r="S981" s="16">
        <v>100000</v>
      </c>
      <c r="T981" s="16">
        <f>Tabela1[[#This Row],[Total 2019]]-Tabela1[[#This Row],[Total 2018]]</f>
        <v>-655.47149999999999</v>
      </c>
      <c r="U981" s="40">
        <f>Tabela1[[#This Row],[Total 2019]]/Tabela1[[#This Row],[Meta]]</f>
        <v>0</v>
      </c>
      <c r="V981" s="17">
        <f>IFERROR(Tabela1[[#This Row],[Total 2019]]/Tabela1[[#This Row],[Total 2018]]-1,0)</f>
        <v>-1</v>
      </c>
      <c r="W98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81" s="48"/>
      <c r="Y981" s="19"/>
      <c r="Z981" s="68"/>
    </row>
    <row r="982" spans="3:26" x14ac:dyDescent="0.35">
      <c r="C982" s="11" t="s">
        <v>2703</v>
      </c>
      <c r="D982" s="12" t="s">
        <v>2698</v>
      </c>
      <c r="E982" s="12">
        <v>961</v>
      </c>
      <c r="F982" s="13" t="s">
        <v>2408</v>
      </c>
      <c r="G982" s="14">
        <v>2</v>
      </c>
      <c r="H982" s="14" t="s">
        <v>1372</v>
      </c>
      <c r="I982" s="13">
        <v>23</v>
      </c>
      <c r="J982" s="15" t="s">
        <v>1422</v>
      </c>
      <c r="K982" s="15" t="s">
        <v>2708</v>
      </c>
      <c r="L982" s="16">
        <v>2502.433</v>
      </c>
      <c r="M982" s="16">
        <v>3629.95</v>
      </c>
      <c r="N982" s="16">
        <v>1117.5705</v>
      </c>
      <c r="O982" s="16"/>
      <c r="P982" s="16"/>
      <c r="Q982" s="16">
        <f>SUM(Tabela1[[#This Row],[201805]:[201807]])</f>
        <v>7249.9534999999996</v>
      </c>
      <c r="R982" s="16">
        <f>SUM(Tabela1[[#This Row],[201905]:[201906]])</f>
        <v>0</v>
      </c>
      <c r="S982" s="16">
        <v>100000</v>
      </c>
      <c r="T982" s="16">
        <f>Tabela1[[#This Row],[Total 2019]]-Tabela1[[#This Row],[Total 2018]]</f>
        <v>-7249.9534999999996</v>
      </c>
      <c r="U982" s="40">
        <f>Tabela1[[#This Row],[Total 2019]]/Tabela1[[#This Row],[Meta]]</f>
        <v>0</v>
      </c>
      <c r="V982" s="17">
        <f>IFERROR(Tabela1[[#This Row],[Total 2019]]/Tabela1[[#This Row],[Total 2018]]-1,0)</f>
        <v>-1</v>
      </c>
      <c r="W98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82" s="48"/>
      <c r="Y982" s="19"/>
      <c r="Z982" s="68"/>
    </row>
    <row r="983" spans="3:26" x14ac:dyDescent="0.35">
      <c r="C983" s="11" t="s">
        <v>2704</v>
      </c>
      <c r="D983" s="12" t="s">
        <v>2698</v>
      </c>
      <c r="E983" s="12">
        <v>962</v>
      </c>
      <c r="F983" s="13" t="s">
        <v>2409</v>
      </c>
      <c r="G983" s="14">
        <v>1</v>
      </c>
      <c r="H983" s="14" t="s">
        <v>1372</v>
      </c>
      <c r="I983" s="13">
        <v>25</v>
      </c>
      <c r="J983" s="15" t="s">
        <v>1424</v>
      </c>
      <c r="K983" s="15" t="s">
        <v>2708</v>
      </c>
      <c r="L983" s="16">
        <v>955.30099999999993</v>
      </c>
      <c r="M983" s="16">
        <v>1265.7514999999999</v>
      </c>
      <c r="N983" s="16"/>
      <c r="O983" s="16"/>
      <c r="P983" s="16"/>
      <c r="Q983" s="16">
        <f>SUM(Tabela1[[#This Row],[201805]:[201807]])</f>
        <v>2221.0524999999998</v>
      </c>
      <c r="R983" s="16">
        <f>SUM(Tabela1[[#This Row],[201905]:[201906]])</f>
        <v>0</v>
      </c>
      <c r="S983" s="16">
        <v>100000</v>
      </c>
      <c r="T983" s="16">
        <f>Tabela1[[#This Row],[Total 2019]]-Tabela1[[#This Row],[Total 2018]]</f>
        <v>-2221.0524999999998</v>
      </c>
      <c r="U983" s="40">
        <f>Tabela1[[#This Row],[Total 2019]]/Tabela1[[#This Row],[Meta]]</f>
        <v>0</v>
      </c>
      <c r="V983" s="17">
        <f>IFERROR(Tabela1[[#This Row],[Total 2019]]/Tabela1[[#This Row],[Total 2018]]-1,0)</f>
        <v>-1</v>
      </c>
      <c r="W98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83" s="48"/>
      <c r="Y983" s="19"/>
      <c r="Z983" s="68"/>
    </row>
    <row r="984" spans="3:26" x14ac:dyDescent="0.35">
      <c r="C984" s="11" t="s">
        <v>2702</v>
      </c>
      <c r="D984" s="12" t="s">
        <v>2700</v>
      </c>
      <c r="E984" s="12">
        <v>963</v>
      </c>
      <c r="F984" s="13" t="s">
        <v>2410</v>
      </c>
      <c r="G984" s="14">
        <v>1</v>
      </c>
      <c r="H984" s="14" t="s">
        <v>1372</v>
      </c>
      <c r="I984" s="13">
        <v>18</v>
      </c>
      <c r="J984" s="15" t="s">
        <v>1417</v>
      </c>
      <c r="K984" s="15" t="s">
        <v>2708</v>
      </c>
      <c r="L984" s="16"/>
      <c r="M984" s="16">
        <v>5343.8165000000008</v>
      </c>
      <c r="N984" s="16">
        <v>3861.0659999999998</v>
      </c>
      <c r="O984" s="16"/>
      <c r="P984" s="16"/>
      <c r="Q984" s="16">
        <f>SUM(Tabela1[[#This Row],[201805]:[201807]])</f>
        <v>9204.8824999999997</v>
      </c>
      <c r="R984" s="16">
        <f>SUM(Tabela1[[#This Row],[201905]:[201906]])</f>
        <v>0</v>
      </c>
      <c r="S984" s="16">
        <v>100000</v>
      </c>
      <c r="T984" s="16">
        <f>Tabela1[[#This Row],[Total 2019]]-Tabela1[[#This Row],[Total 2018]]</f>
        <v>-9204.8824999999997</v>
      </c>
      <c r="U984" s="40">
        <f>Tabela1[[#This Row],[Total 2019]]/Tabela1[[#This Row],[Meta]]</f>
        <v>0</v>
      </c>
      <c r="V984" s="17">
        <f>IFERROR(Tabela1[[#This Row],[Total 2019]]/Tabela1[[#This Row],[Total 2018]]-1,0)</f>
        <v>-1</v>
      </c>
      <c r="W98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84" s="48"/>
      <c r="Y984" s="19"/>
      <c r="Z984" s="68"/>
    </row>
    <row r="985" spans="3:26" x14ac:dyDescent="0.35">
      <c r="C985" s="11" t="s">
        <v>2703</v>
      </c>
      <c r="D985" s="12" t="s">
        <v>2700</v>
      </c>
      <c r="E985" s="12">
        <v>964</v>
      </c>
      <c r="F985" s="13" t="s">
        <v>2411</v>
      </c>
      <c r="G985" s="14">
        <v>2</v>
      </c>
      <c r="H985" s="14" t="s">
        <v>1373</v>
      </c>
      <c r="I985" s="13">
        <v>13</v>
      </c>
      <c r="J985" s="15" t="s">
        <v>1412</v>
      </c>
      <c r="K985" s="15" t="s">
        <v>2709</v>
      </c>
      <c r="L985" s="16">
        <v>579.101</v>
      </c>
      <c r="M985" s="16">
        <v>1332.7739999999999</v>
      </c>
      <c r="N985" s="16"/>
      <c r="O985" s="16"/>
      <c r="P985" s="16"/>
      <c r="Q985" s="16">
        <f>SUM(Tabela1[[#This Row],[201805]:[201807]])</f>
        <v>1911.875</v>
      </c>
      <c r="R985" s="16">
        <f>SUM(Tabela1[[#This Row],[201905]:[201906]])</f>
        <v>0</v>
      </c>
      <c r="S985" s="16">
        <v>100000</v>
      </c>
      <c r="T985" s="16">
        <f>Tabela1[[#This Row],[Total 2019]]-Tabela1[[#This Row],[Total 2018]]</f>
        <v>-1911.875</v>
      </c>
      <c r="U985" s="40">
        <f>Tabela1[[#This Row],[Total 2019]]/Tabela1[[#This Row],[Meta]]</f>
        <v>0</v>
      </c>
      <c r="V985" s="17">
        <f>IFERROR(Tabela1[[#This Row],[Total 2019]]/Tabela1[[#This Row],[Total 2018]]-1,0)</f>
        <v>-1</v>
      </c>
      <c r="W98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85" s="48"/>
      <c r="Y985" s="19"/>
      <c r="Z985" s="68"/>
    </row>
    <row r="986" spans="3:26" x14ac:dyDescent="0.35">
      <c r="C986" s="11" t="s">
        <v>2702</v>
      </c>
      <c r="D986" s="12" t="s">
        <v>2699</v>
      </c>
      <c r="E986" s="12">
        <v>965</v>
      </c>
      <c r="F986" s="13" t="s">
        <v>2412</v>
      </c>
      <c r="G986" s="14">
        <v>1</v>
      </c>
      <c r="H986" s="14" t="s">
        <v>1370</v>
      </c>
      <c r="I986" s="13">
        <v>3</v>
      </c>
      <c r="J986" s="15" t="s">
        <v>1402</v>
      </c>
      <c r="K986" s="15" t="s">
        <v>2706</v>
      </c>
      <c r="L986" s="16"/>
      <c r="M986" s="16">
        <v>4227.348</v>
      </c>
      <c r="N986" s="16">
        <v>1236.2635</v>
      </c>
      <c r="O986" s="16"/>
      <c r="P986" s="16"/>
      <c r="Q986" s="16">
        <f>SUM(Tabela1[[#This Row],[201805]:[201807]])</f>
        <v>5463.6115</v>
      </c>
      <c r="R986" s="16">
        <f>SUM(Tabela1[[#This Row],[201905]:[201906]])</f>
        <v>0</v>
      </c>
      <c r="S986" s="16">
        <v>100000</v>
      </c>
      <c r="T986" s="16">
        <f>Tabela1[[#This Row],[Total 2019]]-Tabela1[[#This Row],[Total 2018]]</f>
        <v>-5463.6115</v>
      </c>
      <c r="U986" s="40">
        <f>Tabela1[[#This Row],[Total 2019]]/Tabela1[[#This Row],[Meta]]</f>
        <v>0</v>
      </c>
      <c r="V986" s="17">
        <f>IFERROR(Tabela1[[#This Row],[Total 2019]]/Tabela1[[#This Row],[Total 2018]]-1,0)</f>
        <v>-1</v>
      </c>
      <c r="W98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86" s="48"/>
      <c r="Y986" s="19"/>
      <c r="Z986" s="68"/>
    </row>
    <row r="987" spans="3:26" x14ac:dyDescent="0.35">
      <c r="C987" s="11" t="s">
        <v>2702</v>
      </c>
      <c r="D987" s="12" t="s">
        <v>2698</v>
      </c>
      <c r="E987" s="12">
        <v>966</v>
      </c>
      <c r="F987" s="13" t="s">
        <v>2413</v>
      </c>
      <c r="G987" s="14">
        <v>1</v>
      </c>
      <c r="H987" s="14" t="s">
        <v>1370</v>
      </c>
      <c r="I987" s="13">
        <v>15</v>
      </c>
      <c r="J987" s="15" t="s">
        <v>1414</v>
      </c>
      <c r="K987" s="15" t="s">
        <v>2706</v>
      </c>
      <c r="L987" s="16">
        <v>2901.5185000000001</v>
      </c>
      <c r="M987" s="16">
        <v>3079.8050000000003</v>
      </c>
      <c r="N987" s="16">
        <v>4882.4395000000004</v>
      </c>
      <c r="O987" s="16"/>
      <c r="P987" s="16"/>
      <c r="Q987" s="16">
        <f>SUM(Tabela1[[#This Row],[201805]:[201807]])</f>
        <v>10863.763000000001</v>
      </c>
      <c r="R987" s="16">
        <f>SUM(Tabela1[[#This Row],[201905]:[201906]])</f>
        <v>0</v>
      </c>
      <c r="S987" s="16">
        <v>100000</v>
      </c>
      <c r="T987" s="16">
        <f>Tabela1[[#This Row],[Total 2019]]-Tabela1[[#This Row],[Total 2018]]</f>
        <v>-10863.763000000001</v>
      </c>
      <c r="U987" s="40">
        <f>Tabela1[[#This Row],[Total 2019]]/Tabela1[[#This Row],[Meta]]</f>
        <v>0</v>
      </c>
      <c r="V987" s="17">
        <f>IFERROR(Tabela1[[#This Row],[Total 2019]]/Tabela1[[#This Row],[Total 2018]]-1,0)</f>
        <v>-1</v>
      </c>
      <c r="W98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87" s="48"/>
      <c r="Y987" s="19"/>
      <c r="Z987" s="68"/>
    </row>
    <row r="988" spans="3:26" x14ac:dyDescent="0.35">
      <c r="C988" s="11" t="s">
        <v>2703</v>
      </c>
      <c r="D988" s="12" t="s">
        <v>2699</v>
      </c>
      <c r="E988" s="12">
        <v>967</v>
      </c>
      <c r="F988" s="13" t="s">
        <v>2414</v>
      </c>
      <c r="G988" s="14">
        <v>3</v>
      </c>
      <c r="H988" s="14" t="s">
        <v>1370</v>
      </c>
      <c r="I988" s="13">
        <v>15</v>
      </c>
      <c r="J988" s="15" t="s">
        <v>1414</v>
      </c>
      <c r="K988" s="15" t="s">
        <v>2706</v>
      </c>
      <c r="L988" s="16">
        <v>1917.4229999999998</v>
      </c>
      <c r="M988" s="16">
        <v>3570.3184999999999</v>
      </c>
      <c r="N988" s="16">
        <v>990.7835</v>
      </c>
      <c r="O988" s="16"/>
      <c r="P988" s="16"/>
      <c r="Q988" s="16">
        <f>SUM(Tabela1[[#This Row],[201805]:[201807]])</f>
        <v>6478.5249999999996</v>
      </c>
      <c r="R988" s="16">
        <f>SUM(Tabela1[[#This Row],[201905]:[201906]])</f>
        <v>0</v>
      </c>
      <c r="S988" s="16">
        <v>100000</v>
      </c>
      <c r="T988" s="16">
        <f>Tabela1[[#This Row],[Total 2019]]-Tabela1[[#This Row],[Total 2018]]</f>
        <v>-6478.5249999999996</v>
      </c>
      <c r="U988" s="40">
        <f>Tabela1[[#This Row],[Total 2019]]/Tabela1[[#This Row],[Meta]]</f>
        <v>0</v>
      </c>
      <c r="V988" s="17">
        <f>IFERROR(Tabela1[[#This Row],[Total 2019]]/Tabela1[[#This Row],[Total 2018]]-1,0)</f>
        <v>-1</v>
      </c>
      <c r="W98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88" s="48"/>
      <c r="Y988" s="19"/>
      <c r="Z988" s="68"/>
    </row>
    <row r="989" spans="3:26" x14ac:dyDescent="0.35">
      <c r="C989" s="11" t="s">
        <v>2704</v>
      </c>
      <c r="D989" s="12" t="s">
        <v>2699</v>
      </c>
      <c r="E989" s="12">
        <v>968</v>
      </c>
      <c r="F989" s="13" t="s">
        <v>2415</v>
      </c>
      <c r="G989" s="14">
        <v>1</v>
      </c>
      <c r="H989" s="14" t="s">
        <v>1372</v>
      </c>
      <c r="I989" s="13">
        <v>22</v>
      </c>
      <c r="J989" s="15" t="s">
        <v>1421</v>
      </c>
      <c r="K989" s="15" t="s">
        <v>2708</v>
      </c>
      <c r="L989" s="16"/>
      <c r="M989" s="16">
        <v>4202.5529999999999</v>
      </c>
      <c r="N989" s="16">
        <v>8769.8869999999988</v>
      </c>
      <c r="O989" s="16"/>
      <c r="P989" s="16"/>
      <c r="Q989" s="16">
        <f>SUM(Tabela1[[#This Row],[201805]:[201807]])</f>
        <v>12972.439999999999</v>
      </c>
      <c r="R989" s="16">
        <f>SUM(Tabela1[[#This Row],[201905]:[201906]])</f>
        <v>0</v>
      </c>
      <c r="S989" s="16">
        <v>100000</v>
      </c>
      <c r="T989" s="16">
        <f>Tabela1[[#This Row],[Total 2019]]-Tabela1[[#This Row],[Total 2018]]</f>
        <v>-12972.439999999999</v>
      </c>
      <c r="U989" s="40">
        <f>Tabela1[[#This Row],[Total 2019]]/Tabela1[[#This Row],[Meta]]</f>
        <v>0</v>
      </c>
      <c r="V989" s="17">
        <f>IFERROR(Tabela1[[#This Row],[Total 2019]]/Tabela1[[#This Row],[Total 2018]]-1,0)</f>
        <v>-1</v>
      </c>
      <c r="W98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89" s="48"/>
      <c r="Y989" s="19"/>
      <c r="Z989" s="68"/>
    </row>
    <row r="990" spans="3:26" x14ac:dyDescent="0.35">
      <c r="C990" s="11" t="s">
        <v>2704</v>
      </c>
      <c r="D990" s="12" t="s">
        <v>2700</v>
      </c>
      <c r="E990" s="12">
        <v>969</v>
      </c>
      <c r="F990" s="13" t="s">
        <v>2416</v>
      </c>
      <c r="G990" s="14">
        <v>3</v>
      </c>
      <c r="H990" s="14" t="s">
        <v>1372</v>
      </c>
      <c r="I990" s="13">
        <v>16</v>
      </c>
      <c r="J990" s="15" t="s">
        <v>1415</v>
      </c>
      <c r="K990" s="15" t="s">
        <v>2708</v>
      </c>
      <c r="L990" s="16">
        <v>2840.7374999999997</v>
      </c>
      <c r="M990" s="16">
        <v>4401.4354999999996</v>
      </c>
      <c r="N990" s="16">
        <v>1158.6199999999999</v>
      </c>
      <c r="O990" s="16"/>
      <c r="P990" s="16"/>
      <c r="Q990" s="16">
        <f>SUM(Tabela1[[#This Row],[201805]:[201807]])</f>
        <v>8400.7929999999978</v>
      </c>
      <c r="R990" s="16">
        <f>SUM(Tabela1[[#This Row],[201905]:[201906]])</f>
        <v>0</v>
      </c>
      <c r="S990" s="16">
        <v>100000</v>
      </c>
      <c r="T990" s="16">
        <f>Tabela1[[#This Row],[Total 2019]]-Tabela1[[#This Row],[Total 2018]]</f>
        <v>-8400.7929999999978</v>
      </c>
      <c r="U990" s="40">
        <f>Tabela1[[#This Row],[Total 2019]]/Tabela1[[#This Row],[Meta]]</f>
        <v>0</v>
      </c>
      <c r="V990" s="17">
        <f>IFERROR(Tabela1[[#This Row],[Total 2019]]/Tabela1[[#This Row],[Total 2018]]-1,0)</f>
        <v>-1</v>
      </c>
      <c r="W99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90" s="48"/>
      <c r="Y990" s="19"/>
      <c r="Z990" s="68"/>
    </row>
    <row r="991" spans="3:26" x14ac:dyDescent="0.35">
      <c r="C991" s="11" t="s">
        <v>2703</v>
      </c>
      <c r="D991" s="12" t="s">
        <v>2698</v>
      </c>
      <c r="E991" s="12">
        <v>970</v>
      </c>
      <c r="F991" s="13" t="s">
        <v>2417</v>
      </c>
      <c r="G991" s="14">
        <v>2</v>
      </c>
      <c r="H991" s="14" t="s">
        <v>1371</v>
      </c>
      <c r="I991" s="13">
        <v>4</v>
      </c>
      <c r="J991" s="15" t="s">
        <v>1403</v>
      </c>
      <c r="K991" s="15" t="s">
        <v>2707</v>
      </c>
      <c r="L991" s="16"/>
      <c r="M991" s="16"/>
      <c r="N991" s="16">
        <v>4389.1615000000002</v>
      </c>
      <c r="O991" s="16"/>
      <c r="P991" s="16"/>
      <c r="Q991" s="16">
        <f>SUM(Tabela1[[#This Row],[201805]:[201807]])</f>
        <v>4389.1615000000002</v>
      </c>
      <c r="R991" s="16">
        <f>SUM(Tabela1[[#This Row],[201905]:[201906]])</f>
        <v>0</v>
      </c>
      <c r="S991" s="16">
        <v>100000</v>
      </c>
      <c r="T991" s="16">
        <f>Tabela1[[#This Row],[Total 2019]]-Tabela1[[#This Row],[Total 2018]]</f>
        <v>-4389.1615000000002</v>
      </c>
      <c r="U991" s="40">
        <f>Tabela1[[#This Row],[Total 2019]]/Tabela1[[#This Row],[Meta]]</f>
        <v>0</v>
      </c>
      <c r="V991" s="17">
        <f>IFERROR(Tabela1[[#This Row],[Total 2019]]/Tabela1[[#This Row],[Total 2018]]-1,0)</f>
        <v>-1</v>
      </c>
      <c r="W99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91" s="48"/>
      <c r="Y991" s="19"/>
      <c r="Z991" s="68"/>
    </row>
    <row r="992" spans="3:26" x14ac:dyDescent="0.35">
      <c r="C992" s="11" t="s">
        <v>2702</v>
      </c>
      <c r="D992" s="12" t="s">
        <v>2698</v>
      </c>
      <c r="E992" s="12">
        <v>971</v>
      </c>
      <c r="F992" s="13" t="s">
        <v>2418</v>
      </c>
      <c r="G992" s="14">
        <v>1</v>
      </c>
      <c r="H992" s="14" t="s">
        <v>1372</v>
      </c>
      <c r="I992" s="13">
        <v>17</v>
      </c>
      <c r="J992" s="15" t="s">
        <v>1416</v>
      </c>
      <c r="K992" s="15" t="s">
        <v>2708</v>
      </c>
      <c r="L992" s="16"/>
      <c r="M992" s="16">
        <v>2240.7365</v>
      </c>
      <c r="N992" s="16"/>
      <c r="O992" s="16"/>
      <c r="P992" s="16"/>
      <c r="Q992" s="16">
        <f>SUM(Tabela1[[#This Row],[201805]:[201807]])</f>
        <v>2240.7365</v>
      </c>
      <c r="R992" s="16">
        <f>SUM(Tabela1[[#This Row],[201905]:[201906]])</f>
        <v>0</v>
      </c>
      <c r="S992" s="16">
        <v>100000</v>
      </c>
      <c r="T992" s="16">
        <f>Tabela1[[#This Row],[Total 2019]]-Tabela1[[#This Row],[Total 2018]]</f>
        <v>-2240.7365</v>
      </c>
      <c r="U992" s="40">
        <f>Tabela1[[#This Row],[Total 2019]]/Tabela1[[#This Row],[Meta]]</f>
        <v>0</v>
      </c>
      <c r="V992" s="17">
        <f>IFERROR(Tabela1[[#This Row],[Total 2019]]/Tabela1[[#This Row],[Total 2018]]-1,0)</f>
        <v>-1</v>
      </c>
      <c r="W99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92" s="48"/>
      <c r="Y992" s="19"/>
      <c r="Z992" s="68"/>
    </row>
    <row r="993" spans="3:26" x14ac:dyDescent="0.35">
      <c r="C993" s="11" t="s">
        <v>2703</v>
      </c>
      <c r="D993" s="12" t="s">
        <v>2699</v>
      </c>
      <c r="E993" s="12">
        <v>972</v>
      </c>
      <c r="F993" s="13" t="s">
        <v>2419</v>
      </c>
      <c r="G993" s="14">
        <v>3</v>
      </c>
      <c r="H993" s="14" t="s">
        <v>1371</v>
      </c>
      <c r="I993" s="13">
        <v>9</v>
      </c>
      <c r="J993" s="15" t="s">
        <v>1408</v>
      </c>
      <c r="K993" s="15" t="s">
        <v>2707</v>
      </c>
      <c r="L993" s="16">
        <v>5033.0334999999995</v>
      </c>
      <c r="M993" s="16">
        <v>2505.7200000000003</v>
      </c>
      <c r="N993" s="16"/>
      <c r="O993" s="16"/>
      <c r="P993" s="16"/>
      <c r="Q993" s="16">
        <f>SUM(Tabela1[[#This Row],[201805]:[201807]])</f>
        <v>7538.7534999999998</v>
      </c>
      <c r="R993" s="16">
        <f>SUM(Tabela1[[#This Row],[201905]:[201906]])</f>
        <v>0</v>
      </c>
      <c r="S993" s="16">
        <v>100000</v>
      </c>
      <c r="T993" s="16">
        <f>Tabela1[[#This Row],[Total 2019]]-Tabela1[[#This Row],[Total 2018]]</f>
        <v>-7538.7534999999998</v>
      </c>
      <c r="U993" s="40">
        <f>Tabela1[[#This Row],[Total 2019]]/Tabela1[[#This Row],[Meta]]</f>
        <v>0</v>
      </c>
      <c r="V993" s="17">
        <f>IFERROR(Tabela1[[#This Row],[Total 2019]]/Tabela1[[#This Row],[Total 2018]]-1,0)</f>
        <v>-1</v>
      </c>
      <c r="W99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93" s="48"/>
      <c r="Y993" s="19"/>
      <c r="Z993" s="68"/>
    </row>
    <row r="994" spans="3:26" x14ac:dyDescent="0.35">
      <c r="C994" s="11" t="s">
        <v>2703</v>
      </c>
      <c r="D994" s="12" t="s">
        <v>2699</v>
      </c>
      <c r="E994" s="12">
        <v>973</v>
      </c>
      <c r="F994" s="13" t="s">
        <v>2420</v>
      </c>
      <c r="G994" s="14">
        <v>2</v>
      </c>
      <c r="H994" s="14" t="s">
        <v>1370</v>
      </c>
      <c r="I994" s="13">
        <v>29</v>
      </c>
      <c r="J994" s="15" t="s">
        <v>1428</v>
      </c>
      <c r="K994" s="15" t="s">
        <v>2706</v>
      </c>
      <c r="L994" s="16"/>
      <c r="M994" s="16">
        <v>1748.3799999999997</v>
      </c>
      <c r="N994" s="16"/>
      <c r="O994" s="16"/>
      <c r="P994" s="16"/>
      <c r="Q994" s="16">
        <f>SUM(Tabela1[[#This Row],[201805]:[201807]])</f>
        <v>1748.3799999999997</v>
      </c>
      <c r="R994" s="16">
        <f>SUM(Tabela1[[#This Row],[201905]:[201906]])</f>
        <v>0</v>
      </c>
      <c r="S994" s="16">
        <v>100000</v>
      </c>
      <c r="T994" s="16">
        <f>Tabela1[[#This Row],[Total 2019]]-Tabela1[[#This Row],[Total 2018]]</f>
        <v>-1748.3799999999997</v>
      </c>
      <c r="U994" s="40">
        <f>Tabela1[[#This Row],[Total 2019]]/Tabela1[[#This Row],[Meta]]</f>
        <v>0</v>
      </c>
      <c r="V994" s="17">
        <f>IFERROR(Tabela1[[#This Row],[Total 2019]]/Tabela1[[#This Row],[Total 2018]]-1,0)</f>
        <v>-1</v>
      </c>
      <c r="W99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94" s="48"/>
      <c r="Y994" s="19"/>
      <c r="Z994" s="68"/>
    </row>
    <row r="995" spans="3:26" x14ac:dyDescent="0.35">
      <c r="C995" s="11" t="s">
        <v>2703</v>
      </c>
      <c r="D995" s="12" t="s">
        <v>2700</v>
      </c>
      <c r="E995" s="12">
        <v>974</v>
      </c>
      <c r="F995" s="13" t="s">
        <v>2421</v>
      </c>
      <c r="G995" s="14">
        <v>2</v>
      </c>
      <c r="H995" s="14" t="s">
        <v>1372</v>
      </c>
      <c r="I995" s="13">
        <v>22</v>
      </c>
      <c r="J995" s="15" t="s">
        <v>1421</v>
      </c>
      <c r="K995" s="15" t="s">
        <v>2708</v>
      </c>
      <c r="L995" s="16">
        <v>8659.3450000000012</v>
      </c>
      <c r="M995" s="16">
        <v>14281.1695</v>
      </c>
      <c r="N995" s="16">
        <v>7347.1670000000004</v>
      </c>
      <c r="O995" s="16"/>
      <c r="P995" s="16"/>
      <c r="Q995" s="16">
        <f>SUM(Tabela1[[#This Row],[201805]:[201807]])</f>
        <v>30287.681500000002</v>
      </c>
      <c r="R995" s="16">
        <f>SUM(Tabela1[[#This Row],[201905]:[201906]])</f>
        <v>0</v>
      </c>
      <c r="S995" s="16">
        <v>100000</v>
      </c>
      <c r="T995" s="16">
        <f>Tabela1[[#This Row],[Total 2019]]-Tabela1[[#This Row],[Total 2018]]</f>
        <v>-30287.681500000002</v>
      </c>
      <c r="U995" s="40">
        <f>Tabela1[[#This Row],[Total 2019]]/Tabela1[[#This Row],[Meta]]</f>
        <v>0</v>
      </c>
      <c r="V995" s="17">
        <f>IFERROR(Tabela1[[#This Row],[Total 2019]]/Tabela1[[#This Row],[Total 2018]]-1,0)</f>
        <v>-1</v>
      </c>
      <c r="W99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95" s="48"/>
      <c r="Y995" s="19"/>
      <c r="Z995" s="68"/>
    </row>
    <row r="996" spans="3:26" x14ac:dyDescent="0.35">
      <c r="C996" s="11" t="s">
        <v>2703</v>
      </c>
      <c r="D996" s="12" t="s">
        <v>2700</v>
      </c>
      <c r="E996" s="12">
        <v>975</v>
      </c>
      <c r="F996" s="13" t="s">
        <v>2422</v>
      </c>
      <c r="G996" s="14">
        <v>3</v>
      </c>
      <c r="H996" s="14" t="s">
        <v>1370</v>
      </c>
      <c r="I996" s="13">
        <v>33</v>
      </c>
      <c r="J996" s="15" t="s">
        <v>1432</v>
      </c>
      <c r="K996" s="15" t="s">
        <v>2706</v>
      </c>
      <c r="L996" s="16"/>
      <c r="M996" s="16">
        <v>2214.3454999999999</v>
      </c>
      <c r="N996" s="16">
        <v>1182.3699999999999</v>
      </c>
      <c r="O996" s="16"/>
      <c r="P996" s="16"/>
      <c r="Q996" s="16">
        <f>SUM(Tabela1[[#This Row],[201805]:[201807]])</f>
        <v>3396.7154999999998</v>
      </c>
      <c r="R996" s="16">
        <f>SUM(Tabela1[[#This Row],[201905]:[201906]])</f>
        <v>0</v>
      </c>
      <c r="S996" s="16">
        <v>100000</v>
      </c>
      <c r="T996" s="16">
        <f>Tabela1[[#This Row],[Total 2019]]-Tabela1[[#This Row],[Total 2018]]</f>
        <v>-3396.7154999999998</v>
      </c>
      <c r="U996" s="40">
        <f>Tabela1[[#This Row],[Total 2019]]/Tabela1[[#This Row],[Meta]]</f>
        <v>0</v>
      </c>
      <c r="V996" s="17">
        <f>IFERROR(Tabela1[[#This Row],[Total 2019]]/Tabela1[[#This Row],[Total 2018]]-1,0)</f>
        <v>-1</v>
      </c>
      <c r="W99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96" s="48"/>
      <c r="Y996" s="19"/>
      <c r="Z996" s="68"/>
    </row>
    <row r="997" spans="3:26" x14ac:dyDescent="0.35">
      <c r="C997" s="11" t="s">
        <v>2704</v>
      </c>
      <c r="D997" s="12" t="s">
        <v>2699</v>
      </c>
      <c r="E997" s="12">
        <v>976</v>
      </c>
      <c r="F997" s="13" t="s">
        <v>2423</v>
      </c>
      <c r="G997" s="14">
        <v>2</v>
      </c>
      <c r="H997" s="14" t="s">
        <v>1371</v>
      </c>
      <c r="I997" s="13">
        <v>31</v>
      </c>
      <c r="J997" s="15" t="s">
        <v>1430</v>
      </c>
      <c r="K997" s="15" t="s">
        <v>2707</v>
      </c>
      <c r="L997" s="16">
        <v>1195.29</v>
      </c>
      <c r="M997" s="16">
        <v>3710.1110000000003</v>
      </c>
      <c r="N997" s="16"/>
      <c r="O997" s="16"/>
      <c r="P997" s="16"/>
      <c r="Q997" s="16">
        <f>SUM(Tabela1[[#This Row],[201805]:[201807]])</f>
        <v>4905.4009999999998</v>
      </c>
      <c r="R997" s="16">
        <f>SUM(Tabela1[[#This Row],[201905]:[201906]])</f>
        <v>0</v>
      </c>
      <c r="S997" s="16">
        <v>100000</v>
      </c>
      <c r="T997" s="16">
        <f>Tabela1[[#This Row],[Total 2019]]-Tabela1[[#This Row],[Total 2018]]</f>
        <v>-4905.4009999999998</v>
      </c>
      <c r="U997" s="40">
        <f>Tabela1[[#This Row],[Total 2019]]/Tabela1[[#This Row],[Meta]]</f>
        <v>0</v>
      </c>
      <c r="V997" s="17">
        <f>IFERROR(Tabela1[[#This Row],[Total 2019]]/Tabela1[[#This Row],[Total 2018]]-1,0)</f>
        <v>-1</v>
      </c>
      <c r="W99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97" s="48"/>
      <c r="Y997" s="19"/>
      <c r="Z997" s="68"/>
    </row>
    <row r="998" spans="3:26" x14ac:dyDescent="0.35">
      <c r="C998" s="11" t="s">
        <v>2704</v>
      </c>
      <c r="D998" s="12" t="s">
        <v>2699</v>
      </c>
      <c r="E998" s="12">
        <v>977</v>
      </c>
      <c r="F998" s="13" t="s">
        <v>2424</v>
      </c>
      <c r="G998" s="14">
        <v>2</v>
      </c>
      <c r="H998" s="14" t="s">
        <v>1371</v>
      </c>
      <c r="I998" s="13">
        <v>24</v>
      </c>
      <c r="J998" s="15" t="s">
        <v>1423</v>
      </c>
      <c r="K998" s="15" t="s">
        <v>2707</v>
      </c>
      <c r="L998" s="16">
        <v>4021.0744999999993</v>
      </c>
      <c r="M998" s="16">
        <v>3319.6229999999996</v>
      </c>
      <c r="N998" s="16"/>
      <c r="O998" s="16"/>
      <c r="P998" s="16"/>
      <c r="Q998" s="16">
        <f>SUM(Tabela1[[#This Row],[201805]:[201807]])</f>
        <v>7340.6974999999984</v>
      </c>
      <c r="R998" s="16">
        <f>SUM(Tabela1[[#This Row],[201905]:[201906]])</f>
        <v>0</v>
      </c>
      <c r="S998" s="16">
        <v>100000</v>
      </c>
      <c r="T998" s="16">
        <f>Tabela1[[#This Row],[Total 2019]]-Tabela1[[#This Row],[Total 2018]]</f>
        <v>-7340.6974999999984</v>
      </c>
      <c r="U998" s="40">
        <f>Tabela1[[#This Row],[Total 2019]]/Tabela1[[#This Row],[Meta]]</f>
        <v>0</v>
      </c>
      <c r="V998" s="17">
        <f>IFERROR(Tabela1[[#This Row],[Total 2019]]/Tabela1[[#This Row],[Total 2018]]-1,0)</f>
        <v>-1</v>
      </c>
      <c r="W99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998" s="48"/>
      <c r="Y998" s="19"/>
      <c r="Z998" s="68"/>
    </row>
    <row r="999" spans="3:26" x14ac:dyDescent="0.35">
      <c r="C999" s="11" t="s">
        <v>2703</v>
      </c>
      <c r="D999" s="12" t="s">
        <v>2699</v>
      </c>
      <c r="E999" s="12">
        <v>978</v>
      </c>
      <c r="F999" s="13" t="s">
        <v>2425</v>
      </c>
      <c r="G999" s="14">
        <v>3</v>
      </c>
      <c r="H999" s="14" t="s">
        <v>1370</v>
      </c>
      <c r="I999" s="13">
        <v>33</v>
      </c>
      <c r="J999" s="15" t="s">
        <v>1432</v>
      </c>
      <c r="K999" s="15" t="s">
        <v>2706</v>
      </c>
      <c r="L999" s="16"/>
      <c r="M999" s="16"/>
      <c r="N999" s="16"/>
      <c r="O999" s="16">
        <v>1139.4299999999998</v>
      </c>
      <c r="P999" s="16">
        <v>6057.2759999999989</v>
      </c>
      <c r="Q999" s="16">
        <f>SUM(Tabela1[[#This Row],[201805]:[201807]])</f>
        <v>0</v>
      </c>
      <c r="R999" s="16">
        <f>SUM(Tabela1[[#This Row],[201905]:[201906]])</f>
        <v>7196.7059999999983</v>
      </c>
      <c r="S999" s="16">
        <v>100000</v>
      </c>
      <c r="T999" s="16">
        <f>Tabela1[[#This Row],[Total 2019]]-Tabela1[[#This Row],[Total 2018]]</f>
        <v>7196.7059999999983</v>
      </c>
      <c r="U999" s="40">
        <f>Tabela1[[#This Row],[Total 2019]]/Tabela1[[#This Row],[Meta]]</f>
        <v>7.1967059999999985E-2</v>
      </c>
      <c r="V999" s="17">
        <f>IFERROR(Tabela1[[#This Row],[Total 2019]]/Tabela1[[#This Row],[Total 2018]]-1,0)</f>
        <v>0</v>
      </c>
      <c r="W99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999" s="48"/>
      <c r="Y999" s="19"/>
      <c r="Z999" s="68"/>
    </row>
    <row r="1000" spans="3:26" x14ac:dyDescent="0.35">
      <c r="C1000" s="11" t="s">
        <v>2704</v>
      </c>
      <c r="D1000" s="12" t="s">
        <v>2698</v>
      </c>
      <c r="E1000" s="12">
        <v>979</v>
      </c>
      <c r="F1000" s="13" t="s">
        <v>2426</v>
      </c>
      <c r="G1000" s="14">
        <v>1</v>
      </c>
      <c r="H1000" s="14" t="s">
        <v>1370</v>
      </c>
      <c r="I1000" s="13">
        <v>11</v>
      </c>
      <c r="J1000" s="15" t="s">
        <v>1410</v>
      </c>
      <c r="K1000" s="15" t="s">
        <v>2706</v>
      </c>
      <c r="L1000" s="16"/>
      <c r="M1000" s="16"/>
      <c r="N1000" s="16"/>
      <c r="O1000" s="16">
        <v>12394.365</v>
      </c>
      <c r="P1000" s="16"/>
      <c r="Q1000" s="16">
        <f>SUM(Tabela1[[#This Row],[201805]:[201807]])</f>
        <v>0</v>
      </c>
      <c r="R1000" s="16">
        <f>SUM(Tabela1[[#This Row],[201905]:[201906]])</f>
        <v>12394.365</v>
      </c>
      <c r="S1000" s="16">
        <v>100000</v>
      </c>
      <c r="T1000" s="16">
        <f>Tabela1[[#This Row],[Total 2019]]-Tabela1[[#This Row],[Total 2018]]</f>
        <v>12394.365</v>
      </c>
      <c r="U1000" s="40">
        <f>Tabela1[[#This Row],[Total 2019]]/Tabela1[[#This Row],[Meta]]</f>
        <v>0.12394365</v>
      </c>
      <c r="V1000" s="17">
        <f>IFERROR(Tabela1[[#This Row],[Total 2019]]/Tabela1[[#This Row],[Total 2018]]-1,0)</f>
        <v>0</v>
      </c>
      <c r="W100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00" s="48"/>
      <c r="Y1000" s="19"/>
      <c r="Z1000" s="68"/>
    </row>
    <row r="1001" spans="3:26" x14ac:dyDescent="0.35">
      <c r="C1001" s="11" t="s">
        <v>2702</v>
      </c>
      <c r="D1001" s="12" t="s">
        <v>2700</v>
      </c>
      <c r="E1001" s="12">
        <v>980</v>
      </c>
      <c r="F1001" s="13" t="s">
        <v>2427</v>
      </c>
      <c r="G1001" s="14">
        <v>1</v>
      </c>
      <c r="H1001" s="14" t="s">
        <v>1370</v>
      </c>
      <c r="I1001" s="13">
        <v>11</v>
      </c>
      <c r="J1001" s="15" t="s">
        <v>1410</v>
      </c>
      <c r="K1001" s="15" t="s">
        <v>2706</v>
      </c>
      <c r="L1001" s="16"/>
      <c r="M1001" s="16"/>
      <c r="N1001" s="16"/>
      <c r="O1001" s="16">
        <v>27398.950000000004</v>
      </c>
      <c r="P1001" s="16">
        <v>340.38499999999999</v>
      </c>
      <c r="Q1001" s="16">
        <f>SUM(Tabela1[[#This Row],[201805]:[201807]])</f>
        <v>0</v>
      </c>
      <c r="R1001" s="16">
        <f>SUM(Tabela1[[#This Row],[201905]:[201906]])</f>
        <v>27739.335000000003</v>
      </c>
      <c r="S1001" s="16">
        <v>100000</v>
      </c>
      <c r="T1001" s="16">
        <f>Tabela1[[#This Row],[Total 2019]]-Tabela1[[#This Row],[Total 2018]]</f>
        <v>27739.335000000003</v>
      </c>
      <c r="U1001" s="40">
        <f>Tabela1[[#This Row],[Total 2019]]/Tabela1[[#This Row],[Meta]]</f>
        <v>0.27739335000000004</v>
      </c>
      <c r="V1001" s="17">
        <f>IFERROR(Tabela1[[#This Row],[Total 2019]]/Tabela1[[#This Row],[Total 2018]]-1,0)</f>
        <v>0</v>
      </c>
      <c r="W100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01" s="48"/>
      <c r="Y1001" s="19"/>
      <c r="Z1001" s="68"/>
    </row>
    <row r="1002" spans="3:26" x14ac:dyDescent="0.35">
      <c r="C1002" s="11" t="s">
        <v>2704</v>
      </c>
      <c r="D1002" s="12" t="s">
        <v>2700</v>
      </c>
      <c r="E1002" s="12">
        <v>981</v>
      </c>
      <c r="F1002" s="13" t="s">
        <v>2428</v>
      </c>
      <c r="G1002" s="14">
        <v>3</v>
      </c>
      <c r="H1002" s="14" t="s">
        <v>1372</v>
      </c>
      <c r="I1002" s="13">
        <v>10</v>
      </c>
      <c r="J1002" s="15" t="s">
        <v>1409</v>
      </c>
      <c r="K1002" s="15" t="s">
        <v>2708</v>
      </c>
      <c r="L1002" s="16"/>
      <c r="M1002" s="16"/>
      <c r="N1002" s="16"/>
      <c r="O1002" s="16">
        <v>2576.59</v>
      </c>
      <c r="P1002" s="16">
        <v>6529.9009999999998</v>
      </c>
      <c r="Q1002" s="16">
        <f>SUM(Tabela1[[#This Row],[201805]:[201807]])</f>
        <v>0</v>
      </c>
      <c r="R1002" s="16">
        <f>SUM(Tabela1[[#This Row],[201905]:[201906]])</f>
        <v>9106.491</v>
      </c>
      <c r="S1002" s="16">
        <v>100000</v>
      </c>
      <c r="T1002" s="16">
        <f>Tabela1[[#This Row],[Total 2019]]-Tabela1[[#This Row],[Total 2018]]</f>
        <v>9106.491</v>
      </c>
      <c r="U1002" s="40">
        <f>Tabela1[[#This Row],[Total 2019]]/Tabela1[[#This Row],[Meta]]</f>
        <v>9.1064909999999999E-2</v>
      </c>
      <c r="V1002" s="17">
        <f>IFERROR(Tabela1[[#This Row],[Total 2019]]/Tabela1[[#This Row],[Total 2018]]-1,0)</f>
        <v>0</v>
      </c>
      <c r="W100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02" s="48"/>
      <c r="Y1002" s="19"/>
      <c r="Z1002" s="68"/>
    </row>
    <row r="1003" spans="3:26" x14ac:dyDescent="0.35">
      <c r="C1003" s="11" t="s">
        <v>2703</v>
      </c>
      <c r="D1003" s="12" t="s">
        <v>2699</v>
      </c>
      <c r="E1003" s="12">
        <v>982</v>
      </c>
      <c r="F1003" s="13" t="s">
        <v>2429</v>
      </c>
      <c r="G1003" s="14">
        <v>2</v>
      </c>
      <c r="H1003" s="14" t="s">
        <v>1371</v>
      </c>
      <c r="I1003" s="13">
        <v>9</v>
      </c>
      <c r="J1003" s="15" t="s">
        <v>1408</v>
      </c>
      <c r="K1003" s="15" t="s">
        <v>2707</v>
      </c>
      <c r="L1003" s="16"/>
      <c r="M1003" s="16"/>
      <c r="N1003" s="16"/>
      <c r="O1003" s="16"/>
      <c r="P1003" s="16">
        <v>751.53549999999996</v>
      </c>
      <c r="Q1003" s="16">
        <f>SUM(Tabela1[[#This Row],[201805]:[201807]])</f>
        <v>0</v>
      </c>
      <c r="R1003" s="16">
        <f>SUM(Tabela1[[#This Row],[201905]:[201906]])</f>
        <v>751.53549999999996</v>
      </c>
      <c r="S1003" s="16">
        <v>100000</v>
      </c>
      <c r="T1003" s="16">
        <f>Tabela1[[#This Row],[Total 2019]]-Tabela1[[#This Row],[Total 2018]]</f>
        <v>751.53549999999996</v>
      </c>
      <c r="U1003" s="40">
        <f>Tabela1[[#This Row],[Total 2019]]/Tabela1[[#This Row],[Meta]]</f>
        <v>7.5153549999999996E-3</v>
      </c>
      <c r="V1003" s="17">
        <f>IFERROR(Tabela1[[#This Row],[Total 2019]]/Tabela1[[#This Row],[Total 2018]]-1,0)</f>
        <v>0</v>
      </c>
      <c r="W100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03" s="48"/>
      <c r="Y1003" s="19"/>
      <c r="Z1003" s="68"/>
    </row>
    <row r="1004" spans="3:26" x14ac:dyDescent="0.35">
      <c r="C1004" s="11" t="s">
        <v>2703</v>
      </c>
      <c r="D1004" s="12" t="s">
        <v>2699</v>
      </c>
      <c r="E1004" s="12">
        <v>983</v>
      </c>
      <c r="F1004" s="13" t="s">
        <v>2430</v>
      </c>
      <c r="G1004" s="14">
        <v>2</v>
      </c>
      <c r="H1004" s="14" t="s">
        <v>1371</v>
      </c>
      <c r="I1004" s="13">
        <v>5</v>
      </c>
      <c r="J1004" s="15" t="s">
        <v>1404</v>
      </c>
      <c r="K1004" s="15" t="s">
        <v>2707</v>
      </c>
      <c r="L1004" s="16"/>
      <c r="M1004" s="16"/>
      <c r="N1004" s="16"/>
      <c r="O1004" s="16">
        <v>12541.263500000001</v>
      </c>
      <c r="P1004" s="16">
        <v>542.06999999999994</v>
      </c>
      <c r="Q1004" s="16">
        <f>SUM(Tabela1[[#This Row],[201805]:[201807]])</f>
        <v>0</v>
      </c>
      <c r="R1004" s="16">
        <f>SUM(Tabela1[[#This Row],[201905]:[201906]])</f>
        <v>13083.333500000001</v>
      </c>
      <c r="S1004" s="16">
        <v>100000</v>
      </c>
      <c r="T1004" s="16">
        <f>Tabela1[[#This Row],[Total 2019]]-Tabela1[[#This Row],[Total 2018]]</f>
        <v>13083.333500000001</v>
      </c>
      <c r="U1004" s="40">
        <f>Tabela1[[#This Row],[Total 2019]]/Tabela1[[#This Row],[Meta]]</f>
        <v>0.130833335</v>
      </c>
      <c r="V1004" s="17">
        <f>IFERROR(Tabela1[[#This Row],[Total 2019]]/Tabela1[[#This Row],[Total 2018]]-1,0)</f>
        <v>0</v>
      </c>
      <c r="W100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04" s="48"/>
      <c r="Y1004" s="19"/>
      <c r="Z1004" s="68"/>
    </row>
    <row r="1005" spans="3:26" x14ac:dyDescent="0.35">
      <c r="C1005" s="11" t="s">
        <v>2704</v>
      </c>
      <c r="D1005" s="12" t="s">
        <v>2698</v>
      </c>
      <c r="E1005" s="12">
        <v>984</v>
      </c>
      <c r="F1005" s="13" t="s">
        <v>2431</v>
      </c>
      <c r="G1005" s="14">
        <v>2</v>
      </c>
      <c r="H1005" s="14" t="s">
        <v>1371</v>
      </c>
      <c r="I1005" s="13">
        <v>24</v>
      </c>
      <c r="J1005" s="15" t="s">
        <v>1423</v>
      </c>
      <c r="K1005" s="15" t="s">
        <v>2707</v>
      </c>
      <c r="L1005" s="16"/>
      <c r="M1005" s="16"/>
      <c r="N1005" s="16"/>
      <c r="O1005" s="16">
        <v>1785.7719999999999</v>
      </c>
      <c r="P1005" s="16">
        <v>1411.8995</v>
      </c>
      <c r="Q1005" s="16">
        <f>SUM(Tabela1[[#This Row],[201805]:[201807]])</f>
        <v>0</v>
      </c>
      <c r="R1005" s="16">
        <f>SUM(Tabela1[[#This Row],[201905]:[201906]])</f>
        <v>3197.6714999999999</v>
      </c>
      <c r="S1005" s="16">
        <v>100000</v>
      </c>
      <c r="T1005" s="16">
        <f>Tabela1[[#This Row],[Total 2019]]-Tabela1[[#This Row],[Total 2018]]</f>
        <v>3197.6714999999999</v>
      </c>
      <c r="U1005" s="40">
        <f>Tabela1[[#This Row],[Total 2019]]/Tabela1[[#This Row],[Meta]]</f>
        <v>3.1976714999999996E-2</v>
      </c>
      <c r="V1005" s="17">
        <f>IFERROR(Tabela1[[#This Row],[Total 2019]]/Tabela1[[#This Row],[Total 2018]]-1,0)</f>
        <v>0</v>
      </c>
      <c r="W100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05" s="48"/>
      <c r="Y1005" s="19"/>
      <c r="Z1005" s="68"/>
    </row>
    <row r="1006" spans="3:26" x14ac:dyDescent="0.35">
      <c r="C1006" s="11" t="s">
        <v>2703</v>
      </c>
      <c r="D1006" s="12" t="s">
        <v>2700</v>
      </c>
      <c r="E1006" s="12">
        <v>985</v>
      </c>
      <c r="F1006" s="13" t="s">
        <v>2432</v>
      </c>
      <c r="G1006" s="14">
        <v>2</v>
      </c>
      <c r="H1006" s="14" t="s">
        <v>1370</v>
      </c>
      <c r="I1006" s="13">
        <v>15</v>
      </c>
      <c r="J1006" s="15" t="s">
        <v>1414</v>
      </c>
      <c r="K1006" s="15" t="s">
        <v>2706</v>
      </c>
      <c r="L1006" s="16"/>
      <c r="M1006" s="16"/>
      <c r="N1006" s="16"/>
      <c r="O1006" s="16">
        <v>9805.1114999999991</v>
      </c>
      <c r="P1006" s="16">
        <v>7207.1844999999985</v>
      </c>
      <c r="Q1006" s="16">
        <f>SUM(Tabela1[[#This Row],[201805]:[201807]])</f>
        <v>0</v>
      </c>
      <c r="R1006" s="16">
        <f>SUM(Tabela1[[#This Row],[201905]:[201906]])</f>
        <v>17012.295999999998</v>
      </c>
      <c r="S1006" s="16">
        <v>100000</v>
      </c>
      <c r="T1006" s="16">
        <f>Tabela1[[#This Row],[Total 2019]]-Tabela1[[#This Row],[Total 2018]]</f>
        <v>17012.295999999998</v>
      </c>
      <c r="U1006" s="40">
        <f>Tabela1[[#This Row],[Total 2019]]/Tabela1[[#This Row],[Meta]]</f>
        <v>0.17012295999999999</v>
      </c>
      <c r="V1006" s="17">
        <f>IFERROR(Tabela1[[#This Row],[Total 2019]]/Tabela1[[#This Row],[Total 2018]]-1,0)</f>
        <v>0</v>
      </c>
      <c r="W100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06" s="48"/>
      <c r="Y1006" s="19"/>
      <c r="Z1006" s="68"/>
    </row>
    <row r="1007" spans="3:26" x14ac:dyDescent="0.35">
      <c r="C1007" s="11" t="s">
        <v>2702</v>
      </c>
      <c r="D1007" s="12" t="s">
        <v>2700</v>
      </c>
      <c r="E1007" s="12">
        <v>986</v>
      </c>
      <c r="F1007" s="13" t="s">
        <v>2433</v>
      </c>
      <c r="G1007" s="14">
        <v>2</v>
      </c>
      <c r="H1007" s="14" t="s">
        <v>1370</v>
      </c>
      <c r="I1007" s="13">
        <v>11</v>
      </c>
      <c r="J1007" s="15" t="s">
        <v>1410</v>
      </c>
      <c r="K1007" s="15" t="s">
        <v>2706</v>
      </c>
      <c r="L1007" s="16"/>
      <c r="M1007" s="16"/>
      <c r="N1007" s="16"/>
      <c r="O1007" s="16">
        <v>17758.349999999999</v>
      </c>
      <c r="P1007" s="16"/>
      <c r="Q1007" s="16">
        <f>SUM(Tabela1[[#This Row],[201805]:[201807]])</f>
        <v>0</v>
      </c>
      <c r="R1007" s="16">
        <f>SUM(Tabela1[[#This Row],[201905]:[201906]])</f>
        <v>17758.349999999999</v>
      </c>
      <c r="S1007" s="16">
        <v>100000</v>
      </c>
      <c r="T1007" s="16">
        <f>Tabela1[[#This Row],[Total 2019]]-Tabela1[[#This Row],[Total 2018]]</f>
        <v>17758.349999999999</v>
      </c>
      <c r="U1007" s="40">
        <f>Tabela1[[#This Row],[Total 2019]]/Tabela1[[#This Row],[Meta]]</f>
        <v>0.17758349999999998</v>
      </c>
      <c r="V1007" s="17">
        <f>IFERROR(Tabela1[[#This Row],[Total 2019]]/Tabela1[[#This Row],[Total 2018]]-1,0)</f>
        <v>0</v>
      </c>
      <c r="W100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07" s="48"/>
      <c r="Y1007" s="19"/>
      <c r="Z1007" s="68"/>
    </row>
    <row r="1008" spans="3:26" x14ac:dyDescent="0.35">
      <c r="C1008" s="11" t="s">
        <v>2702</v>
      </c>
      <c r="D1008" s="12" t="s">
        <v>2700</v>
      </c>
      <c r="E1008" s="12">
        <v>987</v>
      </c>
      <c r="F1008" s="13" t="s">
        <v>2434</v>
      </c>
      <c r="G1008" s="14">
        <v>2</v>
      </c>
      <c r="H1008" s="14" t="s">
        <v>1372</v>
      </c>
      <c r="I1008" s="13">
        <v>6</v>
      </c>
      <c r="J1008" s="15" t="s">
        <v>1405</v>
      </c>
      <c r="K1008" s="15" t="s">
        <v>2708</v>
      </c>
      <c r="L1008" s="16"/>
      <c r="M1008" s="16"/>
      <c r="N1008" s="16"/>
      <c r="O1008" s="16">
        <v>11779.847999999998</v>
      </c>
      <c r="P1008" s="16">
        <v>8169.8195000000005</v>
      </c>
      <c r="Q1008" s="16">
        <f>SUM(Tabela1[[#This Row],[201805]:[201807]])</f>
        <v>0</v>
      </c>
      <c r="R1008" s="16">
        <f>SUM(Tabela1[[#This Row],[201905]:[201906]])</f>
        <v>19949.6675</v>
      </c>
      <c r="S1008" s="16">
        <v>100000</v>
      </c>
      <c r="T1008" s="16">
        <f>Tabela1[[#This Row],[Total 2019]]-Tabela1[[#This Row],[Total 2018]]</f>
        <v>19949.6675</v>
      </c>
      <c r="U1008" s="40">
        <f>Tabela1[[#This Row],[Total 2019]]/Tabela1[[#This Row],[Meta]]</f>
        <v>0.19949667499999998</v>
      </c>
      <c r="V1008" s="17">
        <f>IFERROR(Tabela1[[#This Row],[Total 2019]]/Tabela1[[#This Row],[Total 2018]]-1,0)</f>
        <v>0</v>
      </c>
      <c r="W100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08" s="48"/>
      <c r="Y1008" s="19"/>
      <c r="Z1008" s="68"/>
    </row>
    <row r="1009" spans="3:26" x14ac:dyDescent="0.35">
      <c r="C1009" s="11" t="s">
        <v>2702</v>
      </c>
      <c r="D1009" s="12" t="s">
        <v>2699</v>
      </c>
      <c r="E1009" s="12">
        <v>988</v>
      </c>
      <c r="F1009" s="13" t="s">
        <v>2435</v>
      </c>
      <c r="G1009" s="14">
        <v>2</v>
      </c>
      <c r="H1009" s="14" t="s">
        <v>1372</v>
      </c>
      <c r="I1009" s="13">
        <v>6</v>
      </c>
      <c r="J1009" s="15" t="s">
        <v>1405</v>
      </c>
      <c r="K1009" s="15" t="s">
        <v>2708</v>
      </c>
      <c r="L1009" s="16"/>
      <c r="M1009" s="16"/>
      <c r="N1009" s="16"/>
      <c r="O1009" s="16">
        <v>6688.5320000000002</v>
      </c>
      <c r="P1009" s="16">
        <v>5929.9474999999993</v>
      </c>
      <c r="Q1009" s="16">
        <f>SUM(Tabela1[[#This Row],[201805]:[201807]])</f>
        <v>0</v>
      </c>
      <c r="R1009" s="16">
        <f>SUM(Tabela1[[#This Row],[201905]:[201906]])</f>
        <v>12618.479499999999</v>
      </c>
      <c r="S1009" s="16">
        <v>100000</v>
      </c>
      <c r="T1009" s="16">
        <f>Tabela1[[#This Row],[Total 2019]]-Tabela1[[#This Row],[Total 2018]]</f>
        <v>12618.479499999999</v>
      </c>
      <c r="U1009" s="40">
        <f>Tabela1[[#This Row],[Total 2019]]/Tabela1[[#This Row],[Meta]]</f>
        <v>0.12618479499999999</v>
      </c>
      <c r="V1009" s="17">
        <f>IFERROR(Tabela1[[#This Row],[Total 2019]]/Tabela1[[#This Row],[Total 2018]]-1,0)</f>
        <v>0</v>
      </c>
      <c r="W100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09" s="48"/>
      <c r="Y1009" s="19"/>
      <c r="Z1009" s="68"/>
    </row>
    <row r="1010" spans="3:26" x14ac:dyDescent="0.35">
      <c r="C1010" s="11" t="s">
        <v>2704</v>
      </c>
      <c r="D1010" s="12" t="s">
        <v>2698</v>
      </c>
      <c r="E1010" s="12">
        <v>989</v>
      </c>
      <c r="F1010" s="13" t="s">
        <v>2436</v>
      </c>
      <c r="G1010" s="14">
        <v>2</v>
      </c>
      <c r="H1010" s="14" t="s">
        <v>1372</v>
      </c>
      <c r="I1010" s="13">
        <v>27</v>
      </c>
      <c r="J1010" s="15" t="s">
        <v>1426</v>
      </c>
      <c r="K1010" s="15" t="s">
        <v>2708</v>
      </c>
      <c r="L1010" s="16"/>
      <c r="M1010" s="16"/>
      <c r="N1010" s="16"/>
      <c r="O1010" s="16">
        <v>5144.0599999999995</v>
      </c>
      <c r="P1010" s="16"/>
      <c r="Q1010" s="16">
        <f>SUM(Tabela1[[#This Row],[201805]:[201807]])</f>
        <v>0</v>
      </c>
      <c r="R1010" s="16">
        <f>SUM(Tabela1[[#This Row],[201905]:[201906]])</f>
        <v>5144.0599999999995</v>
      </c>
      <c r="S1010" s="16">
        <v>100000</v>
      </c>
      <c r="T1010" s="16">
        <f>Tabela1[[#This Row],[Total 2019]]-Tabela1[[#This Row],[Total 2018]]</f>
        <v>5144.0599999999995</v>
      </c>
      <c r="U1010" s="40">
        <f>Tabela1[[#This Row],[Total 2019]]/Tabela1[[#This Row],[Meta]]</f>
        <v>5.1440599999999996E-2</v>
      </c>
      <c r="V1010" s="17">
        <f>IFERROR(Tabela1[[#This Row],[Total 2019]]/Tabela1[[#This Row],[Total 2018]]-1,0)</f>
        <v>0</v>
      </c>
      <c r="W101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10" s="48"/>
      <c r="Y1010" s="19"/>
      <c r="Z1010" s="68"/>
    </row>
    <row r="1011" spans="3:26" x14ac:dyDescent="0.35">
      <c r="C1011" s="11" t="s">
        <v>2704</v>
      </c>
      <c r="D1011" s="12" t="s">
        <v>2698</v>
      </c>
      <c r="E1011" s="12">
        <v>990</v>
      </c>
      <c r="F1011" s="13" t="s">
        <v>2437</v>
      </c>
      <c r="G1011" s="14">
        <v>3</v>
      </c>
      <c r="H1011" s="14" t="s">
        <v>1371</v>
      </c>
      <c r="I1011" s="13">
        <v>7</v>
      </c>
      <c r="J1011" s="15" t="s">
        <v>1406</v>
      </c>
      <c r="K1011" s="15" t="s">
        <v>2707</v>
      </c>
      <c r="L1011" s="16"/>
      <c r="M1011" s="16"/>
      <c r="N1011" s="16"/>
      <c r="O1011" s="16">
        <v>173.28</v>
      </c>
      <c r="P1011" s="16">
        <v>1209.6824999999999</v>
      </c>
      <c r="Q1011" s="16">
        <f>SUM(Tabela1[[#This Row],[201805]:[201807]])</f>
        <v>0</v>
      </c>
      <c r="R1011" s="16">
        <f>SUM(Tabela1[[#This Row],[201905]:[201906]])</f>
        <v>1382.9624999999999</v>
      </c>
      <c r="S1011" s="16">
        <v>100000</v>
      </c>
      <c r="T1011" s="16">
        <f>Tabela1[[#This Row],[Total 2019]]-Tabela1[[#This Row],[Total 2018]]</f>
        <v>1382.9624999999999</v>
      </c>
      <c r="U1011" s="40">
        <f>Tabela1[[#This Row],[Total 2019]]/Tabela1[[#This Row],[Meta]]</f>
        <v>1.3829624999999998E-2</v>
      </c>
      <c r="V1011" s="17">
        <f>IFERROR(Tabela1[[#This Row],[Total 2019]]/Tabela1[[#This Row],[Total 2018]]-1,0)</f>
        <v>0</v>
      </c>
      <c r="W101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11" s="48"/>
      <c r="Y1011" s="19"/>
      <c r="Z1011" s="68"/>
    </row>
    <row r="1012" spans="3:26" x14ac:dyDescent="0.35">
      <c r="C1012" s="11" t="s">
        <v>2702</v>
      </c>
      <c r="D1012" s="12" t="s">
        <v>2699</v>
      </c>
      <c r="E1012" s="12">
        <v>991</v>
      </c>
      <c r="F1012" s="13" t="s">
        <v>2438</v>
      </c>
      <c r="G1012" s="14">
        <v>3</v>
      </c>
      <c r="H1012" s="14" t="s">
        <v>1372</v>
      </c>
      <c r="I1012" s="13">
        <v>18</v>
      </c>
      <c r="J1012" s="15" t="s">
        <v>1417</v>
      </c>
      <c r="K1012" s="15" t="s">
        <v>2708</v>
      </c>
      <c r="L1012" s="16"/>
      <c r="M1012" s="16"/>
      <c r="N1012" s="16"/>
      <c r="O1012" s="16">
        <v>5017.71</v>
      </c>
      <c r="P1012" s="16"/>
      <c r="Q1012" s="16">
        <f>SUM(Tabela1[[#This Row],[201805]:[201807]])</f>
        <v>0</v>
      </c>
      <c r="R1012" s="16">
        <f>SUM(Tabela1[[#This Row],[201905]:[201906]])</f>
        <v>5017.71</v>
      </c>
      <c r="S1012" s="16">
        <v>100000</v>
      </c>
      <c r="T1012" s="16">
        <f>Tabela1[[#This Row],[Total 2019]]-Tabela1[[#This Row],[Total 2018]]</f>
        <v>5017.71</v>
      </c>
      <c r="U1012" s="40">
        <f>Tabela1[[#This Row],[Total 2019]]/Tabela1[[#This Row],[Meta]]</f>
        <v>5.0177100000000002E-2</v>
      </c>
      <c r="V1012" s="17">
        <f>IFERROR(Tabela1[[#This Row],[Total 2019]]/Tabela1[[#This Row],[Total 2018]]-1,0)</f>
        <v>0</v>
      </c>
      <c r="W101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12" s="48"/>
      <c r="Y1012" s="19"/>
      <c r="Z1012" s="68"/>
    </row>
    <row r="1013" spans="3:26" x14ac:dyDescent="0.35">
      <c r="C1013" s="11" t="s">
        <v>2704</v>
      </c>
      <c r="D1013" s="12" t="s">
        <v>2700</v>
      </c>
      <c r="E1013" s="12">
        <v>992</v>
      </c>
      <c r="F1013" s="13" t="s">
        <v>2439</v>
      </c>
      <c r="G1013" s="14">
        <v>1</v>
      </c>
      <c r="H1013" s="14" t="s">
        <v>1372</v>
      </c>
      <c r="I1013" s="13">
        <v>21</v>
      </c>
      <c r="J1013" s="15" t="s">
        <v>1420</v>
      </c>
      <c r="K1013" s="15" t="s">
        <v>2708</v>
      </c>
      <c r="L1013" s="16"/>
      <c r="M1013" s="16"/>
      <c r="N1013" s="16"/>
      <c r="O1013" s="16">
        <v>10756.726499999999</v>
      </c>
      <c r="P1013" s="16"/>
      <c r="Q1013" s="16">
        <f>SUM(Tabela1[[#This Row],[201805]:[201807]])</f>
        <v>0</v>
      </c>
      <c r="R1013" s="16">
        <f>SUM(Tabela1[[#This Row],[201905]:[201906]])</f>
        <v>10756.726499999999</v>
      </c>
      <c r="S1013" s="16">
        <v>100000</v>
      </c>
      <c r="T1013" s="16">
        <f>Tabela1[[#This Row],[Total 2019]]-Tabela1[[#This Row],[Total 2018]]</f>
        <v>10756.726499999999</v>
      </c>
      <c r="U1013" s="40">
        <f>Tabela1[[#This Row],[Total 2019]]/Tabela1[[#This Row],[Meta]]</f>
        <v>0.107567265</v>
      </c>
      <c r="V1013" s="17">
        <f>IFERROR(Tabela1[[#This Row],[Total 2019]]/Tabela1[[#This Row],[Total 2018]]-1,0)</f>
        <v>0</v>
      </c>
      <c r="W101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13" s="48"/>
      <c r="Y1013" s="19"/>
      <c r="Z1013" s="68"/>
    </row>
    <row r="1014" spans="3:26" x14ac:dyDescent="0.35">
      <c r="C1014" s="11" t="s">
        <v>2704</v>
      </c>
      <c r="D1014" s="12" t="s">
        <v>2699</v>
      </c>
      <c r="E1014" s="12">
        <v>993</v>
      </c>
      <c r="F1014" s="13" t="s">
        <v>2440</v>
      </c>
      <c r="G1014" s="14">
        <v>3</v>
      </c>
      <c r="H1014" s="14" t="s">
        <v>1372</v>
      </c>
      <c r="I1014" s="13">
        <v>27</v>
      </c>
      <c r="J1014" s="15" t="s">
        <v>1426</v>
      </c>
      <c r="K1014" s="15" t="s">
        <v>2708</v>
      </c>
      <c r="L1014" s="16"/>
      <c r="M1014" s="16"/>
      <c r="N1014" s="16"/>
      <c r="O1014" s="16">
        <v>4272.2545</v>
      </c>
      <c r="P1014" s="16"/>
      <c r="Q1014" s="16">
        <f>SUM(Tabela1[[#This Row],[201805]:[201807]])</f>
        <v>0</v>
      </c>
      <c r="R1014" s="16">
        <f>SUM(Tabela1[[#This Row],[201905]:[201906]])</f>
        <v>4272.2545</v>
      </c>
      <c r="S1014" s="16">
        <v>100000</v>
      </c>
      <c r="T1014" s="16">
        <f>Tabela1[[#This Row],[Total 2019]]-Tabela1[[#This Row],[Total 2018]]</f>
        <v>4272.2545</v>
      </c>
      <c r="U1014" s="40">
        <f>Tabela1[[#This Row],[Total 2019]]/Tabela1[[#This Row],[Meta]]</f>
        <v>4.2722545000000001E-2</v>
      </c>
      <c r="V1014" s="17">
        <f>IFERROR(Tabela1[[#This Row],[Total 2019]]/Tabela1[[#This Row],[Total 2018]]-1,0)</f>
        <v>0</v>
      </c>
      <c r="W101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14" s="48"/>
      <c r="Y1014" s="19"/>
      <c r="Z1014" s="68"/>
    </row>
    <row r="1015" spans="3:26" x14ac:dyDescent="0.35">
      <c r="C1015" s="11" t="s">
        <v>2704</v>
      </c>
      <c r="D1015" s="12" t="s">
        <v>2700</v>
      </c>
      <c r="E1015" s="12">
        <v>994</v>
      </c>
      <c r="F1015" s="13" t="s">
        <v>2441</v>
      </c>
      <c r="G1015" s="14">
        <v>1</v>
      </c>
      <c r="H1015" s="14" t="s">
        <v>1372</v>
      </c>
      <c r="I1015" s="13">
        <v>18</v>
      </c>
      <c r="J1015" s="15" t="s">
        <v>1417</v>
      </c>
      <c r="K1015" s="15" t="s">
        <v>2708</v>
      </c>
      <c r="L1015" s="16"/>
      <c r="M1015" s="16"/>
      <c r="N1015" s="16"/>
      <c r="O1015" s="16">
        <v>3405.1039999999998</v>
      </c>
      <c r="P1015" s="16">
        <v>4160.5535</v>
      </c>
      <c r="Q1015" s="16">
        <f>SUM(Tabela1[[#This Row],[201805]:[201807]])</f>
        <v>0</v>
      </c>
      <c r="R1015" s="16">
        <f>SUM(Tabela1[[#This Row],[201905]:[201906]])</f>
        <v>7565.6574999999993</v>
      </c>
      <c r="S1015" s="16">
        <v>100000</v>
      </c>
      <c r="T1015" s="16">
        <f>Tabela1[[#This Row],[Total 2019]]-Tabela1[[#This Row],[Total 2018]]</f>
        <v>7565.6574999999993</v>
      </c>
      <c r="U1015" s="40">
        <f>Tabela1[[#This Row],[Total 2019]]/Tabela1[[#This Row],[Meta]]</f>
        <v>7.565657499999999E-2</v>
      </c>
      <c r="V1015" s="17">
        <f>IFERROR(Tabela1[[#This Row],[Total 2019]]/Tabela1[[#This Row],[Total 2018]]-1,0)</f>
        <v>0</v>
      </c>
      <c r="W101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15" s="48"/>
      <c r="Y1015" s="19"/>
      <c r="Z1015" s="68"/>
    </row>
    <row r="1016" spans="3:26" x14ac:dyDescent="0.35">
      <c r="C1016" s="11" t="s">
        <v>2702</v>
      </c>
      <c r="D1016" s="12" t="s">
        <v>2700</v>
      </c>
      <c r="E1016" s="12">
        <v>995</v>
      </c>
      <c r="F1016" s="13" t="s">
        <v>2442</v>
      </c>
      <c r="G1016" s="14">
        <v>1</v>
      </c>
      <c r="H1016" s="14" t="s">
        <v>1371</v>
      </c>
      <c r="I1016" s="13">
        <v>24</v>
      </c>
      <c r="J1016" s="15" t="s">
        <v>1423</v>
      </c>
      <c r="K1016" s="15" t="s">
        <v>2707</v>
      </c>
      <c r="L1016" s="16"/>
      <c r="M1016" s="16"/>
      <c r="N1016" s="16"/>
      <c r="O1016" s="16">
        <v>5733.9245000000001</v>
      </c>
      <c r="P1016" s="16"/>
      <c r="Q1016" s="16">
        <f>SUM(Tabela1[[#This Row],[201805]:[201807]])</f>
        <v>0</v>
      </c>
      <c r="R1016" s="16">
        <f>SUM(Tabela1[[#This Row],[201905]:[201906]])</f>
        <v>5733.9245000000001</v>
      </c>
      <c r="S1016" s="16">
        <v>100000</v>
      </c>
      <c r="T1016" s="16">
        <f>Tabela1[[#This Row],[Total 2019]]-Tabela1[[#This Row],[Total 2018]]</f>
        <v>5733.9245000000001</v>
      </c>
      <c r="U1016" s="40">
        <f>Tabela1[[#This Row],[Total 2019]]/Tabela1[[#This Row],[Meta]]</f>
        <v>5.7339245000000004E-2</v>
      </c>
      <c r="V1016" s="17">
        <f>IFERROR(Tabela1[[#This Row],[Total 2019]]/Tabela1[[#This Row],[Total 2018]]-1,0)</f>
        <v>0</v>
      </c>
      <c r="W101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16" s="48"/>
      <c r="Y1016" s="19"/>
      <c r="Z1016" s="68"/>
    </row>
    <row r="1017" spans="3:26" x14ac:dyDescent="0.35">
      <c r="C1017" s="11" t="s">
        <v>2702</v>
      </c>
      <c r="D1017" s="12" t="s">
        <v>2699</v>
      </c>
      <c r="E1017" s="12">
        <v>996</v>
      </c>
      <c r="F1017" s="13" t="s">
        <v>2443</v>
      </c>
      <c r="G1017" s="14">
        <v>2</v>
      </c>
      <c r="H1017" s="14" t="s">
        <v>1372</v>
      </c>
      <c r="I1017" s="13">
        <v>36</v>
      </c>
      <c r="J1017" s="15" t="s">
        <v>1435</v>
      </c>
      <c r="K1017" s="15" t="s">
        <v>2708</v>
      </c>
      <c r="L1017" s="16"/>
      <c r="M1017" s="16"/>
      <c r="N1017" s="16"/>
      <c r="O1017" s="16">
        <v>538.46</v>
      </c>
      <c r="P1017" s="16">
        <v>2699.8334999999997</v>
      </c>
      <c r="Q1017" s="16">
        <f>SUM(Tabela1[[#This Row],[201805]:[201807]])</f>
        <v>0</v>
      </c>
      <c r="R1017" s="16">
        <f>SUM(Tabela1[[#This Row],[201905]:[201906]])</f>
        <v>3238.2934999999998</v>
      </c>
      <c r="S1017" s="16">
        <v>100000</v>
      </c>
      <c r="T1017" s="16">
        <f>Tabela1[[#This Row],[Total 2019]]-Tabela1[[#This Row],[Total 2018]]</f>
        <v>3238.2934999999998</v>
      </c>
      <c r="U1017" s="40">
        <f>Tabela1[[#This Row],[Total 2019]]/Tabela1[[#This Row],[Meta]]</f>
        <v>3.2382934999999995E-2</v>
      </c>
      <c r="V1017" s="17">
        <f>IFERROR(Tabela1[[#This Row],[Total 2019]]/Tabela1[[#This Row],[Total 2018]]-1,0)</f>
        <v>0</v>
      </c>
      <c r="W101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17" s="48"/>
      <c r="Y1017" s="19"/>
      <c r="Z1017" s="68"/>
    </row>
    <row r="1018" spans="3:26" x14ac:dyDescent="0.35">
      <c r="C1018" s="11" t="s">
        <v>2703</v>
      </c>
      <c r="D1018" s="12" t="s">
        <v>2699</v>
      </c>
      <c r="E1018" s="12">
        <v>997</v>
      </c>
      <c r="F1018" s="13" t="s">
        <v>2444</v>
      </c>
      <c r="G1018" s="14">
        <v>1</v>
      </c>
      <c r="H1018" s="14" t="s">
        <v>1372</v>
      </c>
      <c r="I1018" s="13">
        <v>16</v>
      </c>
      <c r="J1018" s="15" t="s">
        <v>1415</v>
      </c>
      <c r="K1018" s="15" t="s">
        <v>2708</v>
      </c>
      <c r="L1018" s="16"/>
      <c r="M1018" s="16"/>
      <c r="N1018" s="16"/>
      <c r="O1018" s="16">
        <v>9418.0244999999995</v>
      </c>
      <c r="P1018" s="16">
        <v>4800.9389999999994</v>
      </c>
      <c r="Q1018" s="16">
        <f>SUM(Tabela1[[#This Row],[201805]:[201807]])</f>
        <v>0</v>
      </c>
      <c r="R1018" s="16">
        <f>SUM(Tabela1[[#This Row],[201905]:[201906]])</f>
        <v>14218.963499999998</v>
      </c>
      <c r="S1018" s="16">
        <v>100000</v>
      </c>
      <c r="T1018" s="16">
        <f>Tabela1[[#This Row],[Total 2019]]-Tabela1[[#This Row],[Total 2018]]</f>
        <v>14218.963499999998</v>
      </c>
      <c r="U1018" s="40">
        <f>Tabela1[[#This Row],[Total 2019]]/Tabela1[[#This Row],[Meta]]</f>
        <v>0.14218963499999998</v>
      </c>
      <c r="V1018" s="17">
        <f>IFERROR(Tabela1[[#This Row],[Total 2019]]/Tabela1[[#This Row],[Total 2018]]-1,0)</f>
        <v>0</v>
      </c>
      <c r="W101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18" s="48"/>
      <c r="Y1018" s="19"/>
      <c r="Z1018" s="68"/>
    </row>
    <row r="1019" spans="3:26" x14ac:dyDescent="0.35">
      <c r="C1019" s="11" t="s">
        <v>2704</v>
      </c>
      <c r="D1019" s="12" t="s">
        <v>2699</v>
      </c>
      <c r="E1019" s="12">
        <v>998</v>
      </c>
      <c r="F1019" s="13" t="s">
        <v>2445</v>
      </c>
      <c r="G1019" s="14">
        <v>2</v>
      </c>
      <c r="H1019" s="14" t="s">
        <v>1370</v>
      </c>
      <c r="I1019" s="13">
        <v>19</v>
      </c>
      <c r="J1019" s="15" t="s">
        <v>1418</v>
      </c>
      <c r="K1019" s="15" t="s">
        <v>2706</v>
      </c>
      <c r="L1019" s="16"/>
      <c r="M1019" s="16"/>
      <c r="N1019" s="16"/>
      <c r="O1019" s="16">
        <v>1558.38</v>
      </c>
      <c r="P1019" s="16">
        <v>2290.7729999999997</v>
      </c>
      <c r="Q1019" s="16">
        <f>SUM(Tabela1[[#This Row],[201805]:[201807]])</f>
        <v>0</v>
      </c>
      <c r="R1019" s="16">
        <f>SUM(Tabela1[[#This Row],[201905]:[201906]])</f>
        <v>3849.1529999999998</v>
      </c>
      <c r="S1019" s="16">
        <v>100000</v>
      </c>
      <c r="T1019" s="16">
        <f>Tabela1[[#This Row],[Total 2019]]-Tabela1[[#This Row],[Total 2018]]</f>
        <v>3849.1529999999998</v>
      </c>
      <c r="U1019" s="40">
        <f>Tabela1[[#This Row],[Total 2019]]/Tabela1[[#This Row],[Meta]]</f>
        <v>3.8491529999999996E-2</v>
      </c>
      <c r="V1019" s="17">
        <f>IFERROR(Tabela1[[#This Row],[Total 2019]]/Tabela1[[#This Row],[Total 2018]]-1,0)</f>
        <v>0</v>
      </c>
      <c r="W101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19" s="48"/>
      <c r="Y1019" s="19"/>
      <c r="Z1019" s="68"/>
    </row>
    <row r="1020" spans="3:26" x14ac:dyDescent="0.35">
      <c r="C1020" s="11" t="s">
        <v>2702</v>
      </c>
      <c r="D1020" s="12" t="s">
        <v>2698</v>
      </c>
      <c r="E1020" s="12">
        <v>999</v>
      </c>
      <c r="F1020" s="13" t="s">
        <v>2446</v>
      </c>
      <c r="G1020" s="14">
        <v>3</v>
      </c>
      <c r="H1020" s="14" t="s">
        <v>1370</v>
      </c>
      <c r="I1020" s="13">
        <v>33</v>
      </c>
      <c r="J1020" s="15" t="s">
        <v>1432</v>
      </c>
      <c r="K1020" s="15" t="s">
        <v>2706</v>
      </c>
      <c r="L1020" s="16"/>
      <c r="M1020" s="16"/>
      <c r="N1020" s="16"/>
      <c r="O1020" s="16">
        <v>1185.2104999999999</v>
      </c>
      <c r="P1020" s="16">
        <v>4258.4795000000004</v>
      </c>
      <c r="Q1020" s="16">
        <f>SUM(Tabela1[[#This Row],[201805]:[201807]])</f>
        <v>0</v>
      </c>
      <c r="R1020" s="16">
        <f>SUM(Tabela1[[#This Row],[201905]:[201906]])</f>
        <v>5443.6900000000005</v>
      </c>
      <c r="S1020" s="16">
        <v>100000</v>
      </c>
      <c r="T1020" s="16">
        <f>Tabela1[[#This Row],[Total 2019]]-Tabela1[[#This Row],[Total 2018]]</f>
        <v>5443.6900000000005</v>
      </c>
      <c r="U1020" s="40">
        <f>Tabela1[[#This Row],[Total 2019]]/Tabela1[[#This Row],[Meta]]</f>
        <v>5.4436900000000003E-2</v>
      </c>
      <c r="V1020" s="17">
        <f>IFERROR(Tabela1[[#This Row],[Total 2019]]/Tabela1[[#This Row],[Total 2018]]-1,0)</f>
        <v>0</v>
      </c>
      <c r="W102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20" s="48"/>
      <c r="Y1020" s="19"/>
      <c r="Z1020" s="68"/>
    </row>
    <row r="1021" spans="3:26" x14ac:dyDescent="0.35">
      <c r="C1021" s="11" t="s">
        <v>2704</v>
      </c>
      <c r="D1021" s="12" t="s">
        <v>2699</v>
      </c>
      <c r="E1021" s="12">
        <v>1000</v>
      </c>
      <c r="F1021" s="13" t="s">
        <v>2447</v>
      </c>
      <c r="G1021" s="14">
        <v>2</v>
      </c>
      <c r="H1021" s="14" t="s">
        <v>1372</v>
      </c>
      <c r="I1021" s="13">
        <v>18</v>
      </c>
      <c r="J1021" s="15" t="s">
        <v>1417</v>
      </c>
      <c r="K1021" s="15" t="s">
        <v>2708</v>
      </c>
      <c r="L1021" s="16"/>
      <c r="M1021" s="16"/>
      <c r="N1021" s="16"/>
      <c r="O1021" s="16">
        <v>4948.2269999999999</v>
      </c>
      <c r="P1021" s="16"/>
      <c r="Q1021" s="16">
        <f>SUM(Tabela1[[#This Row],[201805]:[201807]])</f>
        <v>0</v>
      </c>
      <c r="R1021" s="16">
        <f>SUM(Tabela1[[#This Row],[201905]:[201906]])</f>
        <v>4948.2269999999999</v>
      </c>
      <c r="S1021" s="16">
        <v>100000</v>
      </c>
      <c r="T1021" s="16">
        <f>Tabela1[[#This Row],[Total 2019]]-Tabela1[[#This Row],[Total 2018]]</f>
        <v>4948.2269999999999</v>
      </c>
      <c r="U1021" s="40">
        <f>Tabela1[[#This Row],[Total 2019]]/Tabela1[[#This Row],[Meta]]</f>
        <v>4.9482270000000002E-2</v>
      </c>
      <c r="V1021" s="17">
        <f>IFERROR(Tabela1[[#This Row],[Total 2019]]/Tabela1[[#This Row],[Total 2018]]-1,0)</f>
        <v>0</v>
      </c>
      <c r="W102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21" s="48"/>
      <c r="Y1021" s="19"/>
      <c r="Z1021" s="68"/>
    </row>
    <row r="1022" spans="3:26" x14ac:dyDescent="0.35">
      <c r="C1022" s="11" t="s">
        <v>2702</v>
      </c>
      <c r="D1022" s="12" t="s">
        <v>2700</v>
      </c>
      <c r="E1022" s="12">
        <v>1001</v>
      </c>
      <c r="F1022" s="13" t="s">
        <v>2448</v>
      </c>
      <c r="G1022" s="14">
        <v>1</v>
      </c>
      <c r="H1022" s="14" t="s">
        <v>1370</v>
      </c>
      <c r="I1022" s="13">
        <v>11</v>
      </c>
      <c r="J1022" s="15" t="s">
        <v>1410</v>
      </c>
      <c r="K1022" s="15" t="s">
        <v>2706</v>
      </c>
      <c r="L1022" s="16"/>
      <c r="M1022" s="16"/>
      <c r="N1022" s="16"/>
      <c r="O1022" s="16">
        <v>16642.460999999996</v>
      </c>
      <c r="P1022" s="16">
        <v>7736.9234999999999</v>
      </c>
      <c r="Q1022" s="16">
        <f>SUM(Tabela1[[#This Row],[201805]:[201807]])</f>
        <v>0</v>
      </c>
      <c r="R1022" s="16">
        <f>SUM(Tabela1[[#This Row],[201905]:[201906]])</f>
        <v>24379.384499999996</v>
      </c>
      <c r="S1022" s="16">
        <v>100000</v>
      </c>
      <c r="T1022" s="16">
        <f>Tabela1[[#This Row],[Total 2019]]-Tabela1[[#This Row],[Total 2018]]</f>
        <v>24379.384499999996</v>
      </c>
      <c r="U1022" s="40">
        <f>Tabela1[[#This Row],[Total 2019]]/Tabela1[[#This Row],[Meta]]</f>
        <v>0.24379384499999995</v>
      </c>
      <c r="V1022" s="17">
        <f>IFERROR(Tabela1[[#This Row],[Total 2019]]/Tabela1[[#This Row],[Total 2018]]-1,0)</f>
        <v>0</v>
      </c>
      <c r="W102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22" s="48"/>
      <c r="Y1022" s="19"/>
      <c r="Z1022" s="68"/>
    </row>
    <row r="1023" spans="3:26" x14ac:dyDescent="0.35">
      <c r="C1023" s="11" t="s">
        <v>2703</v>
      </c>
      <c r="D1023" s="12" t="s">
        <v>2700</v>
      </c>
      <c r="E1023" s="12">
        <v>1002</v>
      </c>
      <c r="F1023" s="13" t="s">
        <v>2449</v>
      </c>
      <c r="G1023" s="14">
        <v>1</v>
      </c>
      <c r="H1023" s="14" t="s">
        <v>1370</v>
      </c>
      <c r="I1023" s="13">
        <v>1</v>
      </c>
      <c r="J1023" s="15" t="s">
        <v>1400</v>
      </c>
      <c r="K1023" s="15" t="s">
        <v>2706</v>
      </c>
      <c r="L1023" s="16"/>
      <c r="M1023" s="16"/>
      <c r="N1023" s="16"/>
      <c r="O1023" s="16">
        <v>9978.5149999999994</v>
      </c>
      <c r="P1023" s="16">
        <v>9320.9724999999999</v>
      </c>
      <c r="Q1023" s="16">
        <f>SUM(Tabela1[[#This Row],[201805]:[201807]])</f>
        <v>0</v>
      </c>
      <c r="R1023" s="16">
        <f>SUM(Tabela1[[#This Row],[201905]:[201906]])</f>
        <v>19299.487499999999</v>
      </c>
      <c r="S1023" s="16">
        <v>100000</v>
      </c>
      <c r="T1023" s="16">
        <f>Tabela1[[#This Row],[Total 2019]]-Tabela1[[#This Row],[Total 2018]]</f>
        <v>19299.487499999999</v>
      </c>
      <c r="U1023" s="40">
        <f>Tabela1[[#This Row],[Total 2019]]/Tabela1[[#This Row],[Meta]]</f>
        <v>0.19299487499999998</v>
      </c>
      <c r="V1023" s="17">
        <f>IFERROR(Tabela1[[#This Row],[Total 2019]]/Tabela1[[#This Row],[Total 2018]]-1,0)</f>
        <v>0</v>
      </c>
      <c r="W102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23" s="48"/>
      <c r="Y1023" s="19"/>
      <c r="Z1023" s="68"/>
    </row>
    <row r="1024" spans="3:26" x14ac:dyDescent="0.35">
      <c r="C1024" s="11" t="s">
        <v>2702</v>
      </c>
      <c r="D1024" s="12" t="s">
        <v>2699</v>
      </c>
      <c r="E1024" s="12">
        <v>1003</v>
      </c>
      <c r="F1024" s="13" t="s">
        <v>2450</v>
      </c>
      <c r="G1024" s="14">
        <v>3</v>
      </c>
      <c r="H1024" s="14" t="s">
        <v>1370</v>
      </c>
      <c r="I1024" s="13">
        <v>29</v>
      </c>
      <c r="J1024" s="15" t="s">
        <v>1428</v>
      </c>
      <c r="K1024" s="15" t="s">
        <v>2706</v>
      </c>
      <c r="L1024" s="16"/>
      <c r="M1024" s="16"/>
      <c r="N1024" s="16"/>
      <c r="O1024" s="16">
        <v>5313.616</v>
      </c>
      <c r="P1024" s="16"/>
      <c r="Q1024" s="16">
        <f>SUM(Tabela1[[#This Row],[201805]:[201807]])</f>
        <v>0</v>
      </c>
      <c r="R1024" s="16">
        <f>SUM(Tabela1[[#This Row],[201905]:[201906]])</f>
        <v>5313.616</v>
      </c>
      <c r="S1024" s="16">
        <v>100000</v>
      </c>
      <c r="T1024" s="16">
        <f>Tabela1[[#This Row],[Total 2019]]-Tabela1[[#This Row],[Total 2018]]</f>
        <v>5313.616</v>
      </c>
      <c r="U1024" s="40">
        <f>Tabela1[[#This Row],[Total 2019]]/Tabela1[[#This Row],[Meta]]</f>
        <v>5.3136160000000002E-2</v>
      </c>
      <c r="V1024" s="17">
        <f>IFERROR(Tabela1[[#This Row],[Total 2019]]/Tabela1[[#This Row],[Total 2018]]-1,0)</f>
        <v>0</v>
      </c>
      <c r="W102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24" s="48"/>
      <c r="Y1024" s="19"/>
      <c r="Z1024" s="68"/>
    </row>
    <row r="1025" spans="3:26" x14ac:dyDescent="0.35">
      <c r="C1025" s="11" t="s">
        <v>2703</v>
      </c>
      <c r="D1025" s="12" t="s">
        <v>2698</v>
      </c>
      <c r="E1025" s="12">
        <v>1004</v>
      </c>
      <c r="F1025" s="13" t="s">
        <v>2451</v>
      </c>
      <c r="G1025" s="14">
        <v>3</v>
      </c>
      <c r="H1025" s="14" t="s">
        <v>1370</v>
      </c>
      <c r="I1025" s="13">
        <v>19</v>
      </c>
      <c r="J1025" s="15" t="s">
        <v>1418</v>
      </c>
      <c r="K1025" s="15" t="s">
        <v>2706</v>
      </c>
      <c r="L1025" s="16"/>
      <c r="M1025" s="16"/>
      <c r="N1025" s="16"/>
      <c r="O1025" s="16">
        <v>2317.9904999999999</v>
      </c>
      <c r="P1025" s="16">
        <v>5055.3109999999997</v>
      </c>
      <c r="Q1025" s="16">
        <f>SUM(Tabela1[[#This Row],[201805]:[201807]])</f>
        <v>0</v>
      </c>
      <c r="R1025" s="16">
        <f>SUM(Tabela1[[#This Row],[201905]:[201906]])</f>
        <v>7373.3014999999996</v>
      </c>
      <c r="S1025" s="16">
        <v>100000</v>
      </c>
      <c r="T1025" s="16">
        <f>Tabela1[[#This Row],[Total 2019]]-Tabela1[[#This Row],[Total 2018]]</f>
        <v>7373.3014999999996</v>
      </c>
      <c r="U1025" s="40">
        <f>Tabela1[[#This Row],[Total 2019]]/Tabela1[[#This Row],[Meta]]</f>
        <v>7.3733014999999999E-2</v>
      </c>
      <c r="V1025" s="17">
        <f>IFERROR(Tabela1[[#This Row],[Total 2019]]/Tabela1[[#This Row],[Total 2018]]-1,0)</f>
        <v>0</v>
      </c>
      <c r="W102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25" s="48"/>
      <c r="Y1025" s="19"/>
      <c r="Z1025" s="68"/>
    </row>
    <row r="1026" spans="3:26" x14ac:dyDescent="0.35">
      <c r="C1026" s="11" t="s">
        <v>2704</v>
      </c>
      <c r="D1026" s="12" t="s">
        <v>2698</v>
      </c>
      <c r="E1026" s="12">
        <v>1005</v>
      </c>
      <c r="F1026" s="13" t="s">
        <v>2452</v>
      </c>
      <c r="G1026" s="14">
        <v>3</v>
      </c>
      <c r="H1026" s="14" t="s">
        <v>1372</v>
      </c>
      <c r="I1026" s="13">
        <v>21</v>
      </c>
      <c r="J1026" s="15" t="s">
        <v>1420</v>
      </c>
      <c r="K1026" s="15" t="s">
        <v>2708</v>
      </c>
      <c r="L1026" s="16"/>
      <c r="M1026" s="16"/>
      <c r="N1026" s="16"/>
      <c r="O1026" s="16">
        <v>5172.8544999999995</v>
      </c>
      <c r="P1026" s="16"/>
      <c r="Q1026" s="16">
        <f>SUM(Tabela1[[#This Row],[201805]:[201807]])</f>
        <v>0</v>
      </c>
      <c r="R1026" s="16">
        <f>SUM(Tabela1[[#This Row],[201905]:[201906]])</f>
        <v>5172.8544999999995</v>
      </c>
      <c r="S1026" s="16">
        <v>100000</v>
      </c>
      <c r="T1026" s="16">
        <f>Tabela1[[#This Row],[Total 2019]]-Tabela1[[#This Row],[Total 2018]]</f>
        <v>5172.8544999999995</v>
      </c>
      <c r="U1026" s="40">
        <f>Tabela1[[#This Row],[Total 2019]]/Tabela1[[#This Row],[Meta]]</f>
        <v>5.1728544999999994E-2</v>
      </c>
      <c r="V1026" s="17">
        <f>IFERROR(Tabela1[[#This Row],[Total 2019]]/Tabela1[[#This Row],[Total 2018]]-1,0)</f>
        <v>0</v>
      </c>
      <c r="W102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26" s="48"/>
      <c r="Y1026" s="19"/>
      <c r="Z1026" s="68"/>
    </row>
    <row r="1027" spans="3:26" x14ac:dyDescent="0.35">
      <c r="C1027" s="11" t="s">
        <v>2703</v>
      </c>
      <c r="D1027" s="12" t="s">
        <v>2698</v>
      </c>
      <c r="E1027" s="12">
        <v>1006</v>
      </c>
      <c r="F1027" s="13" t="s">
        <v>2453</v>
      </c>
      <c r="G1027" s="14">
        <v>1</v>
      </c>
      <c r="H1027" s="14" t="s">
        <v>1370</v>
      </c>
      <c r="I1027" s="13">
        <v>8</v>
      </c>
      <c r="J1027" s="15" t="s">
        <v>1407</v>
      </c>
      <c r="K1027" s="15" t="s">
        <v>2706</v>
      </c>
      <c r="L1027" s="16"/>
      <c r="M1027" s="16"/>
      <c r="N1027" s="16"/>
      <c r="O1027" s="16">
        <v>8774.6464999999989</v>
      </c>
      <c r="P1027" s="16">
        <v>4566.4695000000002</v>
      </c>
      <c r="Q1027" s="16">
        <f>SUM(Tabela1[[#This Row],[201805]:[201807]])</f>
        <v>0</v>
      </c>
      <c r="R1027" s="16">
        <f>SUM(Tabela1[[#This Row],[201905]:[201906]])</f>
        <v>13341.115999999998</v>
      </c>
      <c r="S1027" s="16">
        <v>100000</v>
      </c>
      <c r="T1027" s="16">
        <f>Tabela1[[#This Row],[Total 2019]]-Tabela1[[#This Row],[Total 2018]]</f>
        <v>13341.115999999998</v>
      </c>
      <c r="U1027" s="40">
        <f>Tabela1[[#This Row],[Total 2019]]/Tabela1[[#This Row],[Meta]]</f>
        <v>0.13341115999999997</v>
      </c>
      <c r="V1027" s="17">
        <f>IFERROR(Tabela1[[#This Row],[Total 2019]]/Tabela1[[#This Row],[Total 2018]]-1,0)</f>
        <v>0</v>
      </c>
      <c r="W102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27" s="48"/>
      <c r="Y1027" s="19"/>
      <c r="Z1027" s="68"/>
    </row>
    <row r="1028" spans="3:26" x14ac:dyDescent="0.35">
      <c r="C1028" s="11" t="s">
        <v>2704</v>
      </c>
      <c r="D1028" s="12" t="s">
        <v>2700</v>
      </c>
      <c r="E1028" s="12">
        <v>1007</v>
      </c>
      <c r="F1028" s="13" t="s">
        <v>2454</v>
      </c>
      <c r="G1028" s="14">
        <v>2</v>
      </c>
      <c r="H1028" s="14" t="s">
        <v>1371</v>
      </c>
      <c r="I1028" s="13">
        <v>24</v>
      </c>
      <c r="J1028" s="15" t="s">
        <v>1423</v>
      </c>
      <c r="K1028" s="15" t="s">
        <v>2707</v>
      </c>
      <c r="L1028" s="16"/>
      <c r="M1028" s="16"/>
      <c r="N1028" s="16"/>
      <c r="O1028" s="16">
        <v>1434.7280000000001</v>
      </c>
      <c r="P1028" s="16">
        <v>1707.8529999999998</v>
      </c>
      <c r="Q1028" s="16">
        <f>SUM(Tabela1[[#This Row],[201805]:[201807]])</f>
        <v>0</v>
      </c>
      <c r="R1028" s="16">
        <f>SUM(Tabela1[[#This Row],[201905]:[201906]])</f>
        <v>3142.5810000000001</v>
      </c>
      <c r="S1028" s="16">
        <v>100000</v>
      </c>
      <c r="T1028" s="16">
        <f>Tabela1[[#This Row],[Total 2019]]-Tabela1[[#This Row],[Total 2018]]</f>
        <v>3142.5810000000001</v>
      </c>
      <c r="U1028" s="40">
        <f>Tabela1[[#This Row],[Total 2019]]/Tabela1[[#This Row],[Meta]]</f>
        <v>3.1425809999999998E-2</v>
      </c>
      <c r="V1028" s="17">
        <f>IFERROR(Tabela1[[#This Row],[Total 2019]]/Tabela1[[#This Row],[Total 2018]]-1,0)</f>
        <v>0</v>
      </c>
      <c r="W102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28" s="48"/>
      <c r="Y1028" s="19"/>
      <c r="Z1028" s="68"/>
    </row>
    <row r="1029" spans="3:26" x14ac:dyDescent="0.35">
      <c r="C1029" s="11" t="s">
        <v>2704</v>
      </c>
      <c r="D1029" s="12" t="s">
        <v>2700</v>
      </c>
      <c r="E1029" s="12">
        <v>1008</v>
      </c>
      <c r="F1029" s="13" t="s">
        <v>2455</v>
      </c>
      <c r="G1029" s="14">
        <v>1</v>
      </c>
      <c r="H1029" s="14" t="s">
        <v>1371</v>
      </c>
      <c r="I1029" s="13">
        <v>9</v>
      </c>
      <c r="J1029" s="15" t="s">
        <v>1408</v>
      </c>
      <c r="K1029" s="15" t="s">
        <v>2707</v>
      </c>
      <c r="L1029" s="16"/>
      <c r="M1029" s="16"/>
      <c r="N1029" s="16"/>
      <c r="O1029" s="16">
        <v>2363.0965000000001</v>
      </c>
      <c r="P1029" s="16">
        <v>8570.2350000000006</v>
      </c>
      <c r="Q1029" s="16">
        <f>SUM(Tabela1[[#This Row],[201805]:[201807]])</f>
        <v>0</v>
      </c>
      <c r="R1029" s="16">
        <f>SUM(Tabela1[[#This Row],[201905]:[201906]])</f>
        <v>10933.3315</v>
      </c>
      <c r="S1029" s="16">
        <v>100000</v>
      </c>
      <c r="T1029" s="16">
        <f>Tabela1[[#This Row],[Total 2019]]-Tabela1[[#This Row],[Total 2018]]</f>
        <v>10933.3315</v>
      </c>
      <c r="U1029" s="40">
        <f>Tabela1[[#This Row],[Total 2019]]/Tabela1[[#This Row],[Meta]]</f>
        <v>0.109333315</v>
      </c>
      <c r="V1029" s="17">
        <f>IFERROR(Tabela1[[#This Row],[Total 2019]]/Tabela1[[#This Row],[Total 2018]]-1,0)</f>
        <v>0</v>
      </c>
      <c r="W102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29" s="48"/>
      <c r="Y1029" s="19"/>
      <c r="Z1029" s="68"/>
    </row>
    <row r="1030" spans="3:26" x14ac:dyDescent="0.35">
      <c r="C1030" s="11" t="s">
        <v>2703</v>
      </c>
      <c r="D1030" s="12" t="s">
        <v>2699</v>
      </c>
      <c r="E1030" s="12">
        <v>1009</v>
      </c>
      <c r="F1030" s="13" t="s">
        <v>2456</v>
      </c>
      <c r="G1030" s="14">
        <v>1</v>
      </c>
      <c r="H1030" s="14" t="s">
        <v>1371</v>
      </c>
      <c r="I1030" s="13">
        <v>26</v>
      </c>
      <c r="J1030" s="15" t="s">
        <v>1425</v>
      </c>
      <c r="K1030" s="15" t="s">
        <v>2707</v>
      </c>
      <c r="L1030" s="16"/>
      <c r="M1030" s="16"/>
      <c r="N1030" s="16"/>
      <c r="O1030" s="16">
        <v>5185.1379999999999</v>
      </c>
      <c r="P1030" s="16">
        <v>3020.7815000000001</v>
      </c>
      <c r="Q1030" s="16">
        <f>SUM(Tabela1[[#This Row],[201805]:[201807]])</f>
        <v>0</v>
      </c>
      <c r="R1030" s="16">
        <f>SUM(Tabela1[[#This Row],[201905]:[201906]])</f>
        <v>8205.9195</v>
      </c>
      <c r="S1030" s="16">
        <v>100000</v>
      </c>
      <c r="T1030" s="16">
        <f>Tabela1[[#This Row],[Total 2019]]-Tabela1[[#This Row],[Total 2018]]</f>
        <v>8205.9195</v>
      </c>
      <c r="U1030" s="40">
        <f>Tabela1[[#This Row],[Total 2019]]/Tabela1[[#This Row],[Meta]]</f>
        <v>8.2059195000000001E-2</v>
      </c>
      <c r="V1030" s="17">
        <f>IFERROR(Tabela1[[#This Row],[Total 2019]]/Tabela1[[#This Row],[Total 2018]]-1,0)</f>
        <v>0</v>
      </c>
      <c r="W103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30" s="48"/>
      <c r="Y1030" s="19"/>
      <c r="Z1030" s="68"/>
    </row>
    <row r="1031" spans="3:26" x14ac:dyDescent="0.35">
      <c r="C1031" s="11" t="s">
        <v>2704</v>
      </c>
      <c r="D1031" s="12" t="s">
        <v>2700</v>
      </c>
      <c r="E1031" s="12">
        <v>1010</v>
      </c>
      <c r="F1031" s="13" t="s">
        <v>2457</v>
      </c>
      <c r="G1031" s="14">
        <v>2</v>
      </c>
      <c r="H1031" s="14" t="s">
        <v>1372</v>
      </c>
      <c r="I1031" s="13">
        <v>27</v>
      </c>
      <c r="J1031" s="15" t="s">
        <v>1426</v>
      </c>
      <c r="K1031" s="15" t="s">
        <v>2708</v>
      </c>
      <c r="L1031" s="16"/>
      <c r="M1031" s="16"/>
      <c r="N1031" s="16"/>
      <c r="O1031" s="16">
        <v>9502.8024999999998</v>
      </c>
      <c r="P1031" s="16"/>
      <c r="Q1031" s="16">
        <f>SUM(Tabela1[[#This Row],[201805]:[201807]])</f>
        <v>0</v>
      </c>
      <c r="R1031" s="16">
        <f>SUM(Tabela1[[#This Row],[201905]:[201906]])</f>
        <v>9502.8024999999998</v>
      </c>
      <c r="S1031" s="16">
        <v>100000</v>
      </c>
      <c r="T1031" s="16">
        <f>Tabela1[[#This Row],[Total 2019]]-Tabela1[[#This Row],[Total 2018]]</f>
        <v>9502.8024999999998</v>
      </c>
      <c r="U1031" s="40">
        <f>Tabela1[[#This Row],[Total 2019]]/Tabela1[[#This Row],[Meta]]</f>
        <v>9.5028025000000002E-2</v>
      </c>
      <c r="V1031" s="17">
        <f>IFERROR(Tabela1[[#This Row],[Total 2019]]/Tabela1[[#This Row],[Total 2018]]-1,0)</f>
        <v>0</v>
      </c>
      <c r="W103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31" s="48"/>
      <c r="Y1031" s="19"/>
      <c r="Z1031" s="68"/>
    </row>
    <row r="1032" spans="3:26" x14ac:dyDescent="0.35">
      <c r="C1032" s="11" t="s">
        <v>2703</v>
      </c>
      <c r="D1032" s="12" t="s">
        <v>2699</v>
      </c>
      <c r="E1032" s="12">
        <v>1011</v>
      </c>
      <c r="F1032" s="13" t="s">
        <v>2458</v>
      </c>
      <c r="G1032" s="14">
        <v>1</v>
      </c>
      <c r="H1032" s="14" t="s">
        <v>1370</v>
      </c>
      <c r="I1032" s="13">
        <v>8</v>
      </c>
      <c r="J1032" s="15" t="s">
        <v>1407</v>
      </c>
      <c r="K1032" s="15" t="s">
        <v>2706</v>
      </c>
      <c r="L1032" s="16"/>
      <c r="M1032" s="16"/>
      <c r="N1032" s="16"/>
      <c r="O1032" s="16">
        <v>10173.074999999999</v>
      </c>
      <c r="P1032" s="16">
        <v>6628.0454999999993</v>
      </c>
      <c r="Q1032" s="16">
        <f>SUM(Tabela1[[#This Row],[201805]:[201807]])</f>
        <v>0</v>
      </c>
      <c r="R1032" s="16">
        <f>SUM(Tabela1[[#This Row],[201905]:[201906]])</f>
        <v>16801.120499999997</v>
      </c>
      <c r="S1032" s="16">
        <v>100000</v>
      </c>
      <c r="T1032" s="16">
        <f>Tabela1[[#This Row],[Total 2019]]-Tabela1[[#This Row],[Total 2018]]</f>
        <v>16801.120499999997</v>
      </c>
      <c r="U1032" s="40">
        <f>Tabela1[[#This Row],[Total 2019]]/Tabela1[[#This Row],[Meta]]</f>
        <v>0.16801120499999997</v>
      </c>
      <c r="V1032" s="17">
        <f>IFERROR(Tabela1[[#This Row],[Total 2019]]/Tabela1[[#This Row],[Total 2018]]-1,0)</f>
        <v>0</v>
      </c>
      <c r="W103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32" s="48"/>
      <c r="Y1032" s="19"/>
      <c r="Z1032" s="68"/>
    </row>
    <row r="1033" spans="3:26" x14ac:dyDescent="0.35">
      <c r="C1033" s="11" t="s">
        <v>2702</v>
      </c>
      <c r="D1033" s="12" t="s">
        <v>2699</v>
      </c>
      <c r="E1033" s="12">
        <v>1012</v>
      </c>
      <c r="F1033" s="13" t="s">
        <v>2459</v>
      </c>
      <c r="G1033" s="14">
        <v>3</v>
      </c>
      <c r="H1033" s="14" t="s">
        <v>1371</v>
      </c>
      <c r="I1033" s="13">
        <v>24</v>
      </c>
      <c r="J1033" s="15" t="s">
        <v>1423</v>
      </c>
      <c r="K1033" s="15" t="s">
        <v>2707</v>
      </c>
      <c r="L1033" s="16"/>
      <c r="M1033" s="16"/>
      <c r="N1033" s="16"/>
      <c r="O1033" s="16">
        <v>3263.0124999999998</v>
      </c>
      <c r="P1033" s="16">
        <v>2391.7199999999998</v>
      </c>
      <c r="Q1033" s="16">
        <f>SUM(Tabela1[[#This Row],[201805]:[201807]])</f>
        <v>0</v>
      </c>
      <c r="R1033" s="16">
        <f>SUM(Tabela1[[#This Row],[201905]:[201906]])</f>
        <v>5654.7325000000001</v>
      </c>
      <c r="S1033" s="16">
        <v>100000</v>
      </c>
      <c r="T1033" s="16">
        <f>Tabela1[[#This Row],[Total 2019]]-Tabela1[[#This Row],[Total 2018]]</f>
        <v>5654.7325000000001</v>
      </c>
      <c r="U1033" s="40">
        <f>Tabela1[[#This Row],[Total 2019]]/Tabela1[[#This Row],[Meta]]</f>
        <v>5.6547325000000002E-2</v>
      </c>
      <c r="V1033" s="17">
        <f>IFERROR(Tabela1[[#This Row],[Total 2019]]/Tabela1[[#This Row],[Total 2018]]-1,0)</f>
        <v>0</v>
      </c>
      <c r="W103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33" s="48"/>
      <c r="Y1033" s="19"/>
      <c r="Z1033" s="68"/>
    </row>
    <row r="1034" spans="3:26" x14ac:dyDescent="0.35">
      <c r="C1034" s="11" t="s">
        <v>2703</v>
      </c>
      <c r="D1034" s="12" t="s">
        <v>2699</v>
      </c>
      <c r="E1034" s="12">
        <v>1013</v>
      </c>
      <c r="F1034" s="13" t="s">
        <v>2460</v>
      </c>
      <c r="G1034" s="14">
        <v>2</v>
      </c>
      <c r="H1034" s="14" t="s">
        <v>1372</v>
      </c>
      <c r="I1034" s="13">
        <v>10</v>
      </c>
      <c r="J1034" s="15" t="s">
        <v>1409</v>
      </c>
      <c r="K1034" s="15" t="s">
        <v>2708</v>
      </c>
      <c r="L1034" s="16"/>
      <c r="M1034" s="16"/>
      <c r="N1034" s="16"/>
      <c r="O1034" s="16">
        <v>2437.1965</v>
      </c>
      <c r="P1034" s="16">
        <v>4323.5829999999996</v>
      </c>
      <c r="Q1034" s="16">
        <f>SUM(Tabela1[[#This Row],[201805]:[201807]])</f>
        <v>0</v>
      </c>
      <c r="R1034" s="16">
        <f>SUM(Tabela1[[#This Row],[201905]:[201906]])</f>
        <v>6760.7794999999996</v>
      </c>
      <c r="S1034" s="16">
        <v>100000</v>
      </c>
      <c r="T1034" s="16">
        <f>Tabela1[[#This Row],[Total 2019]]-Tabela1[[#This Row],[Total 2018]]</f>
        <v>6760.7794999999996</v>
      </c>
      <c r="U1034" s="40">
        <f>Tabela1[[#This Row],[Total 2019]]/Tabela1[[#This Row],[Meta]]</f>
        <v>6.7607794999999998E-2</v>
      </c>
      <c r="V1034" s="17">
        <f>IFERROR(Tabela1[[#This Row],[Total 2019]]/Tabela1[[#This Row],[Total 2018]]-1,0)</f>
        <v>0</v>
      </c>
      <c r="W103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34" s="48"/>
      <c r="Y1034" s="19"/>
      <c r="Z1034" s="68"/>
    </row>
    <row r="1035" spans="3:26" x14ac:dyDescent="0.35">
      <c r="C1035" s="11" t="s">
        <v>2704</v>
      </c>
      <c r="D1035" s="12" t="s">
        <v>2698</v>
      </c>
      <c r="E1035" s="12">
        <v>1014</v>
      </c>
      <c r="F1035" s="13" t="s">
        <v>2461</v>
      </c>
      <c r="G1035" s="14">
        <v>1</v>
      </c>
      <c r="H1035" s="14" t="s">
        <v>1372</v>
      </c>
      <c r="I1035" s="13">
        <v>23</v>
      </c>
      <c r="J1035" s="15" t="s">
        <v>1422</v>
      </c>
      <c r="K1035" s="15" t="s">
        <v>2708</v>
      </c>
      <c r="L1035" s="16"/>
      <c r="M1035" s="16"/>
      <c r="N1035" s="16"/>
      <c r="O1035" s="16">
        <v>1930.1054999999999</v>
      </c>
      <c r="P1035" s="16"/>
      <c r="Q1035" s="16">
        <f>SUM(Tabela1[[#This Row],[201805]:[201807]])</f>
        <v>0</v>
      </c>
      <c r="R1035" s="16">
        <f>SUM(Tabela1[[#This Row],[201905]:[201906]])</f>
        <v>1930.1054999999999</v>
      </c>
      <c r="S1035" s="16">
        <v>100000</v>
      </c>
      <c r="T1035" s="16">
        <f>Tabela1[[#This Row],[Total 2019]]-Tabela1[[#This Row],[Total 2018]]</f>
        <v>1930.1054999999999</v>
      </c>
      <c r="U1035" s="40">
        <f>Tabela1[[#This Row],[Total 2019]]/Tabela1[[#This Row],[Meta]]</f>
        <v>1.9301054999999998E-2</v>
      </c>
      <c r="V1035" s="17">
        <f>IFERROR(Tabela1[[#This Row],[Total 2019]]/Tabela1[[#This Row],[Total 2018]]-1,0)</f>
        <v>0</v>
      </c>
      <c r="W103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35" s="48"/>
      <c r="Y1035" s="19"/>
      <c r="Z1035" s="68"/>
    </row>
    <row r="1036" spans="3:26" x14ac:dyDescent="0.35">
      <c r="C1036" s="11" t="s">
        <v>2704</v>
      </c>
      <c r="D1036" s="12" t="s">
        <v>2700</v>
      </c>
      <c r="E1036" s="12">
        <v>1015</v>
      </c>
      <c r="F1036" s="13" t="s">
        <v>2462</v>
      </c>
      <c r="G1036" s="14">
        <v>2</v>
      </c>
      <c r="H1036" s="14" t="s">
        <v>1372</v>
      </c>
      <c r="I1036" s="13">
        <v>20</v>
      </c>
      <c r="J1036" s="15" t="s">
        <v>1419</v>
      </c>
      <c r="K1036" s="15" t="s">
        <v>2708</v>
      </c>
      <c r="L1036" s="16"/>
      <c r="M1036" s="16"/>
      <c r="N1036" s="16"/>
      <c r="O1036" s="16">
        <v>3813.7465000000002</v>
      </c>
      <c r="P1036" s="16"/>
      <c r="Q1036" s="16">
        <f>SUM(Tabela1[[#This Row],[201805]:[201807]])</f>
        <v>0</v>
      </c>
      <c r="R1036" s="16">
        <f>SUM(Tabela1[[#This Row],[201905]:[201906]])</f>
        <v>3813.7465000000002</v>
      </c>
      <c r="S1036" s="16">
        <v>100000</v>
      </c>
      <c r="T1036" s="16">
        <f>Tabela1[[#This Row],[Total 2019]]-Tabela1[[#This Row],[Total 2018]]</f>
        <v>3813.7465000000002</v>
      </c>
      <c r="U1036" s="40">
        <f>Tabela1[[#This Row],[Total 2019]]/Tabela1[[#This Row],[Meta]]</f>
        <v>3.8137465000000002E-2</v>
      </c>
      <c r="V1036" s="17">
        <f>IFERROR(Tabela1[[#This Row],[Total 2019]]/Tabela1[[#This Row],[Total 2018]]-1,0)</f>
        <v>0</v>
      </c>
      <c r="W103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36" s="48"/>
      <c r="Y1036" s="19"/>
      <c r="Z1036" s="68"/>
    </row>
    <row r="1037" spans="3:26" x14ac:dyDescent="0.35">
      <c r="C1037" s="11" t="s">
        <v>2704</v>
      </c>
      <c r="D1037" s="12" t="s">
        <v>2699</v>
      </c>
      <c r="E1037" s="12">
        <v>1016</v>
      </c>
      <c r="F1037" s="13" t="s">
        <v>2463</v>
      </c>
      <c r="G1037" s="14">
        <v>2</v>
      </c>
      <c r="H1037" s="14" t="s">
        <v>1372</v>
      </c>
      <c r="I1037" s="13">
        <v>25</v>
      </c>
      <c r="J1037" s="15" t="s">
        <v>1424</v>
      </c>
      <c r="K1037" s="15" t="s">
        <v>2708</v>
      </c>
      <c r="L1037" s="16"/>
      <c r="M1037" s="16"/>
      <c r="N1037" s="16"/>
      <c r="O1037" s="16">
        <v>6881.1729999999989</v>
      </c>
      <c r="P1037" s="16">
        <v>3125.9369999999999</v>
      </c>
      <c r="Q1037" s="16">
        <f>SUM(Tabela1[[#This Row],[201805]:[201807]])</f>
        <v>0</v>
      </c>
      <c r="R1037" s="16">
        <f>SUM(Tabela1[[#This Row],[201905]:[201906]])</f>
        <v>10007.109999999999</v>
      </c>
      <c r="S1037" s="16">
        <v>100000</v>
      </c>
      <c r="T1037" s="16">
        <f>Tabela1[[#This Row],[Total 2019]]-Tabela1[[#This Row],[Total 2018]]</f>
        <v>10007.109999999999</v>
      </c>
      <c r="U1037" s="40">
        <f>Tabela1[[#This Row],[Total 2019]]/Tabela1[[#This Row],[Meta]]</f>
        <v>0.10007109999999998</v>
      </c>
      <c r="V1037" s="17">
        <f>IFERROR(Tabela1[[#This Row],[Total 2019]]/Tabela1[[#This Row],[Total 2018]]-1,0)</f>
        <v>0</v>
      </c>
      <c r="W103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37" s="48"/>
      <c r="Y1037" s="19"/>
      <c r="Z1037" s="68"/>
    </row>
    <row r="1038" spans="3:26" x14ac:dyDescent="0.35">
      <c r="C1038" s="11" t="s">
        <v>2704</v>
      </c>
      <c r="D1038" s="12" t="s">
        <v>2699</v>
      </c>
      <c r="E1038" s="12">
        <v>1017</v>
      </c>
      <c r="F1038" s="13" t="s">
        <v>2464</v>
      </c>
      <c r="G1038" s="14">
        <v>3</v>
      </c>
      <c r="H1038" s="14" t="s">
        <v>1370</v>
      </c>
      <c r="I1038" s="13">
        <v>19</v>
      </c>
      <c r="J1038" s="15" t="s">
        <v>1418</v>
      </c>
      <c r="K1038" s="15" t="s">
        <v>2706</v>
      </c>
      <c r="L1038" s="16"/>
      <c r="M1038" s="16"/>
      <c r="N1038" s="16"/>
      <c r="O1038" s="16">
        <v>10925.845500000001</v>
      </c>
      <c r="P1038" s="16"/>
      <c r="Q1038" s="16">
        <f>SUM(Tabela1[[#This Row],[201805]:[201807]])</f>
        <v>0</v>
      </c>
      <c r="R1038" s="16">
        <f>SUM(Tabela1[[#This Row],[201905]:[201906]])</f>
        <v>10925.845500000001</v>
      </c>
      <c r="S1038" s="16">
        <v>100000</v>
      </c>
      <c r="T1038" s="16">
        <f>Tabela1[[#This Row],[Total 2019]]-Tabela1[[#This Row],[Total 2018]]</f>
        <v>10925.845500000001</v>
      </c>
      <c r="U1038" s="40">
        <f>Tabela1[[#This Row],[Total 2019]]/Tabela1[[#This Row],[Meta]]</f>
        <v>0.10925845500000002</v>
      </c>
      <c r="V1038" s="17">
        <f>IFERROR(Tabela1[[#This Row],[Total 2019]]/Tabela1[[#This Row],[Total 2018]]-1,0)</f>
        <v>0</v>
      </c>
      <c r="W103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38" s="48"/>
      <c r="Y1038" s="19"/>
      <c r="Z1038" s="68"/>
    </row>
    <row r="1039" spans="3:26" x14ac:dyDescent="0.35">
      <c r="C1039" s="11" t="s">
        <v>2703</v>
      </c>
      <c r="D1039" s="12" t="s">
        <v>2698</v>
      </c>
      <c r="E1039" s="12">
        <v>1018</v>
      </c>
      <c r="F1039" s="13" t="s">
        <v>2465</v>
      </c>
      <c r="G1039" s="14">
        <v>2</v>
      </c>
      <c r="H1039" s="14" t="s">
        <v>1370</v>
      </c>
      <c r="I1039" s="13">
        <v>11</v>
      </c>
      <c r="J1039" s="15" t="s">
        <v>1410</v>
      </c>
      <c r="K1039" s="15" t="s">
        <v>2706</v>
      </c>
      <c r="L1039" s="16"/>
      <c r="M1039" s="16"/>
      <c r="N1039" s="16"/>
      <c r="O1039" s="16">
        <v>1605.1675</v>
      </c>
      <c r="P1039" s="16">
        <v>2228.9755</v>
      </c>
      <c r="Q1039" s="16">
        <f>SUM(Tabela1[[#This Row],[201805]:[201807]])</f>
        <v>0</v>
      </c>
      <c r="R1039" s="16">
        <f>SUM(Tabela1[[#This Row],[201905]:[201906]])</f>
        <v>3834.143</v>
      </c>
      <c r="S1039" s="16">
        <v>100000</v>
      </c>
      <c r="T1039" s="16">
        <f>Tabela1[[#This Row],[Total 2019]]-Tabela1[[#This Row],[Total 2018]]</f>
        <v>3834.143</v>
      </c>
      <c r="U1039" s="40">
        <f>Tabela1[[#This Row],[Total 2019]]/Tabela1[[#This Row],[Meta]]</f>
        <v>3.8341430000000003E-2</v>
      </c>
      <c r="V1039" s="17">
        <f>IFERROR(Tabela1[[#This Row],[Total 2019]]/Tabela1[[#This Row],[Total 2018]]-1,0)</f>
        <v>0</v>
      </c>
      <c r="W103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39" s="48"/>
      <c r="Y1039" s="19"/>
      <c r="Z1039" s="68"/>
    </row>
    <row r="1040" spans="3:26" x14ac:dyDescent="0.35">
      <c r="C1040" s="11" t="s">
        <v>2703</v>
      </c>
      <c r="D1040" s="12" t="s">
        <v>2698</v>
      </c>
      <c r="E1040" s="12">
        <v>1019</v>
      </c>
      <c r="F1040" s="13" t="s">
        <v>2466</v>
      </c>
      <c r="G1040" s="14">
        <v>2</v>
      </c>
      <c r="H1040" s="14" t="s">
        <v>1372</v>
      </c>
      <c r="I1040" s="13">
        <v>22</v>
      </c>
      <c r="J1040" s="15" t="s">
        <v>1421</v>
      </c>
      <c r="K1040" s="15" t="s">
        <v>2708</v>
      </c>
      <c r="L1040" s="16"/>
      <c r="M1040" s="16"/>
      <c r="N1040" s="16"/>
      <c r="O1040" s="16">
        <v>10206.429500000002</v>
      </c>
      <c r="P1040" s="16">
        <v>6080.0949999999993</v>
      </c>
      <c r="Q1040" s="16">
        <f>SUM(Tabela1[[#This Row],[201805]:[201807]])</f>
        <v>0</v>
      </c>
      <c r="R1040" s="16">
        <f>SUM(Tabela1[[#This Row],[201905]:[201906]])</f>
        <v>16286.524500000001</v>
      </c>
      <c r="S1040" s="16">
        <v>100000</v>
      </c>
      <c r="T1040" s="16">
        <f>Tabela1[[#This Row],[Total 2019]]-Tabela1[[#This Row],[Total 2018]]</f>
        <v>16286.524500000001</v>
      </c>
      <c r="U1040" s="40">
        <f>Tabela1[[#This Row],[Total 2019]]/Tabela1[[#This Row],[Meta]]</f>
        <v>0.16286524500000002</v>
      </c>
      <c r="V1040" s="17">
        <f>IFERROR(Tabela1[[#This Row],[Total 2019]]/Tabela1[[#This Row],[Total 2018]]-1,0)</f>
        <v>0</v>
      </c>
      <c r="W104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40" s="48"/>
      <c r="Y1040" s="19"/>
      <c r="Z1040" s="68"/>
    </row>
    <row r="1041" spans="3:26" x14ac:dyDescent="0.35">
      <c r="C1041" s="11" t="s">
        <v>2702</v>
      </c>
      <c r="D1041" s="12" t="s">
        <v>2700</v>
      </c>
      <c r="E1041" s="12">
        <v>1020</v>
      </c>
      <c r="F1041" s="13" t="s">
        <v>2467</v>
      </c>
      <c r="G1041" s="14">
        <v>2</v>
      </c>
      <c r="H1041" s="14" t="s">
        <v>1371</v>
      </c>
      <c r="I1041" s="13">
        <v>26</v>
      </c>
      <c r="J1041" s="15" t="s">
        <v>1425</v>
      </c>
      <c r="K1041" s="15" t="s">
        <v>2707</v>
      </c>
      <c r="L1041" s="16"/>
      <c r="M1041" s="16"/>
      <c r="N1041" s="16"/>
      <c r="O1041" s="16">
        <v>3408.3054999999999</v>
      </c>
      <c r="P1041" s="16">
        <v>1368.893</v>
      </c>
      <c r="Q1041" s="16">
        <f>SUM(Tabela1[[#This Row],[201805]:[201807]])</f>
        <v>0</v>
      </c>
      <c r="R1041" s="16">
        <f>SUM(Tabela1[[#This Row],[201905]:[201906]])</f>
        <v>4777.1985000000004</v>
      </c>
      <c r="S1041" s="16">
        <v>100000</v>
      </c>
      <c r="T1041" s="16">
        <f>Tabela1[[#This Row],[Total 2019]]-Tabela1[[#This Row],[Total 2018]]</f>
        <v>4777.1985000000004</v>
      </c>
      <c r="U1041" s="40">
        <f>Tabela1[[#This Row],[Total 2019]]/Tabela1[[#This Row],[Meta]]</f>
        <v>4.7771985000000003E-2</v>
      </c>
      <c r="V1041" s="17">
        <f>IFERROR(Tabela1[[#This Row],[Total 2019]]/Tabela1[[#This Row],[Total 2018]]-1,0)</f>
        <v>0</v>
      </c>
      <c r="W104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41" s="48"/>
      <c r="Y1041" s="19"/>
      <c r="Z1041" s="68"/>
    </row>
    <row r="1042" spans="3:26" x14ac:dyDescent="0.35">
      <c r="C1042" s="11" t="s">
        <v>2703</v>
      </c>
      <c r="D1042" s="12" t="s">
        <v>2698</v>
      </c>
      <c r="E1042" s="12">
        <v>1021</v>
      </c>
      <c r="F1042" s="13" t="s">
        <v>2468</v>
      </c>
      <c r="G1042" s="14">
        <v>2</v>
      </c>
      <c r="H1042" s="14" t="s">
        <v>1371</v>
      </c>
      <c r="I1042" s="13">
        <v>12</v>
      </c>
      <c r="J1042" s="15" t="s">
        <v>1411</v>
      </c>
      <c r="K1042" s="15" t="s">
        <v>2707</v>
      </c>
      <c r="L1042" s="16"/>
      <c r="M1042" s="16"/>
      <c r="N1042" s="16"/>
      <c r="O1042" s="16">
        <v>8945.4375</v>
      </c>
      <c r="P1042" s="16">
        <v>5131.1684999999998</v>
      </c>
      <c r="Q1042" s="16">
        <f>SUM(Tabela1[[#This Row],[201805]:[201807]])</f>
        <v>0</v>
      </c>
      <c r="R1042" s="16">
        <f>SUM(Tabela1[[#This Row],[201905]:[201906]])</f>
        <v>14076.606</v>
      </c>
      <c r="S1042" s="16">
        <v>100000</v>
      </c>
      <c r="T1042" s="16">
        <f>Tabela1[[#This Row],[Total 2019]]-Tabela1[[#This Row],[Total 2018]]</f>
        <v>14076.606</v>
      </c>
      <c r="U1042" s="40">
        <f>Tabela1[[#This Row],[Total 2019]]/Tabela1[[#This Row],[Meta]]</f>
        <v>0.14076606</v>
      </c>
      <c r="V1042" s="17">
        <f>IFERROR(Tabela1[[#This Row],[Total 2019]]/Tabela1[[#This Row],[Total 2018]]-1,0)</f>
        <v>0</v>
      </c>
      <c r="W104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42" s="48"/>
      <c r="Y1042" s="19"/>
      <c r="Z1042" s="68"/>
    </row>
    <row r="1043" spans="3:26" x14ac:dyDescent="0.35">
      <c r="C1043" s="11" t="s">
        <v>2703</v>
      </c>
      <c r="D1043" s="12" t="s">
        <v>2699</v>
      </c>
      <c r="E1043" s="12">
        <v>1022</v>
      </c>
      <c r="F1043" s="13" t="s">
        <v>2469</v>
      </c>
      <c r="G1043" s="14">
        <v>3</v>
      </c>
      <c r="H1043" s="14" t="s">
        <v>1370</v>
      </c>
      <c r="I1043" s="13">
        <v>1</v>
      </c>
      <c r="J1043" s="15" t="s">
        <v>1400</v>
      </c>
      <c r="K1043" s="15" t="s">
        <v>2706</v>
      </c>
      <c r="L1043" s="16"/>
      <c r="M1043" s="16"/>
      <c r="N1043" s="16"/>
      <c r="O1043" s="16">
        <v>1377.9179999999999</v>
      </c>
      <c r="P1043" s="16">
        <v>3891.4850000000001</v>
      </c>
      <c r="Q1043" s="16">
        <f>SUM(Tabela1[[#This Row],[201805]:[201807]])</f>
        <v>0</v>
      </c>
      <c r="R1043" s="16">
        <f>SUM(Tabela1[[#This Row],[201905]:[201906]])</f>
        <v>5269.4030000000002</v>
      </c>
      <c r="S1043" s="16">
        <v>100000</v>
      </c>
      <c r="T1043" s="16">
        <f>Tabela1[[#This Row],[Total 2019]]-Tabela1[[#This Row],[Total 2018]]</f>
        <v>5269.4030000000002</v>
      </c>
      <c r="U1043" s="40">
        <f>Tabela1[[#This Row],[Total 2019]]/Tabela1[[#This Row],[Meta]]</f>
        <v>5.2694030000000003E-2</v>
      </c>
      <c r="V1043" s="17">
        <f>IFERROR(Tabela1[[#This Row],[Total 2019]]/Tabela1[[#This Row],[Total 2018]]-1,0)</f>
        <v>0</v>
      </c>
      <c r="W104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43" s="48"/>
      <c r="Y1043" s="19"/>
      <c r="Z1043" s="68"/>
    </row>
    <row r="1044" spans="3:26" x14ac:dyDescent="0.35">
      <c r="C1044" s="11" t="s">
        <v>2704</v>
      </c>
      <c r="D1044" s="12" t="s">
        <v>2698</v>
      </c>
      <c r="E1044" s="12">
        <v>1023</v>
      </c>
      <c r="F1044" s="13" t="s">
        <v>2470</v>
      </c>
      <c r="G1044" s="14">
        <v>3</v>
      </c>
      <c r="H1044" s="14" t="s">
        <v>1370</v>
      </c>
      <c r="I1044" s="13">
        <v>1</v>
      </c>
      <c r="J1044" s="15" t="s">
        <v>1400</v>
      </c>
      <c r="K1044" s="15" t="s">
        <v>2706</v>
      </c>
      <c r="L1044" s="16"/>
      <c r="M1044" s="16"/>
      <c r="N1044" s="16"/>
      <c r="O1044" s="16">
        <v>7299.2964999999995</v>
      </c>
      <c r="P1044" s="16">
        <v>7583.8024999999989</v>
      </c>
      <c r="Q1044" s="16">
        <f>SUM(Tabela1[[#This Row],[201805]:[201807]])</f>
        <v>0</v>
      </c>
      <c r="R1044" s="16">
        <f>SUM(Tabela1[[#This Row],[201905]:[201906]])</f>
        <v>14883.098999999998</v>
      </c>
      <c r="S1044" s="16">
        <v>100000</v>
      </c>
      <c r="T1044" s="16">
        <f>Tabela1[[#This Row],[Total 2019]]-Tabela1[[#This Row],[Total 2018]]</f>
        <v>14883.098999999998</v>
      </c>
      <c r="U1044" s="40">
        <f>Tabela1[[#This Row],[Total 2019]]/Tabela1[[#This Row],[Meta]]</f>
        <v>0.14883099</v>
      </c>
      <c r="V1044" s="17">
        <f>IFERROR(Tabela1[[#This Row],[Total 2019]]/Tabela1[[#This Row],[Total 2018]]-1,0)</f>
        <v>0</v>
      </c>
      <c r="W104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44" s="48"/>
      <c r="Y1044" s="19"/>
      <c r="Z1044" s="68"/>
    </row>
    <row r="1045" spans="3:26" x14ac:dyDescent="0.35">
      <c r="C1045" s="11" t="s">
        <v>2702</v>
      </c>
      <c r="D1045" s="12" t="s">
        <v>2698</v>
      </c>
      <c r="E1045" s="12">
        <v>1024</v>
      </c>
      <c r="F1045" s="13" t="s">
        <v>2471</v>
      </c>
      <c r="G1045" s="14">
        <v>2</v>
      </c>
      <c r="H1045" s="14" t="s">
        <v>1372</v>
      </c>
      <c r="I1045" s="13">
        <v>25</v>
      </c>
      <c r="J1045" s="15" t="s">
        <v>1424</v>
      </c>
      <c r="K1045" s="15" t="s">
        <v>2708</v>
      </c>
      <c r="L1045" s="16"/>
      <c r="M1045" s="16"/>
      <c r="N1045" s="16"/>
      <c r="O1045" s="16">
        <v>8510.3754999999983</v>
      </c>
      <c r="P1045" s="16">
        <v>3084.8780000000002</v>
      </c>
      <c r="Q1045" s="16">
        <f>SUM(Tabela1[[#This Row],[201805]:[201807]])</f>
        <v>0</v>
      </c>
      <c r="R1045" s="16">
        <f>SUM(Tabela1[[#This Row],[201905]:[201906]])</f>
        <v>11595.253499999999</v>
      </c>
      <c r="S1045" s="16">
        <v>100000</v>
      </c>
      <c r="T1045" s="16">
        <f>Tabela1[[#This Row],[Total 2019]]-Tabela1[[#This Row],[Total 2018]]</f>
        <v>11595.253499999999</v>
      </c>
      <c r="U1045" s="40">
        <f>Tabela1[[#This Row],[Total 2019]]/Tabela1[[#This Row],[Meta]]</f>
        <v>0.115952535</v>
      </c>
      <c r="V1045" s="17">
        <f>IFERROR(Tabela1[[#This Row],[Total 2019]]/Tabela1[[#This Row],[Total 2018]]-1,0)</f>
        <v>0</v>
      </c>
      <c r="W104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45" s="48"/>
      <c r="Y1045" s="19"/>
      <c r="Z1045" s="68"/>
    </row>
    <row r="1046" spans="3:26" x14ac:dyDescent="0.35">
      <c r="C1046" s="11" t="s">
        <v>2704</v>
      </c>
      <c r="D1046" s="12" t="s">
        <v>2698</v>
      </c>
      <c r="E1046" s="12">
        <v>1025</v>
      </c>
      <c r="F1046" s="13" t="s">
        <v>2472</v>
      </c>
      <c r="G1046" s="14">
        <v>3</v>
      </c>
      <c r="H1046" s="14" t="s">
        <v>1372</v>
      </c>
      <c r="I1046" s="13">
        <v>27</v>
      </c>
      <c r="J1046" s="15" t="s">
        <v>1426</v>
      </c>
      <c r="K1046" s="15" t="s">
        <v>2708</v>
      </c>
      <c r="L1046" s="16"/>
      <c r="M1046" s="16"/>
      <c r="N1046" s="16"/>
      <c r="O1046" s="16">
        <v>2379.8164999999999</v>
      </c>
      <c r="P1046" s="16"/>
      <c r="Q1046" s="16">
        <f>SUM(Tabela1[[#This Row],[201805]:[201807]])</f>
        <v>0</v>
      </c>
      <c r="R1046" s="16">
        <f>SUM(Tabela1[[#This Row],[201905]:[201906]])</f>
        <v>2379.8164999999999</v>
      </c>
      <c r="S1046" s="16">
        <v>100000</v>
      </c>
      <c r="T1046" s="16">
        <f>Tabela1[[#This Row],[Total 2019]]-Tabela1[[#This Row],[Total 2018]]</f>
        <v>2379.8164999999999</v>
      </c>
      <c r="U1046" s="40">
        <f>Tabela1[[#This Row],[Total 2019]]/Tabela1[[#This Row],[Meta]]</f>
        <v>2.3798165E-2</v>
      </c>
      <c r="V1046" s="17">
        <f>IFERROR(Tabela1[[#This Row],[Total 2019]]/Tabela1[[#This Row],[Total 2018]]-1,0)</f>
        <v>0</v>
      </c>
      <c r="W104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46" s="48"/>
      <c r="Y1046" s="19"/>
      <c r="Z1046" s="68"/>
    </row>
    <row r="1047" spans="3:26" x14ac:dyDescent="0.35">
      <c r="C1047" s="11" t="s">
        <v>2703</v>
      </c>
      <c r="D1047" s="12" t="s">
        <v>2700</v>
      </c>
      <c r="E1047" s="12">
        <v>1026</v>
      </c>
      <c r="F1047" s="13" t="s">
        <v>2473</v>
      </c>
      <c r="G1047" s="14">
        <v>1</v>
      </c>
      <c r="H1047" s="14" t="s">
        <v>1372</v>
      </c>
      <c r="I1047" s="13">
        <v>18</v>
      </c>
      <c r="J1047" s="15" t="s">
        <v>1417</v>
      </c>
      <c r="K1047" s="15" t="s">
        <v>2708</v>
      </c>
      <c r="L1047" s="16"/>
      <c r="M1047" s="16"/>
      <c r="N1047" s="16"/>
      <c r="O1047" s="16">
        <v>7356.9709999999995</v>
      </c>
      <c r="P1047" s="16"/>
      <c r="Q1047" s="16">
        <f>SUM(Tabela1[[#This Row],[201805]:[201807]])</f>
        <v>0</v>
      </c>
      <c r="R1047" s="16">
        <f>SUM(Tabela1[[#This Row],[201905]:[201906]])</f>
        <v>7356.9709999999995</v>
      </c>
      <c r="S1047" s="16">
        <v>100000</v>
      </c>
      <c r="T1047" s="16">
        <f>Tabela1[[#This Row],[Total 2019]]-Tabela1[[#This Row],[Total 2018]]</f>
        <v>7356.9709999999995</v>
      </c>
      <c r="U1047" s="40">
        <f>Tabela1[[#This Row],[Total 2019]]/Tabela1[[#This Row],[Meta]]</f>
        <v>7.3569709999999996E-2</v>
      </c>
      <c r="V1047" s="17">
        <f>IFERROR(Tabela1[[#This Row],[Total 2019]]/Tabela1[[#This Row],[Total 2018]]-1,0)</f>
        <v>0</v>
      </c>
      <c r="W104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47" s="48"/>
      <c r="Y1047" s="19"/>
      <c r="Z1047" s="68"/>
    </row>
    <row r="1048" spans="3:26" x14ac:dyDescent="0.35">
      <c r="C1048" s="11" t="s">
        <v>2703</v>
      </c>
      <c r="D1048" s="12" t="s">
        <v>2698</v>
      </c>
      <c r="E1048" s="12">
        <v>1027</v>
      </c>
      <c r="F1048" s="13" t="s">
        <v>2474</v>
      </c>
      <c r="G1048" s="14">
        <v>1</v>
      </c>
      <c r="H1048" s="14" t="s">
        <v>1372</v>
      </c>
      <c r="I1048" s="13">
        <v>6</v>
      </c>
      <c r="J1048" s="15" t="s">
        <v>1405</v>
      </c>
      <c r="K1048" s="15" t="s">
        <v>2708</v>
      </c>
      <c r="L1048" s="16"/>
      <c r="M1048" s="16"/>
      <c r="N1048" s="16"/>
      <c r="O1048" s="16">
        <v>18891.3485</v>
      </c>
      <c r="P1048" s="16">
        <v>19619.2575</v>
      </c>
      <c r="Q1048" s="16">
        <f>SUM(Tabela1[[#This Row],[201805]:[201807]])</f>
        <v>0</v>
      </c>
      <c r="R1048" s="16">
        <f>SUM(Tabela1[[#This Row],[201905]:[201906]])</f>
        <v>38510.606</v>
      </c>
      <c r="S1048" s="16">
        <v>100000</v>
      </c>
      <c r="T1048" s="16">
        <f>Tabela1[[#This Row],[Total 2019]]-Tabela1[[#This Row],[Total 2018]]</f>
        <v>38510.606</v>
      </c>
      <c r="U1048" s="40">
        <f>Tabela1[[#This Row],[Total 2019]]/Tabela1[[#This Row],[Meta]]</f>
        <v>0.38510605999999997</v>
      </c>
      <c r="V1048" s="17">
        <f>IFERROR(Tabela1[[#This Row],[Total 2019]]/Tabela1[[#This Row],[Total 2018]]-1,0)</f>
        <v>0</v>
      </c>
      <c r="W104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48" s="48"/>
      <c r="Y1048" s="19"/>
      <c r="Z1048" s="68"/>
    </row>
    <row r="1049" spans="3:26" x14ac:dyDescent="0.35">
      <c r="C1049" s="11" t="s">
        <v>2704</v>
      </c>
      <c r="D1049" s="12" t="s">
        <v>2700</v>
      </c>
      <c r="E1049" s="12">
        <v>1028</v>
      </c>
      <c r="F1049" s="13" t="s">
        <v>2475</v>
      </c>
      <c r="G1049" s="14">
        <v>2</v>
      </c>
      <c r="H1049" s="14" t="s">
        <v>1371</v>
      </c>
      <c r="I1049" s="13">
        <v>24</v>
      </c>
      <c r="J1049" s="15" t="s">
        <v>1423</v>
      </c>
      <c r="K1049" s="15" t="s">
        <v>2707</v>
      </c>
      <c r="L1049" s="16"/>
      <c r="M1049" s="16"/>
      <c r="N1049" s="16"/>
      <c r="O1049" s="16">
        <v>2435.0969999999998</v>
      </c>
      <c r="P1049" s="16">
        <v>8068.7204999999994</v>
      </c>
      <c r="Q1049" s="16">
        <f>SUM(Tabela1[[#This Row],[201805]:[201807]])</f>
        <v>0</v>
      </c>
      <c r="R1049" s="16">
        <f>SUM(Tabela1[[#This Row],[201905]:[201906]])</f>
        <v>10503.817499999999</v>
      </c>
      <c r="S1049" s="16">
        <v>100000</v>
      </c>
      <c r="T1049" s="16">
        <f>Tabela1[[#This Row],[Total 2019]]-Tabela1[[#This Row],[Total 2018]]</f>
        <v>10503.817499999999</v>
      </c>
      <c r="U1049" s="40">
        <f>Tabela1[[#This Row],[Total 2019]]/Tabela1[[#This Row],[Meta]]</f>
        <v>0.105038175</v>
      </c>
      <c r="V1049" s="17">
        <f>IFERROR(Tabela1[[#This Row],[Total 2019]]/Tabela1[[#This Row],[Total 2018]]-1,0)</f>
        <v>0</v>
      </c>
      <c r="W104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49" s="48"/>
      <c r="Y1049" s="19"/>
      <c r="Z1049" s="68"/>
    </row>
    <row r="1050" spans="3:26" x14ac:dyDescent="0.35">
      <c r="C1050" s="11" t="s">
        <v>2703</v>
      </c>
      <c r="D1050" s="12" t="s">
        <v>2699</v>
      </c>
      <c r="E1050" s="12">
        <v>1029</v>
      </c>
      <c r="F1050" s="13" t="s">
        <v>2476</v>
      </c>
      <c r="G1050" s="14">
        <v>2</v>
      </c>
      <c r="H1050" s="14" t="s">
        <v>1371</v>
      </c>
      <c r="I1050" s="13">
        <v>5</v>
      </c>
      <c r="J1050" s="15" t="s">
        <v>1404</v>
      </c>
      <c r="K1050" s="15" t="s">
        <v>2707</v>
      </c>
      <c r="L1050" s="16"/>
      <c r="M1050" s="16"/>
      <c r="N1050" s="16"/>
      <c r="O1050" s="16">
        <v>2914.5334999999995</v>
      </c>
      <c r="P1050" s="16">
        <v>15595.826999999999</v>
      </c>
      <c r="Q1050" s="16">
        <f>SUM(Tabela1[[#This Row],[201805]:[201807]])</f>
        <v>0</v>
      </c>
      <c r="R1050" s="16">
        <f>SUM(Tabela1[[#This Row],[201905]:[201906]])</f>
        <v>18510.360499999999</v>
      </c>
      <c r="S1050" s="16">
        <v>100000</v>
      </c>
      <c r="T1050" s="16">
        <f>Tabela1[[#This Row],[Total 2019]]-Tabela1[[#This Row],[Total 2018]]</f>
        <v>18510.360499999999</v>
      </c>
      <c r="U1050" s="40">
        <f>Tabela1[[#This Row],[Total 2019]]/Tabela1[[#This Row],[Meta]]</f>
        <v>0.18510360499999998</v>
      </c>
      <c r="V1050" s="17">
        <f>IFERROR(Tabela1[[#This Row],[Total 2019]]/Tabela1[[#This Row],[Total 2018]]-1,0)</f>
        <v>0</v>
      </c>
      <c r="W105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50" s="48"/>
      <c r="Y1050" s="19"/>
      <c r="Z1050" s="68"/>
    </row>
    <row r="1051" spans="3:26" x14ac:dyDescent="0.35">
      <c r="C1051" s="11" t="s">
        <v>2703</v>
      </c>
      <c r="D1051" s="12" t="s">
        <v>2698</v>
      </c>
      <c r="E1051" s="12">
        <v>1030</v>
      </c>
      <c r="F1051" s="13" t="s">
        <v>2477</v>
      </c>
      <c r="G1051" s="14">
        <v>2</v>
      </c>
      <c r="H1051" s="14" t="s">
        <v>1370</v>
      </c>
      <c r="I1051" s="13">
        <v>33</v>
      </c>
      <c r="J1051" s="15" t="s">
        <v>1432</v>
      </c>
      <c r="K1051" s="15" t="s">
        <v>2706</v>
      </c>
      <c r="L1051" s="16"/>
      <c r="M1051" s="16"/>
      <c r="N1051" s="16"/>
      <c r="O1051" s="16">
        <v>1220.75</v>
      </c>
      <c r="P1051" s="16">
        <v>2366.0984999999996</v>
      </c>
      <c r="Q1051" s="16">
        <f>SUM(Tabela1[[#This Row],[201805]:[201807]])</f>
        <v>0</v>
      </c>
      <c r="R1051" s="16">
        <f>SUM(Tabela1[[#This Row],[201905]:[201906]])</f>
        <v>3586.8484999999996</v>
      </c>
      <c r="S1051" s="16">
        <v>100000</v>
      </c>
      <c r="T1051" s="16">
        <f>Tabela1[[#This Row],[Total 2019]]-Tabela1[[#This Row],[Total 2018]]</f>
        <v>3586.8484999999996</v>
      </c>
      <c r="U1051" s="40">
        <f>Tabela1[[#This Row],[Total 2019]]/Tabela1[[#This Row],[Meta]]</f>
        <v>3.5868484999999999E-2</v>
      </c>
      <c r="V1051" s="17">
        <f>IFERROR(Tabela1[[#This Row],[Total 2019]]/Tabela1[[#This Row],[Total 2018]]-1,0)</f>
        <v>0</v>
      </c>
      <c r="W105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51" s="48"/>
      <c r="Y1051" s="19"/>
      <c r="Z1051" s="68"/>
    </row>
    <row r="1052" spans="3:26" x14ac:dyDescent="0.35">
      <c r="C1052" s="11" t="s">
        <v>2704</v>
      </c>
      <c r="D1052" s="12" t="s">
        <v>2699</v>
      </c>
      <c r="E1052" s="12">
        <v>1031</v>
      </c>
      <c r="F1052" s="13" t="s">
        <v>2478</v>
      </c>
      <c r="G1052" s="14">
        <v>2</v>
      </c>
      <c r="H1052" s="14" t="s">
        <v>1372</v>
      </c>
      <c r="I1052" s="13">
        <v>6</v>
      </c>
      <c r="J1052" s="15" t="s">
        <v>1405</v>
      </c>
      <c r="K1052" s="15" t="s">
        <v>2708</v>
      </c>
      <c r="L1052" s="16"/>
      <c r="M1052" s="16"/>
      <c r="N1052" s="16"/>
      <c r="O1052" s="16">
        <v>2774.2089999999998</v>
      </c>
      <c r="P1052" s="16">
        <v>11672.013499999999</v>
      </c>
      <c r="Q1052" s="16">
        <f>SUM(Tabela1[[#This Row],[201805]:[201807]])</f>
        <v>0</v>
      </c>
      <c r="R1052" s="16">
        <f>SUM(Tabela1[[#This Row],[201905]:[201906]])</f>
        <v>14446.2225</v>
      </c>
      <c r="S1052" s="16">
        <v>100000</v>
      </c>
      <c r="T1052" s="16">
        <f>Tabela1[[#This Row],[Total 2019]]-Tabela1[[#This Row],[Total 2018]]</f>
        <v>14446.2225</v>
      </c>
      <c r="U1052" s="40">
        <f>Tabela1[[#This Row],[Total 2019]]/Tabela1[[#This Row],[Meta]]</f>
        <v>0.144462225</v>
      </c>
      <c r="V1052" s="17">
        <f>IFERROR(Tabela1[[#This Row],[Total 2019]]/Tabela1[[#This Row],[Total 2018]]-1,0)</f>
        <v>0</v>
      </c>
      <c r="W105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52" s="48"/>
      <c r="Y1052" s="19"/>
      <c r="Z1052" s="68"/>
    </row>
    <row r="1053" spans="3:26" x14ac:dyDescent="0.35">
      <c r="C1053" s="11" t="s">
        <v>2702</v>
      </c>
      <c r="D1053" s="12" t="s">
        <v>2700</v>
      </c>
      <c r="E1053" s="12">
        <v>1032</v>
      </c>
      <c r="F1053" s="13" t="s">
        <v>2479</v>
      </c>
      <c r="G1053" s="14">
        <v>2</v>
      </c>
      <c r="H1053" s="14" t="s">
        <v>1371</v>
      </c>
      <c r="I1053" s="13">
        <v>9</v>
      </c>
      <c r="J1053" s="15" t="s">
        <v>1408</v>
      </c>
      <c r="K1053" s="15" t="s">
        <v>2707</v>
      </c>
      <c r="L1053" s="16"/>
      <c r="M1053" s="16"/>
      <c r="N1053" s="16"/>
      <c r="O1053" s="16">
        <v>1321.9155000000001</v>
      </c>
      <c r="P1053" s="16">
        <v>2770.3329999999996</v>
      </c>
      <c r="Q1053" s="16">
        <f>SUM(Tabela1[[#This Row],[201805]:[201807]])</f>
        <v>0</v>
      </c>
      <c r="R1053" s="16">
        <f>SUM(Tabela1[[#This Row],[201905]:[201906]])</f>
        <v>4092.2484999999997</v>
      </c>
      <c r="S1053" s="16">
        <v>100000</v>
      </c>
      <c r="T1053" s="16">
        <f>Tabela1[[#This Row],[Total 2019]]-Tabela1[[#This Row],[Total 2018]]</f>
        <v>4092.2484999999997</v>
      </c>
      <c r="U1053" s="40">
        <f>Tabela1[[#This Row],[Total 2019]]/Tabela1[[#This Row],[Meta]]</f>
        <v>4.0922484999999995E-2</v>
      </c>
      <c r="V1053" s="17">
        <f>IFERROR(Tabela1[[#This Row],[Total 2019]]/Tabela1[[#This Row],[Total 2018]]-1,0)</f>
        <v>0</v>
      </c>
      <c r="W105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53" s="48"/>
      <c r="Y1053" s="19"/>
      <c r="Z1053" s="68"/>
    </row>
    <row r="1054" spans="3:26" x14ac:dyDescent="0.35">
      <c r="C1054" s="11" t="s">
        <v>2704</v>
      </c>
      <c r="D1054" s="12" t="s">
        <v>2698</v>
      </c>
      <c r="E1054" s="12">
        <v>1033</v>
      </c>
      <c r="F1054" s="13" t="s">
        <v>2480</v>
      </c>
      <c r="G1054" s="14">
        <v>2</v>
      </c>
      <c r="H1054" s="14" t="s">
        <v>1371</v>
      </c>
      <c r="I1054" s="13">
        <v>4</v>
      </c>
      <c r="J1054" s="15" t="s">
        <v>1403</v>
      </c>
      <c r="K1054" s="15" t="s">
        <v>2707</v>
      </c>
      <c r="L1054" s="16"/>
      <c r="M1054" s="16"/>
      <c r="N1054" s="16"/>
      <c r="O1054" s="16">
        <v>7618.9144999999999</v>
      </c>
      <c r="P1054" s="16"/>
      <c r="Q1054" s="16">
        <f>SUM(Tabela1[[#This Row],[201805]:[201807]])</f>
        <v>0</v>
      </c>
      <c r="R1054" s="16">
        <f>SUM(Tabela1[[#This Row],[201905]:[201906]])</f>
        <v>7618.9144999999999</v>
      </c>
      <c r="S1054" s="16">
        <v>100000</v>
      </c>
      <c r="T1054" s="16">
        <f>Tabela1[[#This Row],[Total 2019]]-Tabela1[[#This Row],[Total 2018]]</f>
        <v>7618.9144999999999</v>
      </c>
      <c r="U1054" s="40">
        <f>Tabela1[[#This Row],[Total 2019]]/Tabela1[[#This Row],[Meta]]</f>
        <v>7.6189145E-2</v>
      </c>
      <c r="V1054" s="17">
        <f>IFERROR(Tabela1[[#This Row],[Total 2019]]/Tabela1[[#This Row],[Total 2018]]-1,0)</f>
        <v>0</v>
      </c>
      <c r="W105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54" s="48"/>
      <c r="Y1054" s="19"/>
      <c r="Z1054" s="68"/>
    </row>
    <row r="1055" spans="3:26" x14ac:dyDescent="0.35">
      <c r="C1055" s="11" t="s">
        <v>2704</v>
      </c>
      <c r="D1055" s="12" t="s">
        <v>2700</v>
      </c>
      <c r="E1055" s="12">
        <v>1034</v>
      </c>
      <c r="F1055" s="13" t="s">
        <v>2481</v>
      </c>
      <c r="G1055" s="14">
        <v>3</v>
      </c>
      <c r="H1055" s="14" t="s">
        <v>1372</v>
      </c>
      <c r="I1055" s="13">
        <v>6</v>
      </c>
      <c r="J1055" s="15" t="s">
        <v>1405</v>
      </c>
      <c r="K1055" s="15" t="s">
        <v>2708</v>
      </c>
      <c r="L1055" s="16"/>
      <c r="M1055" s="16"/>
      <c r="N1055" s="16"/>
      <c r="O1055" s="16">
        <v>2521.5280000000002</v>
      </c>
      <c r="P1055" s="16">
        <v>3149.0029999999997</v>
      </c>
      <c r="Q1055" s="16">
        <f>SUM(Tabela1[[#This Row],[201805]:[201807]])</f>
        <v>0</v>
      </c>
      <c r="R1055" s="16">
        <f>SUM(Tabela1[[#This Row],[201905]:[201906]])</f>
        <v>5670.5309999999999</v>
      </c>
      <c r="S1055" s="16">
        <v>100000</v>
      </c>
      <c r="T1055" s="16">
        <f>Tabela1[[#This Row],[Total 2019]]-Tabela1[[#This Row],[Total 2018]]</f>
        <v>5670.5309999999999</v>
      </c>
      <c r="U1055" s="40">
        <f>Tabela1[[#This Row],[Total 2019]]/Tabela1[[#This Row],[Meta]]</f>
        <v>5.6705310000000002E-2</v>
      </c>
      <c r="V1055" s="17">
        <f>IFERROR(Tabela1[[#This Row],[Total 2019]]/Tabela1[[#This Row],[Total 2018]]-1,0)</f>
        <v>0</v>
      </c>
      <c r="W105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55" s="48"/>
      <c r="Y1055" s="19"/>
      <c r="Z1055" s="68"/>
    </row>
    <row r="1056" spans="3:26" x14ac:dyDescent="0.35">
      <c r="C1056" s="11" t="s">
        <v>2703</v>
      </c>
      <c r="D1056" s="12" t="s">
        <v>2700</v>
      </c>
      <c r="E1056" s="12">
        <v>1035</v>
      </c>
      <c r="F1056" s="13" t="s">
        <v>2482</v>
      </c>
      <c r="G1056" s="14">
        <v>1</v>
      </c>
      <c r="H1056" s="14" t="s">
        <v>1371</v>
      </c>
      <c r="I1056" s="13">
        <v>12</v>
      </c>
      <c r="J1056" s="15" t="s">
        <v>1411</v>
      </c>
      <c r="K1056" s="15" t="s">
        <v>2707</v>
      </c>
      <c r="L1056" s="16"/>
      <c r="M1056" s="16"/>
      <c r="N1056" s="16"/>
      <c r="O1056" s="16">
        <v>9291.066499999999</v>
      </c>
      <c r="P1056" s="16"/>
      <c r="Q1056" s="16">
        <f>SUM(Tabela1[[#This Row],[201805]:[201807]])</f>
        <v>0</v>
      </c>
      <c r="R1056" s="16">
        <f>SUM(Tabela1[[#This Row],[201905]:[201906]])</f>
        <v>9291.066499999999</v>
      </c>
      <c r="S1056" s="16">
        <v>100000</v>
      </c>
      <c r="T1056" s="16">
        <f>Tabela1[[#This Row],[Total 2019]]-Tabela1[[#This Row],[Total 2018]]</f>
        <v>9291.066499999999</v>
      </c>
      <c r="U1056" s="40">
        <f>Tabela1[[#This Row],[Total 2019]]/Tabela1[[#This Row],[Meta]]</f>
        <v>9.291066499999999E-2</v>
      </c>
      <c r="V1056" s="17">
        <f>IFERROR(Tabela1[[#This Row],[Total 2019]]/Tabela1[[#This Row],[Total 2018]]-1,0)</f>
        <v>0</v>
      </c>
      <c r="W105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56" s="48"/>
      <c r="Y1056" s="19"/>
      <c r="Z1056" s="68"/>
    </row>
    <row r="1057" spans="3:26" x14ac:dyDescent="0.35">
      <c r="C1057" s="11" t="s">
        <v>2703</v>
      </c>
      <c r="D1057" s="12" t="s">
        <v>2700</v>
      </c>
      <c r="E1057" s="12">
        <v>1036</v>
      </c>
      <c r="F1057" s="13" t="s">
        <v>2483</v>
      </c>
      <c r="G1057" s="14">
        <v>2</v>
      </c>
      <c r="H1057" s="14" t="s">
        <v>1370</v>
      </c>
      <c r="I1057" s="13">
        <v>15</v>
      </c>
      <c r="J1057" s="15" t="s">
        <v>1414</v>
      </c>
      <c r="K1057" s="15" t="s">
        <v>2706</v>
      </c>
      <c r="L1057" s="16"/>
      <c r="M1057" s="16"/>
      <c r="N1057" s="16"/>
      <c r="O1057" s="16">
        <v>12592.192999999997</v>
      </c>
      <c r="P1057" s="16">
        <v>8954.2914999999994</v>
      </c>
      <c r="Q1057" s="16">
        <f>SUM(Tabela1[[#This Row],[201805]:[201807]])</f>
        <v>0</v>
      </c>
      <c r="R1057" s="16">
        <f>SUM(Tabela1[[#This Row],[201905]:[201906]])</f>
        <v>21546.484499999999</v>
      </c>
      <c r="S1057" s="16">
        <v>100000</v>
      </c>
      <c r="T1057" s="16">
        <f>Tabela1[[#This Row],[Total 2019]]-Tabela1[[#This Row],[Total 2018]]</f>
        <v>21546.484499999999</v>
      </c>
      <c r="U1057" s="40">
        <f>Tabela1[[#This Row],[Total 2019]]/Tabela1[[#This Row],[Meta]]</f>
        <v>0.21546484499999999</v>
      </c>
      <c r="V1057" s="17">
        <f>IFERROR(Tabela1[[#This Row],[Total 2019]]/Tabela1[[#This Row],[Total 2018]]-1,0)</f>
        <v>0</v>
      </c>
      <c r="W105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57" s="48"/>
      <c r="Y1057" s="19"/>
      <c r="Z1057" s="68"/>
    </row>
    <row r="1058" spans="3:26" x14ac:dyDescent="0.35">
      <c r="C1058" s="11" t="s">
        <v>2702</v>
      </c>
      <c r="D1058" s="12" t="s">
        <v>2699</v>
      </c>
      <c r="E1058" s="12">
        <v>1037</v>
      </c>
      <c r="F1058" s="13" t="s">
        <v>2484</v>
      </c>
      <c r="G1058" s="14">
        <v>3</v>
      </c>
      <c r="H1058" s="14" t="s">
        <v>1371</v>
      </c>
      <c r="I1058" s="13">
        <v>26</v>
      </c>
      <c r="J1058" s="15" t="s">
        <v>1425</v>
      </c>
      <c r="K1058" s="15" t="s">
        <v>2707</v>
      </c>
      <c r="L1058" s="16"/>
      <c r="M1058" s="16"/>
      <c r="N1058" s="16"/>
      <c r="O1058" s="16">
        <v>18401.699499999999</v>
      </c>
      <c r="P1058" s="16">
        <v>3993.4389999999999</v>
      </c>
      <c r="Q1058" s="16">
        <f>SUM(Tabela1[[#This Row],[201805]:[201807]])</f>
        <v>0</v>
      </c>
      <c r="R1058" s="16">
        <f>SUM(Tabela1[[#This Row],[201905]:[201906]])</f>
        <v>22395.138499999997</v>
      </c>
      <c r="S1058" s="16">
        <v>100000</v>
      </c>
      <c r="T1058" s="16">
        <f>Tabela1[[#This Row],[Total 2019]]-Tabela1[[#This Row],[Total 2018]]</f>
        <v>22395.138499999997</v>
      </c>
      <c r="U1058" s="40">
        <f>Tabela1[[#This Row],[Total 2019]]/Tabela1[[#This Row],[Meta]]</f>
        <v>0.22395138499999998</v>
      </c>
      <c r="V1058" s="17">
        <f>IFERROR(Tabela1[[#This Row],[Total 2019]]/Tabela1[[#This Row],[Total 2018]]-1,0)</f>
        <v>0</v>
      </c>
      <c r="W105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58" s="48"/>
      <c r="Y1058" s="19"/>
      <c r="Z1058" s="68"/>
    </row>
    <row r="1059" spans="3:26" x14ac:dyDescent="0.35">
      <c r="C1059" s="11" t="s">
        <v>2702</v>
      </c>
      <c r="D1059" s="12" t="s">
        <v>2700</v>
      </c>
      <c r="E1059" s="12">
        <v>1038</v>
      </c>
      <c r="F1059" s="13" t="s">
        <v>2485</v>
      </c>
      <c r="G1059" s="14">
        <v>2</v>
      </c>
      <c r="H1059" s="14" t="s">
        <v>1370</v>
      </c>
      <c r="I1059" s="13">
        <v>30</v>
      </c>
      <c r="J1059" s="15" t="s">
        <v>1429</v>
      </c>
      <c r="K1059" s="15" t="s">
        <v>2706</v>
      </c>
      <c r="L1059" s="16"/>
      <c r="M1059" s="16"/>
      <c r="N1059" s="16"/>
      <c r="O1059" s="16">
        <v>10134.144</v>
      </c>
      <c r="P1059" s="16"/>
      <c r="Q1059" s="16">
        <f>SUM(Tabela1[[#This Row],[201805]:[201807]])</f>
        <v>0</v>
      </c>
      <c r="R1059" s="16">
        <f>SUM(Tabela1[[#This Row],[201905]:[201906]])</f>
        <v>10134.144</v>
      </c>
      <c r="S1059" s="16">
        <v>100000</v>
      </c>
      <c r="T1059" s="16">
        <f>Tabela1[[#This Row],[Total 2019]]-Tabela1[[#This Row],[Total 2018]]</f>
        <v>10134.144</v>
      </c>
      <c r="U1059" s="40">
        <f>Tabela1[[#This Row],[Total 2019]]/Tabela1[[#This Row],[Meta]]</f>
        <v>0.10134144</v>
      </c>
      <c r="V1059" s="17">
        <f>IFERROR(Tabela1[[#This Row],[Total 2019]]/Tabela1[[#This Row],[Total 2018]]-1,0)</f>
        <v>0</v>
      </c>
      <c r="W105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59" s="48"/>
      <c r="Y1059" s="19"/>
      <c r="Z1059" s="68"/>
    </row>
    <row r="1060" spans="3:26" x14ac:dyDescent="0.35">
      <c r="C1060" s="11" t="s">
        <v>2702</v>
      </c>
      <c r="D1060" s="12" t="s">
        <v>2700</v>
      </c>
      <c r="E1060" s="12">
        <v>1039</v>
      </c>
      <c r="F1060" s="13" t="s">
        <v>2486</v>
      </c>
      <c r="G1060" s="14">
        <v>1</v>
      </c>
      <c r="H1060" s="14" t="s">
        <v>1371</v>
      </c>
      <c r="I1060" s="13">
        <v>4</v>
      </c>
      <c r="J1060" s="15" t="s">
        <v>1403</v>
      </c>
      <c r="K1060" s="15" t="s">
        <v>2707</v>
      </c>
      <c r="L1060" s="16"/>
      <c r="M1060" s="16"/>
      <c r="N1060" s="16"/>
      <c r="O1060" s="16">
        <v>9092.4879999999994</v>
      </c>
      <c r="P1060" s="16"/>
      <c r="Q1060" s="16">
        <f>SUM(Tabela1[[#This Row],[201805]:[201807]])</f>
        <v>0</v>
      </c>
      <c r="R1060" s="16">
        <f>SUM(Tabela1[[#This Row],[201905]:[201906]])</f>
        <v>9092.4879999999994</v>
      </c>
      <c r="S1060" s="16">
        <v>100000</v>
      </c>
      <c r="T1060" s="16">
        <f>Tabela1[[#This Row],[Total 2019]]-Tabela1[[#This Row],[Total 2018]]</f>
        <v>9092.4879999999994</v>
      </c>
      <c r="U1060" s="40">
        <f>Tabela1[[#This Row],[Total 2019]]/Tabela1[[#This Row],[Meta]]</f>
        <v>9.092488E-2</v>
      </c>
      <c r="V1060" s="17">
        <f>IFERROR(Tabela1[[#This Row],[Total 2019]]/Tabela1[[#This Row],[Total 2018]]-1,0)</f>
        <v>0</v>
      </c>
      <c r="W106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60" s="48"/>
      <c r="Y1060" s="19"/>
      <c r="Z1060" s="68"/>
    </row>
    <row r="1061" spans="3:26" x14ac:dyDescent="0.35">
      <c r="C1061" s="11" t="s">
        <v>2703</v>
      </c>
      <c r="D1061" s="12" t="s">
        <v>2698</v>
      </c>
      <c r="E1061" s="12">
        <v>1040</v>
      </c>
      <c r="F1061" s="13" t="s">
        <v>2487</v>
      </c>
      <c r="G1061" s="14">
        <v>1</v>
      </c>
      <c r="H1061" s="14" t="s">
        <v>1372</v>
      </c>
      <c r="I1061" s="13">
        <v>16</v>
      </c>
      <c r="J1061" s="15" t="s">
        <v>1415</v>
      </c>
      <c r="K1061" s="15" t="s">
        <v>2708</v>
      </c>
      <c r="L1061" s="16"/>
      <c r="M1061" s="16"/>
      <c r="N1061" s="16"/>
      <c r="O1061" s="16"/>
      <c r="P1061" s="16">
        <v>2483.0720000000001</v>
      </c>
      <c r="Q1061" s="16">
        <f>SUM(Tabela1[[#This Row],[201805]:[201807]])</f>
        <v>0</v>
      </c>
      <c r="R1061" s="16">
        <f>SUM(Tabela1[[#This Row],[201905]:[201906]])</f>
        <v>2483.0720000000001</v>
      </c>
      <c r="S1061" s="16">
        <v>100000</v>
      </c>
      <c r="T1061" s="16">
        <f>Tabela1[[#This Row],[Total 2019]]-Tabela1[[#This Row],[Total 2018]]</f>
        <v>2483.0720000000001</v>
      </c>
      <c r="U1061" s="40">
        <f>Tabela1[[#This Row],[Total 2019]]/Tabela1[[#This Row],[Meta]]</f>
        <v>2.4830720000000001E-2</v>
      </c>
      <c r="V1061" s="17">
        <f>IFERROR(Tabela1[[#This Row],[Total 2019]]/Tabela1[[#This Row],[Total 2018]]-1,0)</f>
        <v>0</v>
      </c>
      <c r="W106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61" s="48"/>
      <c r="Y1061" s="19"/>
      <c r="Z1061" s="68"/>
    </row>
    <row r="1062" spans="3:26" x14ac:dyDescent="0.35">
      <c r="C1062" s="11" t="s">
        <v>2704</v>
      </c>
      <c r="D1062" s="12" t="s">
        <v>2699</v>
      </c>
      <c r="E1062" s="12">
        <v>1041</v>
      </c>
      <c r="F1062" s="13" t="s">
        <v>2488</v>
      </c>
      <c r="G1062" s="14">
        <v>2</v>
      </c>
      <c r="H1062" s="14" t="s">
        <v>1370</v>
      </c>
      <c r="I1062" s="13">
        <v>15</v>
      </c>
      <c r="J1062" s="15" t="s">
        <v>1414</v>
      </c>
      <c r="K1062" s="15" t="s">
        <v>2706</v>
      </c>
      <c r="L1062" s="16"/>
      <c r="M1062" s="16"/>
      <c r="N1062" s="16"/>
      <c r="O1062" s="16">
        <v>3389.4290000000001</v>
      </c>
      <c r="P1062" s="16">
        <v>1468.0159999999998</v>
      </c>
      <c r="Q1062" s="16">
        <f>SUM(Tabela1[[#This Row],[201805]:[201807]])</f>
        <v>0</v>
      </c>
      <c r="R1062" s="16">
        <f>SUM(Tabela1[[#This Row],[201905]:[201906]])</f>
        <v>4857.4449999999997</v>
      </c>
      <c r="S1062" s="16">
        <v>100000</v>
      </c>
      <c r="T1062" s="16">
        <f>Tabela1[[#This Row],[Total 2019]]-Tabela1[[#This Row],[Total 2018]]</f>
        <v>4857.4449999999997</v>
      </c>
      <c r="U1062" s="40">
        <f>Tabela1[[#This Row],[Total 2019]]/Tabela1[[#This Row],[Meta]]</f>
        <v>4.8574449999999998E-2</v>
      </c>
      <c r="V1062" s="17">
        <f>IFERROR(Tabela1[[#This Row],[Total 2019]]/Tabela1[[#This Row],[Total 2018]]-1,0)</f>
        <v>0</v>
      </c>
      <c r="W106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62" s="48"/>
      <c r="Y1062" s="19"/>
      <c r="Z1062" s="68"/>
    </row>
    <row r="1063" spans="3:26" x14ac:dyDescent="0.35">
      <c r="C1063" s="11" t="s">
        <v>2702</v>
      </c>
      <c r="D1063" s="12" t="s">
        <v>2698</v>
      </c>
      <c r="E1063" s="12">
        <v>1042</v>
      </c>
      <c r="F1063" s="13" t="s">
        <v>2489</v>
      </c>
      <c r="G1063" s="14">
        <v>3</v>
      </c>
      <c r="H1063" s="14" t="s">
        <v>1371</v>
      </c>
      <c r="I1063" s="13">
        <v>5</v>
      </c>
      <c r="J1063" s="15" t="s">
        <v>1404</v>
      </c>
      <c r="K1063" s="15" t="s">
        <v>2707</v>
      </c>
      <c r="L1063" s="16"/>
      <c r="M1063" s="16"/>
      <c r="N1063" s="16"/>
      <c r="O1063" s="16">
        <v>1220.5410000000002</v>
      </c>
      <c r="P1063" s="16">
        <v>7490.9400000000005</v>
      </c>
      <c r="Q1063" s="16">
        <f>SUM(Tabela1[[#This Row],[201805]:[201807]])</f>
        <v>0</v>
      </c>
      <c r="R1063" s="16">
        <f>SUM(Tabela1[[#This Row],[201905]:[201906]])</f>
        <v>8711.4809999999998</v>
      </c>
      <c r="S1063" s="16">
        <v>100000</v>
      </c>
      <c r="T1063" s="16">
        <f>Tabela1[[#This Row],[Total 2019]]-Tabela1[[#This Row],[Total 2018]]</f>
        <v>8711.4809999999998</v>
      </c>
      <c r="U1063" s="40">
        <f>Tabela1[[#This Row],[Total 2019]]/Tabela1[[#This Row],[Meta]]</f>
        <v>8.7114810000000001E-2</v>
      </c>
      <c r="V1063" s="17">
        <f>IFERROR(Tabela1[[#This Row],[Total 2019]]/Tabela1[[#This Row],[Total 2018]]-1,0)</f>
        <v>0</v>
      </c>
      <c r="W106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63" s="48"/>
      <c r="Y1063" s="19"/>
      <c r="Z1063" s="68"/>
    </row>
    <row r="1064" spans="3:26" x14ac:dyDescent="0.35">
      <c r="C1064" s="11" t="s">
        <v>2703</v>
      </c>
      <c r="D1064" s="12" t="s">
        <v>2698</v>
      </c>
      <c r="E1064" s="12">
        <v>1043</v>
      </c>
      <c r="F1064" s="13" t="s">
        <v>2490</v>
      </c>
      <c r="G1064" s="14">
        <v>1</v>
      </c>
      <c r="H1064" s="14" t="s">
        <v>1372</v>
      </c>
      <c r="I1064" s="13">
        <v>25</v>
      </c>
      <c r="J1064" s="15" t="s">
        <v>1424</v>
      </c>
      <c r="K1064" s="15" t="s">
        <v>2708</v>
      </c>
      <c r="L1064" s="16"/>
      <c r="M1064" s="16"/>
      <c r="N1064" s="16"/>
      <c r="O1064" s="16">
        <v>3609.7815000000001</v>
      </c>
      <c r="P1064" s="16">
        <v>1717.847</v>
      </c>
      <c r="Q1064" s="16">
        <f>SUM(Tabela1[[#This Row],[201805]:[201807]])</f>
        <v>0</v>
      </c>
      <c r="R1064" s="16">
        <f>SUM(Tabela1[[#This Row],[201905]:[201906]])</f>
        <v>5327.6284999999998</v>
      </c>
      <c r="S1064" s="16">
        <v>100000</v>
      </c>
      <c r="T1064" s="16">
        <f>Tabela1[[#This Row],[Total 2019]]-Tabela1[[#This Row],[Total 2018]]</f>
        <v>5327.6284999999998</v>
      </c>
      <c r="U1064" s="40">
        <f>Tabela1[[#This Row],[Total 2019]]/Tabela1[[#This Row],[Meta]]</f>
        <v>5.3276285E-2</v>
      </c>
      <c r="V1064" s="17">
        <f>IFERROR(Tabela1[[#This Row],[Total 2019]]/Tabela1[[#This Row],[Total 2018]]-1,0)</f>
        <v>0</v>
      </c>
      <c r="W106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64" s="48"/>
      <c r="Y1064" s="19"/>
      <c r="Z1064" s="68"/>
    </row>
    <row r="1065" spans="3:26" x14ac:dyDescent="0.35">
      <c r="C1065" s="11" t="s">
        <v>2704</v>
      </c>
      <c r="D1065" s="12" t="s">
        <v>2699</v>
      </c>
      <c r="E1065" s="12">
        <v>1044</v>
      </c>
      <c r="F1065" s="13" t="s">
        <v>2491</v>
      </c>
      <c r="G1065" s="14">
        <v>2</v>
      </c>
      <c r="H1065" s="14" t="s">
        <v>1370</v>
      </c>
      <c r="I1065" s="13">
        <v>19</v>
      </c>
      <c r="J1065" s="15" t="s">
        <v>1418</v>
      </c>
      <c r="K1065" s="15" t="s">
        <v>2706</v>
      </c>
      <c r="L1065" s="16"/>
      <c r="M1065" s="16"/>
      <c r="N1065" s="16"/>
      <c r="O1065" s="16">
        <v>2926.7029999999995</v>
      </c>
      <c r="P1065" s="16">
        <v>3518.8189999999995</v>
      </c>
      <c r="Q1065" s="16">
        <f>SUM(Tabela1[[#This Row],[201805]:[201807]])</f>
        <v>0</v>
      </c>
      <c r="R1065" s="16">
        <f>SUM(Tabela1[[#This Row],[201905]:[201906]])</f>
        <v>6445.521999999999</v>
      </c>
      <c r="S1065" s="16">
        <v>100000</v>
      </c>
      <c r="T1065" s="16">
        <f>Tabela1[[#This Row],[Total 2019]]-Tabela1[[#This Row],[Total 2018]]</f>
        <v>6445.521999999999</v>
      </c>
      <c r="U1065" s="40">
        <f>Tabela1[[#This Row],[Total 2019]]/Tabela1[[#This Row],[Meta]]</f>
        <v>6.4455219999999994E-2</v>
      </c>
      <c r="V1065" s="17">
        <f>IFERROR(Tabela1[[#This Row],[Total 2019]]/Tabela1[[#This Row],[Total 2018]]-1,0)</f>
        <v>0</v>
      </c>
      <c r="W106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65" s="48"/>
      <c r="Y1065" s="19"/>
      <c r="Z1065" s="68"/>
    </row>
    <row r="1066" spans="3:26" x14ac:dyDescent="0.35">
      <c r="C1066" s="11" t="s">
        <v>2704</v>
      </c>
      <c r="D1066" s="12" t="s">
        <v>2699</v>
      </c>
      <c r="E1066" s="12">
        <v>1045</v>
      </c>
      <c r="F1066" s="13" t="s">
        <v>2492</v>
      </c>
      <c r="G1066" s="14">
        <v>1</v>
      </c>
      <c r="H1066" s="14" t="s">
        <v>1370</v>
      </c>
      <c r="I1066" s="13">
        <v>8</v>
      </c>
      <c r="J1066" s="15" t="s">
        <v>1407</v>
      </c>
      <c r="K1066" s="15" t="s">
        <v>2706</v>
      </c>
      <c r="L1066" s="16"/>
      <c r="M1066" s="16"/>
      <c r="N1066" s="16"/>
      <c r="O1066" s="16">
        <v>7044.4304999999986</v>
      </c>
      <c r="P1066" s="16">
        <v>4145.780999999999</v>
      </c>
      <c r="Q1066" s="16">
        <f>SUM(Tabela1[[#This Row],[201805]:[201807]])</f>
        <v>0</v>
      </c>
      <c r="R1066" s="16">
        <f>SUM(Tabela1[[#This Row],[201905]:[201906]])</f>
        <v>11190.211499999998</v>
      </c>
      <c r="S1066" s="16">
        <v>100000</v>
      </c>
      <c r="T1066" s="16">
        <f>Tabela1[[#This Row],[Total 2019]]-Tabela1[[#This Row],[Total 2018]]</f>
        <v>11190.211499999998</v>
      </c>
      <c r="U1066" s="40">
        <f>Tabela1[[#This Row],[Total 2019]]/Tabela1[[#This Row],[Meta]]</f>
        <v>0.11190211499999998</v>
      </c>
      <c r="V1066" s="17">
        <f>IFERROR(Tabela1[[#This Row],[Total 2019]]/Tabela1[[#This Row],[Total 2018]]-1,0)</f>
        <v>0</v>
      </c>
      <c r="W106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66" s="48"/>
      <c r="Y1066" s="19"/>
      <c r="Z1066" s="68"/>
    </row>
    <row r="1067" spans="3:26" x14ac:dyDescent="0.35">
      <c r="C1067" s="11" t="s">
        <v>2703</v>
      </c>
      <c r="D1067" s="12" t="s">
        <v>2699</v>
      </c>
      <c r="E1067" s="12">
        <v>1046</v>
      </c>
      <c r="F1067" s="13" t="s">
        <v>2493</v>
      </c>
      <c r="G1067" s="14">
        <v>2</v>
      </c>
      <c r="H1067" s="14" t="s">
        <v>1370</v>
      </c>
      <c r="I1067" s="13">
        <v>1</v>
      </c>
      <c r="J1067" s="15" t="s">
        <v>1400</v>
      </c>
      <c r="K1067" s="15" t="s">
        <v>2706</v>
      </c>
      <c r="L1067" s="16"/>
      <c r="M1067" s="16"/>
      <c r="N1067" s="16"/>
      <c r="O1067" s="16">
        <v>4789.4534999999996</v>
      </c>
      <c r="P1067" s="16">
        <v>3738.3069999999998</v>
      </c>
      <c r="Q1067" s="16">
        <f>SUM(Tabela1[[#This Row],[201805]:[201807]])</f>
        <v>0</v>
      </c>
      <c r="R1067" s="16">
        <f>SUM(Tabela1[[#This Row],[201905]:[201906]])</f>
        <v>8527.7605000000003</v>
      </c>
      <c r="S1067" s="16">
        <v>100000</v>
      </c>
      <c r="T1067" s="16">
        <f>Tabela1[[#This Row],[Total 2019]]-Tabela1[[#This Row],[Total 2018]]</f>
        <v>8527.7605000000003</v>
      </c>
      <c r="U1067" s="40">
        <f>Tabela1[[#This Row],[Total 2019]]/Tabela1[[#This Row],[Meta]]</f>
        <v>8.5277605000000006E-2</v>
      </c>
      <c r="V1067" s="17">
        <f>IFERROR(Tabela1[[#This Row],[Total 2019]]/Tabela1[[#This Row],[Total 2018]]-1,0)</f>
        <v>0</v>
      </c>
      <c r="W106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67" s="48"/>
      <c r="Y1067" s="19"/>
      <c r="Z1067" s="68"/>
    </row>
    <row r="1068" spans="3:26" x14ac:dyDescent="0.35">
      <c r="C1068" s="11" t="s">
        <v>2703</v>
      </c>
      <c r="D1068" s="12" t="s">
        <v>2699</v>
      </c>
      <c r="E1068" s="12">
        <v>1047</v>
      </c>
      <c r="F1068" s="13" t="s">
        <v>2494</v>
      </c>
      <c r="G1068" s="14">
        <v>1</v>
      </c>
      <c r="H1068" s="14" t="s">
        <v>1370</v>
      </c>
      <c r="I1068" s="13">
        <v>8</v>
      </c>
      <c r="J1068" s="15" t="s">
        <v>1407</v>
      </c>
      <c r="K1068" s="15" t="s">
        <v>2706</v>
      </c>
      <c r="L1068" s="16"/>
      <c r="M1068" s="16"/>
      <c r="N1068" s="16"/>
      <c r="O1068" s="16">
        <v>8694.646999999999</v>
      </c>
      <c r="P1068" s="16">
        <v>6477.1949999999997</v>
      </c>
      <c r="Q1068" s="16">
        <f>SUM(Tabela1[[#This Row],[201805]:[201807]])</f>
        <v>0</v>
      </c>
      <c r="R1068" s="16">
        <f>SUM(Tabela1[[#This Row],[201905]:[201906]])</f>
        <v>15171.841999999999</v>
      </c>
      <c r="S1068" s="16">
        <v>100000</v>
      </c>
      <c r="T1068" s="16">
        <f>Tabela1[[#This Row],[Total 2019]]-Tabela1[[#This Row],[Total 2018]]</f>
        <v>15171.841999999999</v>
      </c>
      <c r="U1068" s="40">
        <f>Tabela1[[#This Row],[Total 2019]]/Tabela1[[#This Row],[Meta]]</f>
        <v>0.15171841999999999</v>
      </c>
      <c r="V1068" s="17">
        <f>IFERROR(Tabela1[[#This Row],[Total 2019]]/Tabela1[[#This Row],[Total 2018]]-1,0)</f>
        <v>0</v>
      </c>
      <c r="W106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68" s="48"/>
      <c r="Y1068" s="19"/>
      <c r="Z1068" s="68"/>
    </row>
    <row r="1069" spans="3:26" x14ac:dyDescent="0.35">
      <c r="C1069" s="11" t="s">
        <v>2703</v>
      </c>
      <c r="D1069" s="12" t="s">
        <v>2699</v>
      </c>
      <c r="E1069" s="12">
        <v>1048</v>
      </c>
      <c r="F1069" s="13" t="s">
        <v>2495</v>
      </c>
      <c r="G1069" s="14">
        <v>1</v>
      </c>
      <c r="H1069" s="14" t="s">
        <v>1372</v>
      </c>
      <c r="I1069" s="13">
        <v>21</v>
      </c>
      <c r="J1069" s="15" t="s">
        <v>1420</v>
      </c>
      <c r="K1069" s="15" t="s">
        <v>2708</v>
      </c>
      <c r="L1069" s="16"/>
      <c r="M1069" s="16"/>
      <c r="N1069" s="16"/>
      <c r="O1069" s="16">
        <v>2886.8789999999999</v>
      </c>
      <c r="P1069" s="16"/>
      <c r="Q1069" s="16">
        <f>SUM(Tabela1[[#This Row],[201805]:[201807]])</f>
        <v>0</v>
      </c>
      <c r="R1069" s="16">
        <f>SUM(Tabela1[[#This Row],[201905]:[201906]])</f>
        <v>2886.8789999999999</v>
      </c>
      <c r="S1069" s="16">
        <v>100000</v>
      </c>
      <c r="T1069" s="16">
        <f>Tabela1[[#This Row],[Total 2019]]-Tabela1[[#This Row],[Total 2018]]</f>
        <v>2886.8789999999999</v>
      </c>
      <c r="U1069" s="40">
        <f>Tabela1[[#This Row],[Total 2019]]/Tabela1[[#This Row],[Meta]]</f>
        <v>2.8868789999999998E-2</v>
      </c>
      <c r="V1069" s="17">
        <f>IFERROR(Tabela1[[#This Row],[Total 2019]]/Tabela1[[#This Row],[Total 2018]]-1,0)</f>
        <v>0</v>
      </c>
      <c r="W106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69" s="48"/>
      <c r="Y1069" s="19"/>
      <c r="Z1069" s="68"/>
    </row>
    <row r="1070" spans="3:26" x14ac:dyDescent="0.35">
      <c r="C1070" s="11" t="s">
        <v>2704</v>
      </c>
      <c r="D1070" s="12" t="s">
        <v>2698</v>
      </c>
      <c r="E1070" s="12">
        <v>1049</v>
      </c>
      <c r="F1070" s="13" t="s">
        <v>2496</v>
      </c>
      <c r="G1070" s="14">
        <v>2</v>
      </c>
      <c r="H1070" s="14" t="s">
        <v>1372</v>
      </c>
      <c r="I1070" s="13">
        <v>23</v>
      </c>
      <c r="J1070" s="15" t="s">
        <v>1422</v>
      </c>
      <c r="K1070" s="15" t="s">
        <v>2708</v>
      </c>
      <c r="L1070" s="16"/>
      <c r="M1070" s="16"/>
      <c r="N1070" s="16"/>
      <c r="O1070" s="16">
        <v>1468.396</v>
      </c>
      <c r="P1070" s="16"/>
      <c r="Q1070" s="16">
        <f>SUM(Tabela1[[#This Row],[201805]:[201807]])</f>
        <v>0</v>
      </c>
      <c r="R1070" s="16">
        <f>SUM(Tabela1[[#This Row],[201905]:[201906]])</f>
        <v>1468.396</v>
      </c>
      <c r="S1070" s="16">
        <v>100000</v>
      </c>
      <c r="T1070" s="16">
        <f>Tabela1[[#This Row],[Total 2019]]-Tabela1[[#This Row],[Total 2018]]</f>
        <v>1468.396</v>
      </c>
      <c r="U1070" s="40">
        <f>Tabela1[[#This Row],[Total 2019]]/Tabela1[[#This Row],[Meta]]</f>
        <v>1.4683959999999999E-2</v>
      </c>
      <c r="V1070" s="17">
        <f>IFERROR(Tabela1[[#This Row],[Total 2019]]/Tabela1[[#This Row],[Total 2018]]-1,0)</f>
        <v>0</v>
      </c>
      <c r="W107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70" s="48"/>
      <c r="Y1070" s="19"/>
      <c r="Z1070" s="68"/>
    </row>
    <row r="1071" spans="3:26" x14ac:dyDescent="0.35">
      <c r="C1071" s="11" t="s">
        <v>2702</v>
      </c>
      <c r="D1071" s="12" t="s">
        <v>2699</v>
      </c>
      <c r="E1071" s="12">
        <v>1050</v>
      </c>
      <c r="F1071" s="13" t="s">
        <v>2497</v>
      </c>
      <c r="G1071" s="14">
        <v>3</v>
      </c>
      <c r="H1071" s="14" t="s">
        <v>1372</v>
      </c>
      <c r="I1071" s="13">
        <v>25</v>
      </c>
      <c r="J1071" s="15" t="s">
        <v>1424</v>
      </c>
      <c r="K1071" s="15" t="s">
        <v>2708</v>
      </c>
      <c r="L1071" s="16"/>
      <c r="M1071" s="16"/>
      <c r="N1071" s="16"/>
      <c r="O1071" s="16">
        <v>4242.32</v>
      </c>
      <c r="P1071" s="16">
        <v>1325.7629999999999</v>
      </c>
      <c r="Q1071" s="16">
        <f>SUM(Tabela1[[#This Row],[201805]:[201807]])</f>
        <v>0</v>
      </c>
      <c r="R1071" s="16">
        <f>SUM(Tabela1[[#This Row],[201905]:[201906]])</f>
        <v>5568.0829999999996</v>
      </c>
      <c r="S1071" s="16">
        <v>100000</v>
      </c>
      <c r="T1071" s="16">
        <f>Tabela1[[#This Row],[Total 2019]]-Tabela1[[#This Row],[Total 2018]]</f>
        <v>5568.0829999999996</v>
      </c>
      <c r="U1071" s="40">
        <f>Tabela1[[#This Row],[Total 2019]]/Tabela1[[#This Row],[Meta]]</f>
        <v>5.5680829999999994E-2</v>
      </c>
      <c r="V1071" s="17">
        <f>IFERROR(Tabela1[[#This Row],[Total 2019]]/Tabela1[[#This Row],[Total 2018]]-1,0)</f>
        <v>0</v>
      </c>
      <c r="W107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71" s="48"/>
      <c r="Y1071" s="19"/>
      <c r="Z1071" s="68"/>
    </row>
    <row r="1072" spans="3:26" x14ac:dyDescent="0.35">
      <c r="C1072" s="11" t="s">
        <v>2703</v>
      </c>
      <c r="D1072" s="12" t="s">
        <v>2700</v>
      </c>
      <c r="E1072" s="12">
        <v>1051</v>
      </c>
      <c r="F1072" s="13" t="s">
        <v>2498</v>
      </c>
      <c r="G1072" s="14">
        <v>2</v>
      </c>
      <c r="H1072" s="14" t="s">
        <v>1370</v>
      </c>
      <c r="I1072" s="13">
        <v>32</v>
      </c>
      <c r="J1072" s="15" t="s">
        <v>1431</v>
      </c>
      <c r="K1072" s="15" t="s">
        <v>2706</v>
      </c>
      <c r="L1072" s="16"/>
      <c r="M1072" s="16"/>
      <c r="N1072" s="16"/>
      <c r="O1072" s="16">
        <v>2871.5934999999999</v>
      </c>
      <c r="P1072" s="16">
        <v>6353.3149999999996</v>
      </c>
      <c r="Q1072" s="16">
        <f>SUM(Tabela1[[#This Row],[201805]:[201807]])</f>
        <v>0</v>
      </c>
      <c r="R1072" s="16">
        <f>SUM(Tabela1[[#This Row],[201905]:[201906]])</f>
        <v>9224.9084999999995</v>
      </c>
      <c r="S1072" s="16">
        <v>100000</v>
      </c>
      <c r="T1072" s="16">
        <f>Tabela1[[#This Row],[Total 2019]]-Tabela1[[#This Row],[Total 2018]]</f>
        <v>9224.9084999999995</v>
      </c>
      <c r="U1072" s="40">
        <f>Tabela1[[#This Row],[Total 2019]]/Tabela1[[#This Row],[Meta]]</f>
        <v>9.2249084999999995E-2</v>
      </c>
      <c r="V1072" s="17">
        <f>IFERROR(Tabela1[[#This Row],[Total 2019]]/Tabela1[[#This Row],[Total 2018]]-1,0)</f>
        <v>0</v>
      </c>
      <c r="W107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72" s="48"/>
      <c r="Y1072" s="19"/>
      <c r="Z1072" s="68"/>
    </row>
    <row r="1073" spans="3:26" x14ac:dyDescent="0.35">
      <c r="C1073" s="11" t="s">
        <v>2704</v>
      </c>
      <c r="D1073" s="12" t="s">
        <v>2699</v>
      </c>
      <c r="E1073" s="12">
        <v>1052</v>
      </c>
      <c r="F1073" s="13" t="s">
        <v>2499</v>
      </c>
      <c r="G1073" s="14">
        <v>1</v>
      </c>
      <c r="H1073" s="14" t="s">
        <v>1370</v>
      </c>
      <c r="I1073" s="13">
        <v>8</v>
      </c>
      <c r="J1073" s="15" t="s">
        <v>1407</v>
      </c>
      <c r="K1073" s="15" t="s">
        <v>2706</v>
      </c>
      <c r="L1073" s="16"/>
      <c r="M1073" s="16"/>
      <c r="N1073" s="16"/>
      <c r="O1073" s="16">
        <v>9631.9549999999981</v>
      </c>
      <c r="P1073" s="16">
        <v>5891.5010000000002</v>
      </c>
      <c r="Q1073" s="16">
        <f>SUM(Tabela1[[#This Row],[201805]:[201807]])</f>
        <v>0</v>
      </c>
      <c r="R1073" s="16">
        <f>SUM(Tabela1[[#This Row],[201905]:[201906]])</f>
        <v>15523.455999999998</v>
      </c>
      <c r="S1073" s="16">
        <v>100000</v>
      </c>
      <c r="T1073" s="16">
        <f>Tabela1[[#This Row],[Total 2019]]-Tabela1[[#This Row],[Total 2018]]</f>
        <v>15523.455999999998</v>
      </c>
      <c r="U1073" s="40">
        <f>Tabela1[[#This Row],[Total 2019]]/Tabela1[[#This Row],[Meta]]</f>
        <v>0.15523455999999999</v>
      </c>
      <c r="V1073" s="17">
        <f>IFERROR(Tabela1[[#This Row],[Total 2019]]/Tabela1[[#This Row],[Total 2018]]-1,0)</f>
        <v>0</v>
      </c>
      <c r="W107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73" s="48"/>
      <c r="Y1073" s="19"/>
      <c r="Z1073" s="68"/>
    </row>
    <row r="1074" spans="3:26" x14ac:dyDescent="0.35">
      <c r="C1074" s="11" t="s">
        <v>2704</v>
      </c>
      <c r="D1074" s="12" t="s">
        <v>2700</v>
      </c>
      <c r="E1074" s="12">
        <v>1053</v>
      </c>
      <c r="F1074" s="13" t="s">
        <v>2500</v>
      </c>
      <c r="G1074" s="14">
        <v>2</v>
      </c>
      <c r="H1074" s="14" t="s">
        <v>1370</v>
      </c>
      <c r="I1074" s="13">
        <v>8</v>
      </c>
      <c r="J1074" s="15" t="s">
        <v>1407</v>
      </c>
      <c r="K1074" s="15" t="s">
        <v>2706</v>
      </c>
      <c r="L1074" s="16"/>
      <c r="M1074" s="16"/>
      <c r="N1074" s="16"/>
      <c r="O1074" s="16">
        <v>12767.458500000001</v>
      </c>
      <c r="P1074" s="16">
        <v>8430.6324999999997</v>
      </c>
      <c r="Q1074" s="16">
        <f>SUM(Tabela1[[#This Row],[201805]:[201807]])</f>
        <v>0</v>
      </c>
      <c r="R1074" s="16">
        <f>SUM(Tabela1[[#This Row],[201905]:[201906]])</f>
        <v>21198.091</v>
      </c>
      <c r="S1074" s="16">
        <v>100000</v>
      </c>
      <c r="T1074" s="16">
        <f>Tabela1[[#This Row],[Total 2019]]-Tabela1[[#This Row],[Total 2018]]</f>
        <v>21198.091</v>
      </c>
      <c r="U1074" s="40">
        <f>Tabela1[[#This Row],[Total 2019]]/Tabela1[[#This Row],[Meta]]</f>
        <v>0.21198090999999999</v>
      </c>
      <c r="V1074" s="17">
        <f>IFERROR(Tabela1[[#This Row],[Total 2019]]/Tabela1[[#This Row],[Total 2018]]-1,0)</f>
        <v>0</v>
      </c>
      <c r="W107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74" s="48"/>
      <c r="Y1074" s="19"/>
      <c r="Z1074" s="68"/>
    </row>
    <row r="1075" spans="3:26" x14ac:dyDescent="0.35">
      <c r="C1075" s="11" t="s">
        <v>2703</v>
      </c>
      <c r="D1075" s="12" t="s">
        <v>2700</v>
      </c>
      <c r="E1075" s="12">
        <v>1054</v>
      </c>
      <c r="F1075" s="13" t="s">
        <v>2501</v>
      </c>
      <c r="G1075" s="14">
        <v>1</v>
      </c>
      <c r="H1075" s="14" t="s">
        <v>1372</v>
      </c>
      <c r="I1075" s="13">
        <v>20</v>
      </c>
      <c r="J1075" s="15" t="s">
        <v>1419</v>
      </c>
      <c r="K1075" s="15" t="s">
        <v>2708</v>
      </c>
      <c r="L1075" s="16"/>
      <c r="M1075" s="16"/>
      <c r="N1075" s="16"/>
      <c r="O1075" s="16">
        <v>2370.7534999999998</v>
      </c>
      <c r="P1075" s="16"/>
      <c r="Q1075" s="16">
        <f>SUM(Tabela1[[#This Row],[201805]:[201807]])</f>
        <v>0</v>
      </c>
      <c r="R1075" s="16">
        <f>SUM(Tabela1[[#This Row],[201905]:[201906]])</f>
        <v>2370.7534999999998</v>
      </c>
      <c r="S1075" s="16">
        <v>100000</v>
      </c>
      <c r="T1075" s="16">
        <f>Tabela1[[#This Row],[Total 2019]]-Tabela1[[#This Row],[Total 2018]]</f>
        <v>2370.7534999999998</v>
      </c>
      <c r="U1075" s="40">
        <f>Tabela1[[#This Row],[Total 2019]]/Tabela1[[#This Row],[Meta]]</f>
        <v>2.3707534999999998E-2</v>
      </c>
      <c r="V1075" s="17">
        <f>IFERROR(Tabela1[[#This Row],[Total 2019]]/Tabela1[[#This Row],[Total 2018]]-1,0)</f>
        <v>0</v>
      </c>
      <c r="W107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75" s="48"/>
      <c r="Y1075" s="19"/>
      <c r="Z1075" s="68"/>
    </row>
    <row r="1076" spans="3:26" x14ac:dyDescent="0.35">
      <c r="C1076" s="11" t="s">
        <v>2702</v>
      </c>
      <c r="D1076" s="12" t="s">
        <v>2698</v>
      </c>
      <c r="E1076" s="12">
        <v>1055</v>
      </c>
      <c r="F1076" s="13" t="s">
        <v>2502</v>
      </c>
      <c r="G1076" s="14">
        <v>1</v>
      </c>
      <c r="H1076" s="14" t="s">
        <v>1371</v>
      </c>
      <c r="I1076" s="13">
        <v>24</v>
      </c>
      <c r="J1076" s="15" t="s">
        <v>1423</v>
      </c>
      <c r="K1076" s="15" t="s">
        <v>2707</v>
      </c>
      <c r="L1076" s="16"/>
      <c r="M1076" s="16"/>
      <c r="N1076" s="16"/>
      <c r="O1076" s="16">
        <v>11026.887499999999</v>
      </c>
      <c r="P1076" s="16"/>
      <c r="Q1076" s="16">
        <f>SUM(Tabela1[[#This Row],[201805]:[201807]])</f>
        <v>0</v>
      </c>
      <c r="R1076" s="16">
        <f>SUM(Tabela1[[#This Row],[201905]:[201906]])</f>
        <v>11026.887499999999</v>
      </c>
      <c r="S1076" s="16">
        <v>100000</v>
      </c>
      <c r="T1076" s="16">
        <f>Tabela1[[#This Row],[Total 2019]]-Tabela1[[#This Row],[Total 2018]]</f>
        <v>11026.887499999999</v>
      </c>
      <c r="U1076" s="40">
        <f>Tabela1[[#This Row],[Total 2019]]/Tabela1[[#This Row],[Meta]]</f>
        <v>0.11026887499999999</v>
      </c>
      <c r="V1076" s="17">
        <f>IFERROR(Tabela1[[#This Row],[Total 2019]]/Tabela1[[#This Row],[Total 2018]]-1,0)</f>
        <v>0</v>
      </c>
      <c r="W107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76" s="48"/>
      <c r="Y1076" s="19"/>
      <c r="Z1076" s="68"/>
    </row>
    <row r="1077" spans="3:26" x14ac:dyDescent="0.35">
      <c r="C1077" s="11" t="s">
        <v>2702</v>
      </c>
      <c r="D1077" s="12" t="s">
        <v>2698</v>
      </c>
      <c r="E1077" s="12">
        <v>1056</v>
      </c>
      <c r="F1077" s="13" t="s">
        <v>2503</v>
      </c>
      <c r="G1077" s="14">
        <v>2</v>
      </c>
      <c r="H1077" s="14" t="s">
        <v>1372</v>
      </c>
      <c r="I1077" s="13">
        <v>25</v>
      </c>
      <c r="J1077" s="15" t="s">
        <v>1424</v>
      </c>
      <c r="K1077" s="15" t="s">
        <v>2708</v>
      </c>
      <c r="L1077" s="16"/>
      <c r="M1077" s="16"/>
      <c r="N1077" s="16"/>
      <c r="O1077" s="16">
        <v>1659.0609999999997</v>
      </c>
      <c r="P1077" s="16"/>
      <c r="Q1077" s="16">
        <f>SUM(Tabela1[[#This Row],[201805]:[201807]])</f>
        <v>0</v>
      </c>
      <c r="R1077" s="16">
        <f>SUM(Tabela1[[#This Row],[201905]:[201906]])</f>
        <v>1659.0609999999997</v>
      </c>
      <c r="S1077" s="16">
        <v>100000</v>
      </c>
      <c r="T1077" s="16">
        <f>Tabela1[[#This Row],[Total 2019]]-Tabela1[[#This Row],[Total 2018]]</f>
        <v>1659.0609999999997</v>
      </c>
      <c r="U1077" s="40">
        <f>Tabela1[[#This Row],[Total 2019]]/Tabela1[[#This Row],[Meta]]</f>
        <v>1.6590609999999995E-2</v>
      </c>
      <c r="V1077" s="17">
        <f>IFERROR(Tabela1[[#This Row],[Total 2019]]/Tabela1[[#This Row],[Total 2018]]-1,0)</f>
        <v>0</v>
      </c>
      <c r="W107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77" s="48"/>
      <c r="Y1077" s="19"/>
      <c r="Z1077" s="68"/>
    </row>
    <row r="1078" spans="3:26" x14ac:dyDescent="0.35">
      <c r="C1078" s="11" t="s">
        <v>2703</v>
      </c>
      <c r="D1078" s="12" t="s">
        <v>2698</v>
      </c>
      <c r="E1078" s="12">
        <v>1057</v>
      </c>
      <c r="F1078" s="13" t="s">
        <v>2504</v>
      </c>
      <c r="G1078" s="14">
        <v>1</v>
      </c>
      <c r="H1078" s="14" t="s">
        <v>1371</v>
      </c>
      <c r="I1078" s="13">
        <v>5</v>
      </c>
      <c r="J1078" s="15" t="s">
        <v>1404</v>
      </c>
      <c r="K1078" s="15" t="s">
        <v>2707</v>
      </c>
      <c r="L1078" s="16"/>
      <c r="M1078" s="16"/>
      <c r="N1078" s="16"/>
      <c r="O1078" s="16">
        <v>1121.6364999999998</v>
      </c>
      <c r="P1078" s="16">
        <v>10863.943499999999</v>
      </c>
      <c r="Q1078" s="16">
        <f>SUM(Tabela1[[#This Row],[201805]:[201807]])</f>
        <v>0</v>
      </c>
      <c r="R1078" s="16">
        <f>SUM(Tabela1[[#This Row],[201905]:[201906]])</f>
        <v>11985.58</v>
      </c>
      <c r="S1078" s="16">
        <v>100000</v>
      </c>
      <c r="T1078" s="16">
        <f>Tabela1[[#This Row],[Total 2019]]-Tabela1[[#This Row],[Total 2018]]</f>
        <v>11985.58</v>
      </c>
      <c r="U1078" s="40">
        <f>Tabela1[[#This Row],[Total 2019]]/Tabela1[[#This Row],[Meta]]</f>
        <v>0.1198558</v>
      </c>
      <c r="V1078" s="17">
        <f>IFERROR(Tabela1[[#This Row],[Total 2019]]/Tabela1[[#This Row],[Total 2018]]-1,0)</f>
        <v>0</v>
      </c>
      <c r="W107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78" s="48"/>
      <c r="Y1078" s="19"/>
      <c r="Z1078" s="68"/>
    </row>
    <row r="1079" spans="3:26" x14ac:dyDescent="0.35">
      <c r="C1079" s="11" t="s">
        <v>2702</v>
      </c>
      <c r="D1079" s="12" t="s">
        <v>2700</v>
      </c>
      <c r="E1079" s="12">
        <v>1058</v>
      </c>
      <c r="F1079" s="13" t="s">
        <v>2505</v>
      </c>
      <c r="G1079" s="14">
        <v>1</v>
      </c>
      <c r="H1079" s="14" t="s">
        <v>1370</v>
      </c>
      <c r="I1079" s="13">
        <v>33</v>
      </c>
      <c r="J1079" s="15" t="s">
        <v>1432</v>
      </c>
      <c r="K1079" s="15" t="s">
        <v>2706</v>
      </c>
      <c r="L1079" s="16"/>
      <c r="M1079" s="16"/>
      <c r="N1079" s="16"/>
      <c r="O1079" s="16">
        <v>2904.4349999999999</v>
      </c>
      <c r="P1079" s="16">
        <v>4713.6814999999997</v>
      </c>
      <c r="Q1079" s="16">
        <f>SUM(Tabela1[[#This Row],[201805]:[201807]])</f>
        <v>0</v>
      </c>
      <c r="R1079" s="16">
        <f>SUM(Tabela1[[#This Row],[201905]:[201906]])</f>
        <v>7618.1165000000001</v>
      </c>
      <c r="S1079" s="16">
        <v>100000</v>
      </c>
      <c r="T1079" s="16">
        <f>Tabela1[[#This Row],[Total 2019]]-Tabela1[[#This Row],[Total 2018]]</f>
        <v>7618.1165000000001</v>
      </c>
      <c r="U1079" s="40">
        <f>Tabela1[[#This Row],[Total 2019]]/Tabela1[[#This Row],[Meta]]</f>
        <v>7.6181164999999995E-2</v>
      </c>
      <c r="V1079" s="17">
        <f>IFERROR(Tabela1[[#This Row],[Total 2019]]/Tabela1[[#This Row],[Total 2018]]-1,0)</f>
        <v>0</v>
      </c>
      <c r="W107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79" s="48"/>
      <c r="Y1079" s="19"/>
      <c r="Z1079" s="68"/>
    </row>
    <row r="1080" spans="3:26" x14ac:dyDescent="0.35">
      <c r="C1080" s="11" t="s">
        <v>2704</v>
      </c>
      <c r="D1080" s="12" t="s">
        <v>2700</v>
      </c>
      <c r="E1080" s="12">
        <v>1059</v>
      </c>
      <c r="F1080" s="13" t="s">
        <v>2506</v>
      </c>
      <c r="G1080" s="14">
        <v>2</v>
      </c>
      <c r="H1080" s="14" t="s">
        <v>1370</v>
      </c>
      <c r="I1080" s="13">
        <v>8</v>
      </c>
      <c r="J1080" s="15" t="s">
        <v>1407</v>
      </c>
      <c r="K1080" s="15" t="s">
        <v>2706</v>
      </c>
      <c r="L1080" s="16"/>
      <c r="M1080" s="16"/>
      <c r="N1080" s="16"/>
      <c r="O1080" s="16">
        <v>4854.6709999999994</v>
      </c>
      <c r="P1080" s="16">
        <v>4532.9534999999996</v>
      </c>
      <c r="Q1080" s="16">
        <f>SUM(Tabela1[[#This Row],[201805]:[201807]])</f>
        <v>0</v>
      </c>
      <c r="R1080" s="16">
        <f>SUM(Tabela1[[#This Row],[201905]:[201906]])</f>
        <v>9387.6244999999981</v>
      </c>
      <c r="S1080" s="16">
        <v>100000</v>
      </c>
      <c r="T1080" s="16">
        <f>Tabela1[[#This Row],[Total 2019]]-Tabela1[[#This Row],[Total 2018]]</f>
        <v>9387.6244999999981</v>
      </c>
      <c r="U1080" s="40">
        <f>Tabela1[[#This Row],[Total 2019]]/Tabela1[[#This Row],[Meta]]</f>
        <v>9.3876244999999983E-2</v>
      </c>
      <c r="V1080" s="17">
        <f>IFERROR(Tabela1[[#This Row],[Total 2019]]/Tabela1[[#This Row],[Total 2018]]-1,0)</f>
        <v>0</v>
      </c>
      <c r="W108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80" s="48"/>
      <c r="Y1080" s="19"/>
      <c r="Z1080" s="68"/>
    </row>
    <row r="1081" spans="3:26" x14ac:dyDescent="0.35">
      <c r="C1081" s="11" t="s">
        <v>2702</v>
      </c>
      <c r="D1081" s="12" t="s">
        <v>2700</v>
      </c>
      <c r="E1081" s="12">
        <v>1060</v>
      </c>
      <c r="F1081" s="13" t="s">
        <v>2507</v>
      </c>
      <c r="G1081" s="14">
        <v>1</v>
      </c>
      <c r="H1081" s="14" t="s">
        <v>1371</v>
      </c>
      <c r="I1081" s="13">
        <v>14</v>
      </c>
      <c r="J1081" s="15" t="s">
        <v>1413</v>
      </c>
      <c r="K1081" s="15" t="s">
        <v>2707</v>
      </c>
      <c r="L1081" s="16"/>
      <c r="M1081" s="16"/>
      <c r="N1081" s="16"/>
      <c r="O1081" s="16">
        <v>189.17349999999999</v>
      </c>
      <c r="P1081" s="16">
        <v>2223.9214999999995</v>
      </c>
      <c r="Q1081" s="16">
        <f>SUM(Tabela1[[#This Row],[201805]:[201807]])</f>
        <v>0</v>
      </c>
      <c r="R1081" s="16">
        <f>SUM(Tabela1[[#This Row],[201905]:[201906]])</f>
        <v>2413.0949999999993</v>
      </c>
      <c r="S1081" s="16">
        <v>100000</v>
      </c>
      <c r="T1081" s="16">
        <f>Tabela1[[#This Row],[Total 2019]]-Tabela1[[#This Row],[Total 2018]]</f>
        <v>2413.0949999999993</v>
      </c>
      <c r="U1081" s="40">
        <f>Tabela1[[#This Row],[Total 2019]]/Tabela1[[#This Row],[Meta]]</f>
        <v>2.4130949999999995E-2</v>
      </c>
      <c r="V1081" s="17">
        <f>IFERROR(Tabela1[[#This Row],[Total 2019]]/Tabela1[[#This Row],[Total 2018]]-1,0)</f>
        <v>0</v>
      </c>
      <c r="W108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81" s="48"/>
      <c r="Y1081" s="19"/>
      <c r="Z1081" s="68"/>
    </row>
    <row r="1082" spans="3:26" x14ac:dyDescent="0.35">
      <c r="C1082" s="11" t="s">
        <v>2704</v>
      </c>
      <c r="D1082" s="12" t="s">
        <v>2698</v>
      </c>
      <c r="E1082" s="12">
        <v>1061</v>
      </c>
      <c r="F1082" s="13" t="s">
        <v>2508</v>
      </c>
      <c r="G1082" s="14">
        <v>1</v>
      </c>
      <c r="H1082" s="14" t="s">
        <v>1370</v>
      </c>
      <c r="I1082" s="13">
        <v>19</v>
      </c>
      <c r="J1082" s="15" t="s">
        <v>1418</v>
      </c>
      <c r="K1082" s="15" t="s">
        <v>2706</v>
      </c>
      <c r="L1082" s="16"/>
      <c r="M1082" s="16"/>
      <c r="N1082" s="16"/>
      <c r="O1082" s="16">
        <v>7718.6169999999993</v>
      </c>
      <c r="P1082" s="16">
        <v>3966.8960000000002</v>
      </c>
      <c r="Q1082" s="16">
        <f>SUM(Tabela1[[#This Row],[201805]:[201807]])</f>
        <v>0</v>
      </c>
      <c r="R1082" s="16">
        <f>SUM(Tabela1[[#This Row],[201905]:[201906]])</f>
        <v>11685.512999999999</v>
      </c>
      <c r="S1082" s="16">
        <v>100000</v>
      </c>
      <c r="T1082" s="16">
        <f>Tabela1[[#This Row],[Total 2019]]-Tabela1[[#This Row],[Total 2018]]</f>
        <v>11685.512999999999</v>
      </c>
      <c r="U1082" s="40">
        <f>Tabela1[[#This Row],[Total 2019]]/Tabela1[[#This Row],[Meta]]</f>
        <v>0.11685512999999999</v>
      </c>
      <c r="V1082" s="17">
        <f>IFERROR(Tabela1[[#This Row],[Total 2019]]/Tabela1[[#This Row],[Total 2018]]-1,0)</f>
        <v>0</v>
      </c>
      <c r="W108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82" s="48"/>
      <c r="Y1082" s="19"/>
      <c r="Z1082" s="68"/>
    </row>
    <row r="1083" spans="3:26" x14ac:dyDescent="0.35">
      <c r="C1083" s="11" t="s">
        <v>2704</v>
      </c>
      <c r="D1083" s="12" t="s">
        <v>2699</v>
      </c>
      <c r="E1083" s="12">
        <v>1062</v>
      </c>
      <c r="F1083" s="13" t="s">
        <v>2509</v>
      </c>
      <c r="G1083" s="14">
        <v>2</v>
      </c>
      <c r="H1083" s="14" t="s">
        <v>1370</v>
      </c>
      <c r="I1083" s="13">
        <v>15</v>
      </c>
      <c r="J1083" s="15" t="s">
        <v>1414</v>
      </c>
      <c r="K1083" s="15" t="s">
        <v>2706</v>
      </c>
      <c r="L1083" s="16"/>
      <c r="M1083" s="16"/>
      <c r="N1083" s="16"/>
      <c r="O1083" s="16">
        <v>13867.643999999998</v>
      </c>
      <c r="P1083" s="16">
        <v>8097.5910000000003</v>
      </c>
      <c r="Q1083" s="16">
        <f>SUM(Tabela1[[#This Row],[201805]:[201807]])</f>
        <v>0</v>
      </c>
      <c r="R1083" s="16">
        <f>SUM(Tabela1[[#This Row],[201905]:[201906]])</f>
        <v>21965.235000000001</v>
      </c>
      <c r="S1083" s="16">
        <v>100000</v>
      </c>
      <c r="T1083" s="16">
        <f>Tabela1[[#This Row],[Total 2019]]-Tabela1[[#This Row],[Total 2018]]</f>
        <v>21965.235000000001</v>
      </c>
      <c r="U1083" s="40">
        <f>Tabela1[[#This Row],[Total 2019]]/Tabela1[[#This Row],[Meta]]</f>
        <v>0.21965235</v>
      </c>
      <c r="V1083" s="17">
        <f>IFERROR(Tabela1[[#This Row],[Total 2019]]/Tabela1[[#This Row],[Total 2018]]-1,0)</f>
        <v>0</v>
      </c>
      <c r="W108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83" s="48"/>
      <c r="Y1083" s="19"/>
      <c r="Z1083" s="68"/>
    </row>
    <row r="1084" spans="3:26" x14ac:dyDescent="0.35">
      <c r="C1084" s="11" t="s">
        <v>2702</v>
      </c>
      <c r="D1084" s="12" t="s">
        <v>2699</v>
      </c>
      <c r="E1084" s="12">
        <v>1063</v>
      </c>
      <c r="F1084" s="13" t="s">
        <v>2510</v>
      </c>
      <c r="G1084" s="14">
        <v>2</v>
      </c>
      <c r="H1084" s="14" t="s">
        <v>1372</v>
      </c>
      <c r="I1084" s="13">
        <v>6</v>
      </c>
      <c r="J1084" s="15" t="s">
        <v>1405</v>
      </c>
      <c r="K1084" s="15" t="s">
        <v>2708</v>
      </c>
      <c r="L1084" s="16"/>
      <c r="M1084" s="16"/>
      <c r="N1084" s="16"/>
      <c r="O1084" s="16">
        <v>7881.8839999999991</v>
      </c>
      <c r="P1084" s="16">
        <v>5534.1679999999997</v>
      </c>
      <c r="Q1084" s="16">
        <f>SUM(Tabela1[[#This Row],[201805]:[201807]])</f>
        <v>0</v>
      </c>
      <c r="R1084" s="16">
        <f>SUM(Tabela1[[#This Row],[201905]:[201906]])</f>
        <v>13416.052</v>
      </c>
      <c r="S1084" s="16">
        <v>100000</v>
      </c>
      <c r="T1084" s="16">
        <f>Tabela1[[#This Row],[Total 2019]]-Tabela1[[#This Row],[Total 2018]]</f>
        <v>13416.052</v>
      </c>
      <c r="U1084" s="40">
        <f>Tabela1[[#This Row],[Total 2019]]/Tabela1[[#This Row],[Meta]]</f>
        <v>0.13416052000000001</v>
      </c>
      <c r="V1084" s="17">
        <f>IFERROR(Tabela1[[#This Row],[Total 2019]]/Tabela1[[#This Row],[Total 2018]]-1,0)</f>
        <v>0</v>
      </c>
      <c r="W108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84" s="48"/>
      <c r="Y1084" s="19"/>
      <c r="Z1084" s="68"/>
    </row>
    <row r="1085" spans="3:26" x14ac:dyDescent="0.35">
      <c r="C1085" s="11" t="s">
        <v>2704</v>
      </c>
      <c r="D1085" s="12" t="s">
        <v>2700</v>
      </c>
      <c r="E1085" s="12">
        <v>1064</v>
      </c>
      <c r="F1085" s="13" t="s">
        <v>2511</v>
      </c>
      <c r="G1085" s="14">
        <v>2</v>
      </c>
      <c r="H1085" s="14" t="s">
        <v>1370</v>
      </c>
      <c r="I1085" s="13">
        <v>19</v>
      </c>
      <c r="J1085" s="15" t="s">
        <v>1418</v>
      </c>
      <c r="K1085" s="15" t="s">
        <v>2706</v>
      </c>
      <c r="L1085" s="16"/>
      <c r="M1085" s="16"/>
      <c r="N1085" s="16"/>
      <c r="O1085" s="16">
        <v>12323.229000000001</v>
      </c>
      <c r="P1085" s="16"/>
      <c r="Q1085" s="16">
        <f>SUM(Tabela1[[#This Row],[201805]:[201807]])</f>
        <v>0</v>
      </c>
      <c r="R1085" s="16">
        <f>SUM(Tabela1[[#This Row],[201905]:[201906]])</f>
        <v>12323.229000000001</v>
      </c>
      <c r="S1085" s="16">
        <v>100000</v>
      </c>
      <c r="T1085" s="16">
        <f>Tabela1[[#This Row],[Total 2019]]-Tabela1[[#This Row],[Total 2018]]</f>
        <v>12323.229000000001</v>
      </c>
      <c r="U1085" s="40">
        <f>Tabela1[[#This Row],[Total 2019]]/Tabela1[[#This Row],[Meta]]</f>
        <v>0.12323229000000001</v>
      </c>
      <c r="V1085" s="17">
        <f>IFERROR(Tabela1[[#This Row],[Total 2019]]/Tabela1[[#This Row],[Total 2018]]-1,0)</f>
        <v>0</v>
      </c>
      <c r="W108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85" s="48"/>
      <c r="Y1085" s="19"/>
      <c r="Z1085" s="68"/>
    </row>
    <row r="1086" spans="3:26" x14ac:dyDescent="0.35">
      <c r="C1086" s="11" t="s">
        <v>2703</v>
      </c>
      <c r="D1086" s="12" t="s">
        <v>2698</v>
      </c>
      <c r="E1086" s="12">
        <v>1065</v>
      </c>
      <c r="F1086" s="13" t="s">
        <v>2512</v>
      </c>
      <c r="G1086" s="14">
        <v>1</v>
      </c>
      <c r="H1086" s="14" t="s">
        <v>1372</v>
      </c>
      <c r="I1086" s="13">
        <v>18</v>
      </c>
      <c r="J1086" s="15" t="s">
        <v>1417</v>
      </c>
      <c r="K1086" s="15" t="s">
        <v>2708</v>
      </c>
      <c r="L1086" s="16"/>
      <c r="M1086" s="16"/>
      <c r="N1086" s="16"/>
      <c r="O1086" s="16">
        <v>7121.2665000000006</v>
      </c>
      <c r="P1086" s="16"/>
      <c r="Q1086" s="16">
        <f>SUM(Tabela1[[#This Row],[201805]:[201807]])</f>
        <v>0</v>
      </c>
      <c r="R1086" s="16">
        <f>SUM(Tabela1[[#This Row],[201905]:[201906]])</f>
        <v>7121.2665000000006</v>
      </c>
      <c r="S1086" s="16">
        <v>100000</v>
      </c>
      <c r="T1086" s="16">
        <f>Tabela1[[#This Row],[Total 2019]]-Tabela1[[#This Row],[Total 2018]]</f>
        <v>7121.2665000000006</v>
      </c>
      <c r="U1086" s="40">
        <f>Tabela1[[#This Row],[Total 2019]]/Tabela1[[#This Row],[Meta]]</f>
        <v>7.1212665000000008E-2</v>
      </c>
      <c r="V1086" s="17">
        <f>IFERROR(Tabela1[[#This Row],[Total 2019]]/Tabela1[[#This Row],[Total 2018]]-1,0)</f>
        <v>0</v>
      </c>
      <c r="W108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86" s="48"/>
      <c r="Y1086" s="19"/>
      <c r="Z1086" s="68"/>
    </row>
    <row r="1087" spans="3:26" x14ac:dyDescent="0.35">
      <c r="C1087" s="11" t="s">
        <v>2702</v>
      </c>
      <c r="D1087" s="12" t="s">
        <v>2699</v>
      </c>
      <c r="E1087" s="12">
        <v>1066</v>
      </c>
      <c r="F1087" s="13" t="s">
        <v>2513</v>
      </c>
      <c r="G1087" s="14">
        <v>3</v>
      </c>
      <c r="H1087" s="14" t="s">
        <v>1372</v>
      </c>
      <c r="I1087" s="13">
        <v>18</v>
      </c>
      <c r="J1087" s="15" t="s">
        <v>1417</v>
      </c>
      <c r="K1087" s="15" t="s">
        <v>2708</v>
      </c>
      <c r="L1087" s="16"/>
      <c r="M1087" s="16"/>
      <c r="N1087" s="16"/>
      <c r="O1087" s="16">
        <v>11376.098000000002</v>
      </c>
      <c r="P1087" s="16">
        <v>4997.5225</v>
      </c>
      <c r="Q1087" s="16">
        <f>SUM(Tabela1[[#This Row],[201805]:[201807]])</f>
        <v>0</v>
      </c>
      <c r="R1087" s="16">
        <f>SUM(Tabela1[[#This Row],[201905]:[201906]])</f>
        <v>16373.620500000001</v>
      </c>
      <c r="S1087" s="16">
        <v>100000</v>
      </c>
      <c r="T1087" s="16">
        <f>Tabela1[[#This Row],[Total 2019]]-Tabela1[[#This Row],[Total 2018]]</f>
        <v>16373.620500000001</v>
      </c>
      <c r="U1087" s="40">
        <f>Tabela1[[#This Row],[Total 2019]]/Tabela1[[#This Row],[Meta]]</f>
        <v>0.163736205</v>
      </c>
      <c r="V1087" s="17">
        <f>IFERROR(Tabela1[[#This Row],[Total 2019]]/Tabela1[[#This Row],[Total 2018]]-1,0)</f>
        <v>0</v>
      </c>
      <c r="W108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087" s="48"/>
      <c r="Y1087" s="19"/>
      <c r="Z1087" s="68"/>
    </row>
    <row r="1088" spans="3:26" x14ac:dyDescent="0.35">
      <c r="C1088" s="11" t="s">
        <v>2702</v>
      </c>
      <c r="D1088" s="12" t="s">
        <v>2699</v>
      </c>
      <c r="E1088" s="12">
        <v>1067</v>
      </c>
      <c r="F1088" s="13" t="s">
        <v>2514</v>
      </c>
      <c r="G1088" s="14">
        <v>2</v>
      </c>
      <c r="H1088" s="14" t="s">
        <v>400</v>
      </c>
      <c r="I1088" s="13">
        <v>37</v>
      </c>
      <c r="J1088" s="15" t="s">
        <v>1436</v>
      </c>
      <c r="K1088" s="15" t="s">
        <v>2711</v>
      </c>
      <c r="L1088" s="16"/>
      <c r="M1088" s="16">
        <v>4571.8939999999993</v>
      </c>
      <c r="N1088" s="16">
        <v>1391.2939999999999</v>
      </c>
      <c r="O1088" s="16"/>
      <c r="P1088" s="16"/>
      <c r="Q1088" s="16">
        <f>SUM(Tabela1[[#This Row],[201805]:[201807]])</f>
        <v>5963.1879999999992</v>
      </c>
      <c r="R1088" s="16">
        <f>SUM(Tabela1[[#This Row],[201905]:[201906]])</f>
        <v>0</v>
      </c>
      <c r="S1088" s="16">
        <v>100000</v>
      </c>
      <c r="T1088" s="16">
        <f>Tabela1[[#This Row],[Total 2019]]-Tabela1[[#This Row],[Total 2018]]</f>
        <v>-5963.1879999999992</v>
      </c>
      <c r="U1088" s="40">
        <f>Tabela1[[#This Row],[Total 2019]]/Tabela1[[#This Row],[Meta]]</f>
        <v>0</v>
      </c>
      <c r="V1088" s="17">
        <f>IFERROR(Tabela1[[#This Row],[Total 2019]]/Tabela1[[#This Row],[Total 2018]]-1,0)</f>
        <v>-1</v>
      </c>
      <c r="W108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088" s="48"/>
      <c r="Y1088" s="19"/>
      <c r="Z1088" s="68"/>
    </row>
    <row r="1089" spans="3:26" x14ac:dyDescent="0.35">
      <c r="C1089" s="11" t="s">
        <v>2702</v>
      </c>
      <c r="D1089" s="12" t="s">
        <v>2699</v>
      </c>
      <c r="E1089" s="12">
        <v>1068</v>
      </c>
      <c r="F1089" s="13" t="s">
        <v>2515</v>
      </c>
      <c r="G1089" s="14">
        <v>2</v>
      </c>
      <c r="H1089" s="14" t="s">
        <v>399</v>
      </c>
      <c r="I1089" s="13">
        <v>37</v>
      </c>
      <c r="J1089" s="15" t="s">
        <v>1436</v>
      </c>
      <c r="K1089" s="15" t="s">
        <v>2711</v>
      </c>
      <c r="L1089" s="16"/>
      <c r="M1089" s="16"/>
      <c r="N1089" s="16">
        <v>2400.3649999999998</v>
      </c>
      <c r="O1089" s="16"/>
      <c r="P1089" s="16"/>
      <c r="Q1089" s="16">
        <f>SUM(Tabela1[[#This Row],[201805]:[201807]])</f>
        <v>2400.3649999999998</v>
      </c>
      <c r="R1089" s="16">
        <f>SUM(Tabela1[[#This Row],[201905]:[201906]])</f>
        <v>0</v>
      </c>
      <c r="S1089" s="16">
        <v>100000</v>
      </c>
      <c r="T1089" s="16">
        <f>Tabela1[[#This Row],[Total 2019]]-Tabela1[[#This Row],[Total 2018]]</f>
        <v>-2400.3649999999998</v>
      </c>
      <c r="U1089" s="40">
        <f>Tabela1[[#This Row],[Total 2019]]/Tabela1[[#This Row],[Meta]]</f>
        <v>0</v>
      </c>
      <c r="V1089" s="17">
        <f>IFERROR(Tabela1[[#This Row],[Total 2019]]/Tabela1[[#This Row],[Total 2018]]-1,0)</f>
        <v>-1</v>
      </c>
      <c r="W108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089" s="48"/>
      <c r="Y1089" s="19"/>
      <c r="Z1089" s="68"/>
    </row>
    <row r="1090" spans="3:26" x14ac:dyDescent="0.35">
      <c r="C1090" s="11" t="s">
        <v>2704</v>
      </c>
      <c r="D1090" s="12" t="s">
        <v>2699</v>
      </c>
      <c r="E1090" s="12">
        <v>1069</v>
      </c>
      <c r="F1090" s="13" t="s">
        <v>2516</v>
      </c>
      <c r="G1090" s="14">
        <v>3</v>
      </c>
      <c r="H1090" s="14" t="s">
        <v>400</v>
      </c>
      <c r="I1090" s="13">
        <v>37</v>
      </c>
      <c r="J1090" s="15" t="s">
        <v>1436</v>
      </c>
      <c r="K1090" s="15" t="s">
        <v>2711</v>
      </c>
      <c r="L1090" s="16"/>
      <c r="M1090" s="16">
        <v>2298.5250000000001</v>
      </c>
      <c r="N1090" s="16"/>
      <c r="O1090" s="16"/>
      <c r="P1090" s="16"/>
      <c r="Q1090" s="16">
        <f>SUM(Tabela1[[#This Row],[201805]:[201807]])</f>
        <v>2298.5250000000001</v>
      </c>
      <c r="R1090" s="16">
        <f>SUM(Tabela1[[#This Row],[201905]:[201906]])</f>
        <v>0</v>
      </c>
      <c r="S1090" s="16">
        <v>100000</v>
      </c>
      <c r="T1090" s="16">
        <f>Tabela1[[#This Row],[Total 2019]]-Tabela1[[#This Row],[Total 2018]]</f>
        <v>-2298.5250000000001</v>
      </c>
      <c r="U1090" s="40">
        <f>Tabela1[[#This Row],[Total 2019]]/Tabela1[[#This Row],[Meta]]</f>
        <v>0</v>
      </c>
      <c r="V1090" s="17">
        <f>IFERROR(Tabela1[[#This Row],[Total 2019]]/Tabela1[[#This Row],[Total 2018]]-1,0)</f>
        <v>-1</v>
      </c>
      <c r="W109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090" s="48"/>
      <c r="Y1090" s="19"/>
      <c r="Z1090" s="68"/>
    </row>
    <row r="1091" spans="3:26" x14ac:dyDescent="0.35">
      <c r="C1091" s="11" t="s">
        <v>2703</v>
      </c>
      <c r="D1091" s="12" t="s">
        <v>2698</v>
      </c>
      <c r="E1091" s="12">
        <v>1070</v>
      </c>
      <c r="F1091" s="13" t="s">
        <v>2517</v>
      </c>
      <c r="G1091" s="14">
        <v>3</v>
      </c>
      <c r="H1091" s="14" t="s">
        <v>408</v>
      </c>
      <c r="I1091" s="13">
        <v>38</v>
      </c>
      <c r="J1091" s="15" t="s">
        <v>1437</v>
      </c>
      <c r="K1091" s="15" t="s">
        <v>2711</v>
      </c>
      <c r="L1091" s="16">
        <v>2107.8220000000001</v>
      </c>
      <c r="M1091" s="16">
        <v>10814.8285</v>
      </c>
      <c r="N1091" s="16">
        <v>4158.0929999999998</v>
      </c>
      <c r="O1091" s="16"/>
      <c r="P1091" s="16"/>
      <c r="Q1091" s="16">
        <f>SUM(Tabela1[[#This Row],[201805]:[201807]])</f>
        <v>17080.7435</v>
      </c>
      <c r="R1091" s="16">
        <f>SUM(Tabela1[[#This Row],[201905]:[201906]])</f>
        <v>0</v>
      </c>
      <c r="S1091" s="16">
        <v>100000</v>
      </c>
      <c r="T1091" s="16">
        <f>Tabela1[[#This Row],[Total 2019]]-Tabela1[[#This Row],[Total 2018]]</f>
        <v>-17080.7435</v>
      </c>
      <c r="U1091" s="40">
        <f>Tabela1[[#This Row],[Total 2019]]/Tabela1[[#This Row],[Meta]]</f>
        <v>0</v>
      </c>
      <c r="V1091" s="17">
        <f>IFERROR(Tabela1[[#This Row],[Total 2019]]/Tabela1[[#This Row],[Total 2018]]-1,0)</f>
        <v>-1</v>
      </c>
      <c r="W109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091" s="48"/>
      <c r="Y1091" s="19"/>
      <c r="Z1091" s="68"/>
    </row>
    <row r="1092" spans="3:26" x14ac:dyDescent="0.35">
      <c r="C1092" s="11" t="s">
        <v>2704</v>
      </c>
      <c r="D1092" s="12" t="s">
        <v>2698</v>
      </c>
      <c r="E1092" s="12">
        <v>1071</v>
      </c>
      <c r="F1092" s="13" t="s">
        <v>2518</v>
      </c>
      <c r="G1092" s="14">
        <v>2</v>
      </c>
      <c r="H1092" s="14" t="s">
        <v>403</v>
      </c>
      <c r="I1092" s="13">
        <v>39</v>
      </c>
      <c r="J1092" s="15" t="s">
        <v>1438</v>
      </c>
      <c r="K1092" s="15" t="s">
        <v>2711</v>
      </c>
      <c r="L1092" s="16">
        <v>3465.8279999999995</v>
      </c>
      <c r="M1092" s="16">
        <v>5325.2534999999998</v>
      </c>
      <c r="N1092" s="16"/>
      <c r="O1092" s="16"/>
      <c r="P1092" s="16"/>
      <c r="Q1092" s="16">
        <f>SUM(Tabela1[[#This Row],[201805]:[201807]])</f>
        <v>8791.0815000000002</v>
      </c>
      <c r="R1092" s="16">
        <f>SUM(Tabela1[[#This Row],[201905]:[201906]])</f>
        <v>0</v>
      </c>
      <c r="S1092" s="16">
        <v>100000</v>
      </c>
      <c r="T1092" s="16">
        <f>Tabela1[[#This Row],[Total 2019]]-Tabela1[[#This Row],[Total 2018]]</f>
        <v>-8791.0815000000002</v>
      </c>
      <c r="U1092" s="40">
        <f>Tabela1[[#This Row],[Total 2019]]/Tabela1[[#This Row],[Meta]]</f>
        <v>0</v>
      </c>
      <c r="V1092" s="17">
        <f>IFERROR(Tabela1[[#This Row],[Total 2019]]/Tabela1[[#This Row],[Total 2018]]-1,0)</f>
        <v>-1</v>
      </c>
      <c r="W109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092" s="48"/>
      <c r="Y1092" s="19"/>
      <c r="Z1092" s="68"/>
    </row>
    <row r="1093" spans="3:26" x14ac:dyDescent="0.35">
      <c r="C1093" s="11" t="s">
        <v>2704</v>
      </c>
      <c r="D1093" s="12" t="s">
        <v>2700</v>
      </c>
      <c r="E1093" s="12">
        <v>1072</v>
      </c>
      <c r="F1093" s="13" t="s">
        <v>2519</v>
      </c>
      <c r="G1093" s="14">
        <v>3</v>
      </c>
      <c r="H1093" s="14" t="s">
        <v>403</v>
      </c>
      <c r="I1093" s="13">
        <v>39</v>
      </c>
      <c r="J1093" s="15" t="s">
        <v>1438</v>
      </c>
      <c r="K1093" s="15" t="s">
        <v>2711</v>
      </c>
      <c r="L1093" s="16">
        <v>6087.8279999999995</v>
      </c>
      <c r="M1093" s="16">
        <v>9498.6130000000012</v>
      </c>
      <c r="N1093" s="16">
        <v>2712.7819999999997</v>
      </c>
      <c r="O1093" s="16"/>
      <c r="P1093" s="16"/>
      <c r="Q1093" s="16">
        <f>SUM(Tabela1[[#This Row],[201805]:[201807]])</f>
        <v>18299.223000000002</v>
      </c>
      <c r="R1093" s="16">
        <f>SUM(Tabela1[[#This Row],[201905]:[201906]])</f>
        <v>0</v>
      </c>
      <c r="S1093" s="16">
        <v>100000</v>
      </c>
      <c r="T1093" s="16">
        <f>Tabela1[[#This Row],[Total 2019]]-Tabela1[[#This Row],[Total 2018]]</f>
        <v>-18299.223000000002</v>
      </c>
      <c r="U1093" s="40">
        <f>Tabela1[[#This Row],[Total 2019]]/Tabela1[[#This Row],[Meta]]</f>
        <v>0</v>
      </c>
      <c r="V1093" s="17">
        <f>IFERROR(Tabela1[[#This Row],[Total 2019]]/Tabela1[[#This Row],[Total 2018]]-1,0)</f>
        <v>-1</v>
      </c>
      <c r="W109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093" s="48"/>
      <c r="Y1093" s="19"/>
      <c r="Z1093" s="68"/>
    </row>
    <row r="1094" spans="3:26" x14ac:dyDescent="0.35">
      <c r="C1094" s="11" t="s">
        <v>2704</v>
      </c>
      <c r="D1094" s="12" t="s">
        <v>2700</v>
      </c>
      <c r="E1094" s="12">
        <v>1073</v>
      </c>
      <c r="F1094" s="13" t="s">
        <v>2520</v>
      </c>
      <c r="G1094" s="14">
        <v>1</v>
      </c>
      <c r="H1094" s="14" t="s">
        <v>403</v>
      </c>
      <c r="I1094" s="13">
        <v>39</v>
      </c>
      <c r="J1094" s="15" t="s">
        <v>1438</v>
      </c>
      <c r="K1094" s="15" t="s">
        <v>2711</v>
      </c>
      <c r="L1094" s="16"/>
      <c r="M1094" s="16">
        <v>5326.2794999999996</v>
      </c>
      <c r="N1094" s="16"/>
      <c r="O1094" s="16"/>
      <c r="P1094" s="16"/>
      <c r="Q1094" s="16">
        <f>SUM(Tabela1[[#This Row],[201805]:[201807]])</f>
        <v>5326.2794999999996</v>
      </c>
      <c r="R1094" s="16">
        <f>SUM(Tabela1[[#This Row],[201905]:[201906]])</f>
        <v>0</v>
      </c>
      <c r="S1094" s="16">
        <v>100000</v>
      </c>
      <c r="T1094" s="16">
        <f>Tabela1[[#This Row],[Total 2019]]-Tabela1[[#This Row],[Total 2018]]</f>
        <v>-5326.2794999999996</v>
      </c>
      <c r="U1094" s="40">
        <f>Tabela1[[#This Row],[Total 2019]]/Tabela1[[#This Row],[Meta]]</f>
        <v>0</v>
      </c>
      <c r="V1094" s="17">
        <f>IFERROR(Tabela1[[#This Row],[Total 2019]]/Tabela1[[#This Row],[Total 2018]]-1,0)</f>
        <v>-1</v>
      </c>
      <c r="W109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094" s="48"/>
      <c r="Y1094" s="19"/>
      <c r="Z1094" s="68"/>
    </row>
    <row r="1095" spans="3:26" x14ac:dyDescent="0.35">
      <c r="C1095" s="11" t="s">
        <v>2704</v>
      </c>
      <c r="D1095" s="12" t="s">
        <v>2699</v>
      </c>
      <c r="E1095" s="12">
        <v>1074</v>
      </c>
      <c r="F1095" s="13" t="s">
        <v>2521</v>
      </c>
      <c r="G1095" s="14">
        <v>2</v>
      </c>
      <c r="H1095" s="14" t="s">
        <v>401</v>
      </c>
      <c r="I1095" s="13">
        <v>37</v>
      </c>
      <c r="J1095" s="15" t="s">
        <v>1436</v>
      </c>
      <c r="K1095" s="15" t="s">
        <v>2711</v>
      </c>
      <c r="L1095" s="16">
        <v>4795.8090000000002</v>
      </c>
      <c r="M1095" s="16">
        <v>3123.9514999999997</v>
      </c>
      <c r="N1095" s="16"/>
      <c r="O1095" s="16"/>
      <c r="P1095" s="16"/>
      <c r="Q1095" s="16">
        <f>SUM(Tabela1[[#This Row],[201805]:[201807]])</f>
        <v>7919.7605000000003</v>
      </c>
      <c r="R1095" s="16">
        <f>SUM(Tabela1[[#This Row],[201905]:[201906]])</f>
        <v>0</v>
      </c>
      <c r="S1095" s="16">
        <v>100000</v>
      </c>
      <c r="T1095" s="16">
        <f>Tabela1[[#This Row],[Total 2019]]-Tabela1[[#This Row],[Total 2018]]</f>
        <v>-7919.7605000000003</v>
      </c>
      <c r="U1095" s="40">
        <f>Tabela1[[#This Row],[Total 2019]]/Tabela1[[#This Row],[Meta]]</f>
        <v>0</v>
      </c>
      <c r="V1095" s="17">
        <f>IFERROR(Tabela1[[#This Row],[Total 2019]]/Tabela1[[#This Row],[Total 2018]]-1,0)</f>
        <v>-1</v>
      </c>
      <c r="W109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095" s="48"/>
      <c r="Y1095" s="19"/>
      <c r="Z1095" s="68"/>
    </row>
    <row r="1096" spans="3:26" x14ac:dyDescent="0.35">
      <c r="C1096" s="11" t="s">
        <v>2702</v>
      </c>
      <c r="D1096" s="12" t="s">
        <v>2698</v>
      </c>
      <c r="E1096" s="12">
        <v>1075</v>
      </c>
      <c r="F1096" s="13" t="s">
        <v>2522</v>
      </c>
      <c r="G1096" s="14">
        <v>2</v>
      </c>
      <c r="H1096" s="14" t="s">
        <v>401</v>
      </c>
      <c r="I1096" s="13">
        <v>37</v>
      </c>
      <c r="J1096" s="15" t="s">
        <v>1436</v>
      </c>
      <c r="K1096" s="15" t="s">
        <v>2711</v>
      </c>
      <c r="L1096" s="16">
        <v>2063.7704999999996</v>
      </c>
      <c r="M1096" s="16">
        <v>1131.5545</v>
      </c>
      <c r="N1096" s="16"/>
      <c r="O1096" s="16"/>
      <c r="P1096" s="16"/>
      <c r="Q1096" s="16">
        <f>SUM(Tabela1[[#This Row],[201805]:[201807]])</f>
        <v>3195.3249999999998</v>
      </c>
      <c r="R1096" s="16">
        <f>SUM(Tabela1[[#This Row],[201905]:[201906]])</f>
        <v>0</v>
      </c>
      <c r="S1096" s="16">
        <v>100000</v>
      </c>
      <c r="T1096" s="16">
        <f>Tabela1[[#This Row],[Total 2019]]-Tabela1[[#This Row],[Total 2018]]</f>
        <v>-3195.3249999999998</v>
      </c>
      <c r="U1096" s="40">
        <f>Tabela1[[#This Row],[Total 2019]]/Tabela1[[#This Row],[Meta]]</f>
        <v>0</v>
      </c>
      <c r="V1096" s="17">
        <f>IFERROR(Tabela1[[#This Row],[Total 2019]]/Tabela1[[#This Row],[Total 2018]]-1,0)</f>
        <v>-1</v>
      </c>
      <c r="W109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096" s="48"/>
      <c r="Y1096" s="19"/>
      <c r="Z1096" s="68"/>
    </row>
    <row r="1097" spans="3:26" x14ac:dyDescent="0.35">
      <c r="C1097" s="11" t="s">
        <v>2702</v>
      </c>
      <c r="D1097" s="12" t="s">
        <v>2700</v>
      </c>
      <c r="E1097" s="12">
        <v>1076</v>
      </c>
      <c r="F1097" s="13" t="s">
        <v>2523</v>
      </c>
      <c r="G1097" s="14">
        <v>3</v>
      </c>
      <c r="H1097" s="14" t="s">
        <v>407</v>
      </c>
      <c r="I1097" s="13">
        <v>40</v>
      </c>
      <c r="J1097" s="15" t="s">
        <v>1439</v>
      </c>
      <c r="K1097" s="15" t="s">
        <v>2712</v>
      </c>
      <c r="L1097" s="16"/>
      <c r="M1097" s="16">
        <v>5793.8220000000001</v>
      </c>
      <c r="N1097" s="16">
        <v>1570.4544999999998</v>
      </c>
      <c r="O1097" s="16"/>
      <c r="P1097" s="16"/>
      <c r="Q1097" s="16">
        <f>SUM(Tabela1[[#This Row],[201805]:[201807]])</f>
        <v>7364.2764999999999</v>
      </c>
      <c r="R1097" s="16">
        <f>SUM(Tabela1[[#This Row],[201905]:[201906]])</f>
        <v>0</v>
      </c>
      <c r="S1097" s="16">
        <v>100000</v>
      </c>
      <c r="T1097" s="16">
        <f>Tabela1[[#This Row],[Total 2019]]-Tabela1[[#This Row],[Total 2018]]</f>
        <v>-7364.2764999999999</v>
      </c>
      <c r="U1097" s="40">
        <f>Tabela1[[#This Row],[Total 2019]]/Tabela1[[#This Row],[Meta]]</f>
        <v>0</v>
      </c>
      <c r="V1097" s="17">
        <f>IFERROR(Tabela1[[#This Row],[Total 2019]]/Tabela1[[#This Row],[Total 2018]]-1,0)</f>
        <v>-1</v>
      </c>
      <c r="W109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097" s="48"/>
      <c r="Y1097" s="19"/>
      <c r="Z1097" s="68"/>
    </row>
    <row r="1098" spans="3:26" x14ac:dyDescent="0.35">
      <c r="C1098" s="11" t="s">
        <v>2703</v>
      </c>
      <c r="D1098" s="12" t="s">
        <v>2699</v>
      </c>
      <c r="E1098" s="12">
        <v>1077</v>
      </c>
      <c r="F1098" s="13" t="s">
        <v>2524</v>
      </c>
      <c r="G1098" s="14">
        <v>1</v>
      </c>
      <c r="H1098" s="14" t="s">
        <v>407</v>
      </c>
      <c r="I1098" s="13">
        <v>41</v>
      </c>
      <c r="J1098" s="15" t="s">
        <v>1440</v>
      </c>
      <c r="K1098" s="15" t="s">
        <v>2712</v>
      </c>
      <c r="L1098" s="16">
        <v>7074.7165000000005</v>
      </c>
      <c r="M1098" s="16">
        <v>9210.2405000000017</v>
      </c>
      <c r="N1098" s="16"/>
      <c r="O1098" s="16"/>
      <c r="P1098" s="16"/>
      <c r="Q1098" s="16">
        <f>SUM(Tabela1[[#This Row],[201805]:[201807]])</f>
        <v>16284.957000000002</v>
      </c>
      <c r="R1098" s="16">
        <f>SUM(Tabela1[[#This Row],[201905]:[201906]])</f>
        <v>0</v>
      </c>
      <c r="S1098" s="16">
        <v>100000</v>
      </c>
      <c r="T1098" s="16">
        <f>Tabela1[[#This Row],[Total 2019]]-Tabela1[[#This Row],[Total 2018]]</f>
        <v>-16284.957000000002</v>
      </c>
      <c r="U1098" s="40">
        <f>Tabela1[[#This Row],[Total 2019]]/Tabela1[[#This Row],[Meta]]</f>
        <v>0</v>
      </c>
      <c r="V1098" s="17">
        <f>IFERROR(Tabela1[[#This Row],[Total 2019]]/Tabela1[[#This Row],[Total 2018]]-1,0)</f>
        <v>-1</v>
      </c>
      <c r="W109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098" s="48"/>
      <c r="Y1098" s="19"/>
      <c r="Z1098" s="68"/>
    </row>
    <row r="1099" spans="3:26" x14ac:dyDescent="0.35">
      <c r="C1099" s="11" t="s">
        <v>2704</v>
      </c>
      <c r="D1099" s="12" t="s">
        <v>2700</v>
      </c>
      <c r="E1099" s="12">
        <v>1078</v>
      </c>
      <c r="F1099" s="13" t="s">
        <v>2525</v>
      </c>
      <c r="G1099" s="14">
        <v>1</v>
      </c>
      <c r="H1099" s="14" t="s">
        <v>401</v>
      </c>
      <c r="I1099" s="13">
        <v>37</v>
      </c>
      <c r="J1099" s="15" t="s">
        <v>1436</v>
      </c>
      <c r="K1099" s="15" t="s">
        <v>2711</v>
      </c>
      <c r="L1099" s="16">
        <v>1642.0939999999998</v>
      </c>
      <c r="M1099" s="16">
        <v>3673.1939999999995</v>
      </c>
      <c r="N1099" s="16"/>
      <c r="O1099" s="16"/>
      <c r="P1099" s="16"/>
      <c r="Q1099" s="16">
        <f>SUM(Tabela1[[#This Row],[201805]:[201807]])</f>
        <v>5315.2879999999996</v>
      </c>
      <c r="R1099" s="16">
        <f>SUM(Tabela1[[#This Row],[201905]:[201906]])</f>
        <v>0</v>
      </c>
      <c r="S1099" s="16">
        <v>100000</v>
      </c>
      <c r="T1099" s="16">
        <f>Tabela1[[#This Row],[Total 2019]]-Tabela1[[#This Row],[Total 2018]]</f>
        <v>-5315.2879999999996</v>
      </c>
      <c r="U1099" s="40">
        <f>Tabela1[[#This Row],[Total 2019]]/Tabela1[[#This Row],[Meta]]</f>
        <v>0</v>
      </c>
      <c r="V1099" s="17">
        <f>IFERROR(Tabela1[[#This Row],[Total 2019]]/Tabela1[[#This Row],[Total 2018]]-1,0)</f>
        <v>-1</v>
      </c>
      <c r="W109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099" s="48"/>
      <c r="Y1099" s="19"/>
      <c r="Z1099" s="68"/>
    </row>
    <row r="1100" spans="3:26" x14ac:dyDescent="0.35">
      <c r="C1100" s="11" t="s">
        <v>2702</v>
      </c>
      <c r="D1100" s="12" t="s">
        <v>2699</v>
      </c>
      <c r="E1100" s="12">
        <v>1079</v>
      </c>
      <c r="F1100" s="13" t="s">
        <v>2526</v>
      </c>
      <c r="G1100" s="14">
        <v>2</v>
      </c>
      <c r="H1100" s="14" t="s">
        <v>407</v>
      </c>
      <c r="I1100" s="13">
        <v>42</v>
      </c>
      <c r="J1100" s="15" t="s">
        <v>1441</v>
      </c>
      <c r="K1100" s="15" t="s">
        <v>2712</v>
      </c>
      <c r="L1100" s="16"/>
      <c r="M1100" s="16"/>
      <c r="N1100" s="16"/>
      <c r="O1100" s="16">
        <v>3771.3289999999997</v>
      </c>
      <c r="P1100" s="16"/>
      <c r="Q1100" s="16">
        <f>SUM(Tabela1[[#This Row],[201805]:[201807]])</f>
        <v>0</v>
      </c>
      <c r="R1100" s="16">
        <f>SUM(Tabela1[[#This Row],[201905]:[201906]])</f>
        <v>3771.3289999999997</v>
      </c>
      <c r="S1100" s="16">
        <v>100000</v>
      </c>
      <c r="T1100" s="16">
        <f>Tabela1[[#This Row],[Total 2019]]-Tabela1[[#This Row],[Total 2018]]</f>
        <v>3771.3289999999997</v>
      </c>
      <c r="U1100" s="40">
        <f>Tabela1[[#This Row],[Total 2019]]/Tabela1[[#This Row],[Meta]]</f>
        <v>3.7713289999999997E-2</v>
      </c>
      <c r="V1100" s="17">
        <f>IFERROR(Tabela1[[#This Row],[Total 2019]]/Tabela1[[#This Row],[Total 2018]]-1,0)</f>
        <v>0</v>
      </c>
      <c r="W110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100" s="48"/>
      <c r="Y1100" s="19"/>
      <c r="Z1100" s="68"/>
    </row>
    <row r="1101" spans="3:26" x14ac:dyDescent="0.35">
      <c r="C1101" s="11" t="s">
        <v>2703</v>
      </c>
      <c r="D1101" s="12" t="s">
        <v>2699</v>
      </c>
      <c r="E1101" s="12">
        <v>1080</v>
      </c>
      <c r="F1101" s="13" t="s">
        <v>2527</v>
      </c>
      <c r="G1101" s="14">
        <v>3</v>
      </c>
      <c r="H1101" s="14" t="s">
        <v>407</v>
      </c>
      <c r="I1101" s="13">
        <v>43</v>
      </c>
      <c r="J1101" s="15" t="s">
        <v>1442</v>
      </c>
      <c r="K1101" s="15" t="s">
        <v>2712</v>
      </c>
      <c r="L1101" s="16"/>
      <c r="M1101" s="16">
        <v>1506.9565</v>
      </c>
      <c r="N1101" s="16"/>
      <c r="O1101" s="16"/>
      <c r="P1101" s="16"/>
      <c r="Q1101" s="16">
        <f>SUM(Tabela1[[#This Row],[201805]:[201807]])</f>
        <v>1506.9565</v>
      </c>
      <c r="R1101" s="16">
        <f>SUM(Tabela1[[#This Row],[201905]:[201906]])</f>
        <v>0</v>
      </c>
      <c r="S1101" s="16">
        <v>100000</v>
      </c>
      <c r="T1101" s="16">
        <f>Tabela1[[#This Row],[Total 2019]]-Tabela1[[#This Row],[Total 2018]]</f>
        <v>-1506.9565</v>
      </c>
      <c r="U1101" s="40">
        <f>Tabela1[[#This Row],[Total 2019]]/Tabela1[[#This Row],[Meta]]</f>
        <v>0</v>
      </c>
      <c r="V1101" s="17">
        <f>IFERROR(Tabela1[[#This Row],[Total 2019]]/Tabela1[[#This Row],[Total 2018]]-1,0)</f>
        <v>-1</v>
      </c>
      <c r="W110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01" s="48"/>
      <c r="Y1101" s="19"/>
      <c r="Z1101" s="68"/>
    </row>
    <row r="1102" spans="3:26" x14ac:dyDescent="0.35">
      <c r="C1102" s="11" t="s">
        <v>2704</v>
      </c>
      <c r="D1102" s="12" t="s">
        <v>2700</v>
      </c>
      <c r="E1102" s="12">
        <v>1081</v>
      </c>
      <c r="F1102" s="13" t="s">
        <v>2528</v>
      </c>
      <c r="G1102" s="14">
        <v>2</v>
      </c>
      <c r="H1102" s="14" t="s">
        <v>407</v>
      </c>
      <c r="I1102" s="13">
        <v>43</v>
      </c>
      <c r="J1102" s="15" t="s">
        <v>1442</v>
      </c>
      <c r="K1102" s="15" t="s">
        <v>2712</v>
      </c>
      <c r="L1102" s="16"/>
      <c r="M1102" s="16"/>
      <c r="N1102" s="16"/>
      <c r="O1102" s="16">
        <v>3437.3564999999999</v>
      </c>
      <c r="P1102" s="16">
        <v>3720.1619999999998</v>
      </c>
      <c r="Q1102" s="16">
        <f>SUM(Tabela1[[#This Row],[201805]:[201807]])</f>
        <v>0</v>
      </c>
      <c r="R1102" s="16">
        <f>SUM(Tabela1[[#This Row],[201905]:[201906]])</f>
        <v>7157.5185000000001</v>
      </c>
      <c r="S1102" s="16">
        <v>100000</v>
      </c>
      <c r="T1102" s="16">
        <f>Tabela1[[#This Row],[Total 2019]]-Tabela1[[#This Row],[Total 2018]]</f>
        <v>7157.5185000000001</v>
      </c>
      <c r="U1102" s="40">
        <f>Tabela1[[#This Row],[Total 2019]]/Tabela1[[#This Row],[Meta]]</f>
        <v>7.1575185E-2</v>
      </c>
      <c r="V1102" s="17">
        <f>IFERROR(Tabela1[[#This Row],[Total 2019]]/Tabela1[[#This Row],[Total 2018]]-1,0)</f>
        <v>0</v>
      </c>
      <c r="W110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102" s="48"/>
      <c r="Y1102" s="19"/>
      <c r="Z1102" s="68"/>
    </row>
    <row r="1103" spans="3:26" x14ac:dyDescent="0.35">
      <c r="C1103" s="11" t="s">
        <v>2704</v>
      </c>
      <c r="D1103" s="12" t="s">
        <v>2700</v>
      </c>
      <c r="E1103" s="12">
        <v>1082</v>
      </c>
      <c r="F1103" s="13" t="s">
        <v>2529</v>
      </c>
      <c r="G1103" s="14">
        <v>2</v>
      </c>
      <c r="H1103" s="14" t="s">
        <v>407</v>
      </c>
      <c r="I1103" s="13">
        <v>43</v>
      </c>
      <c r="J1103" s="15" t="s">
        <v>1442</v>
      </c>
      <c r="K1103" s="15" t="s">
        <v>2712</v>
      </c>
      <c r="L1103" s="16">
        <v>4169.8540000000003</v>
      </c>
      <c r="M1103" s="16">
        <v>6587.6134999999995</v>
      </c>
      <c r="N1103" s="16">
        <v>2849.069</v>
      </c>
      <c r="O1103" s="16">
        <v>5089.5869999999995</v>
      </c>
      <c r="P1103" s="16">
        <v>5392.2664999999988</v>
      </c>
      <c r="Q1103" s="16">
        <f>SUM(Tabela1[[#This Row],[201805]:[201807]])</f>
        <v>13606.536499999998</v>
      </c>
      <c r="R1103" s="16">
        <f>SUM(Tabela1[[#This Row],[201905]:[201906]])</f>
        <v>10481.853499999997</v>
      </c>
      <c r="S1103" s="16">
        <v>100000</v>
      </c>
      <c r="T1103" s="16">
        <f>Tabela1[[#This Row],[Total 2019]]-Tabela1[[#This Row],[Total 2018]]</f>
        <v>-3124.6830000000009</v>
      </c>
      <c r="U1103" s="40">
        <f>Tabela1[[#This Row],[Total 2019]]/Tabela1[[#This Row],[Meta]]</f>
        <v>0.10481853499999998</v>
      </c>
      <c r="V1103" s="17">
        <f>IFERROR(Tabela1[[#This Row],[Total 2019]]/Tabela1[[#This Row],[Total 2018]]-1,0)</f>
        <v>-0.22964572946245365</v>
      </c>
      <c r="W110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1103" s="48"/>
      <c r="Y1103" s="19"/>
      <c r="Z1103" s="68"/>
    </row>
    <row r="1104" spans="3:26" x14ac:dyDescent="0.35">
      <c r="C1104" s="11" t="s">
        <v>2702</v>
      </c>
      <c r="D1104" s="12" t="s">
        <v>2699</v>
      </c>
      <c r="E1104" s="12">
        <v>1083</v>
      </c>
      <c r="F1104" s="13" t="s">
        <v>2530</v>
      </c>
      <c r="G1104" s="14">
        <v>1</v>
      </c>
      <c r="H1104" s="14" t="s">
        <v>399</v>
      </c>
      <c r="I1104" s="13">
        <v>37</v>
      </c>
      <c r="J1104" s="15" t="s">
        <v>1436</v>
      </c>
      <c r="K1104" s="15" t="s">
        <v>2711</v>
      </c>
      <c r="L1104" s="16">
        <v>27270.747499999998</v>
      </c>
      <c r="M1104" s="16">
        <v>16363.75</v>
      </c>
      <c r="N1104" s="16"/>
      <c r="O1104" s="16"/>
      <c r="P1104" s="16"/>
      <c r="Q1104" s="16">
        <f>SUM(Tabela1[[#This Row],[201805]:[201807]])</f>
        <v>43634.497499999998</v>
      </c>
      <c r="R1104" s="16">
        <f>SUM(Tabela1[[#This Row],[201905]:[201906]])</f>
        <v>0</v>
      </c>
      <c r="S1104" s="16">
        <v>100000</v>
      </c>
      <c r="T1104" s="16">
        <f>Tabela1[[#This Row],[Total 2019]]-Tabela1[[#This Row],[Total 2018]]</f>
        <v>-43634.497499999998</v>
      </c>
      <c r="U1104" s="40">
        <f>Tabela1[[#This Row],[Total 2019]]/Tabela1[[#This Row],[Meta]]</f>
        <v>0</v>
      </c>
      <c r="V1104" s="17">
        <f>IFERROR(Tabela1[[#This Row],[Total 2019]]/Tabela1[[#This Row],[Total 2018]]-1,0)</f>
        <v>-1</v>
      </c>
      <c r="W110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04" s="48"/>
      <c r="Y1104" s="19"/>
      <c r="Z1104" s="68"/>
    </row>
    <row r="1105" spans="3:26" x14ac:dyDescent="0.35">
      <c r="C1105" s="11" t="s">
        <v>2702</v>
      </c>
      <c r="D1105" s="12" t="s">
        <v>2700</v>
      </c>
      <c r="E1105" s="12">
        <v>1084</v>
      </c>
      <c r="F1105" s="13" t="s">
        <v>2531</v>
      </c>
      <c r="G1105" s="14">
        <v>3</v>
      </c>
      <c r="H1105" s="14" t="s">
        <v>409</v>
      </c>
      <c r="I1105" s="13">
        <v>37</v>
      </c>
      <c r="J1105" s="15" t="s">
        <v>1436</v>
      </c>
      <c r="K1105" s="15" t="s">
        <v>2711</v>
      </c>
      <c r="L1105" s="16"/>
      <c r="M1105" s="16">
        <v>1319.1034999999999</v>
      </c>
      <c r="N1105" s="16">
        <v>1083.4559999999999</v>
      </c>
      <c r="O1105" s="16"/>
      <c r="P1105" s="16"/>
      <c r="Q1105" s="16">
        <f>SUM(Tabela1[[#This Row],[201805]:[201807]])</f>
        <v>2402.5594999999998</v>
      </c>
      <c r="R1105" s="16">
        <f>SUM(Tabela1[[#This Row],[201905]:[201906]])</f>
        <v>0</v>
      </c>
      <c r="S1105" s="16">
        <v>100000</v>
      </c>
      <c r="T1105" s="16">
        <f>Tabela1[[#This Row],[Total 2019]]-Tabela1[[#This Row],[Total 2018]]</f>
        <v>-2402.5594999999998</v>
      </c>
      <c r="U1105" s="40">
        <f>Tabela1[[#This Row],[Total 2019]]/Tabela1[[#This Row],[Meta]]</f>
        <v>0</v>
      </c>
      <c r="V1105" s="17">
        <f>IFERROR(Tabela1[[#This Row],[Total 2019]]/Tabela1[[#This Row],[Total 2018]]-1,0)</f>
        <v>-1</v>
      </c>
      <c r="W110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05" s="48"/>
      <c r="Y1105" s="19"/>
      <c r="Z1105" s="68"/>
    </row>
    <row r="1106" spans="3:26" x14ac:dyDescent="0.35">
      <c r="C1106" s="11" t="s">
        <v>2703</v>
      </c>
      <c r="D1106" s="12" t="s">
        <v>2700</v>
      </c>
      <c r="E1106" s="12">
        <v>1085</v>
      </c>
      <c r="F1106" s="13" t="s">
        <v>2532</v>
      </c>
      <c r="G1106" s="14">
        <v>2</v>
      </c>
      <c r="H1106" s="14" t="s">
        <v>416</v>
      </c>
      <c r="I1106" s="13">
        <v>38</v>
      </c>
      <c r="J1106" s="15" t="s">
        <v>1437</v>
      </c>
      <c r="K1106" s="15" t="s">
        <v>2711</v>
      </c>
      <c r="L1106" s="16">
        <v>6246.2214999999997</v>
      </c>
      <c r="M1106" s="16">
        <v>1107.415</v>
      </c>
      <c r="N1106" s="16"/>
      <c r="O1106" s="16"/>
      <c r="P1106" s="16">
        <v>2692.8795</v>
      </c>
      <c r="Q1106" s="16">
        <f>SUM(Tabela1[[#This Row],[201805]:[201807]])</f>
        <v>7353.6364999999996</v>
      </c>
      <c r="R1106" s="16">
        <f>SUM(Tabela1[[#This Row],[201905]:[201906]])</f>
        <v>2692.8795</v>
      </c>
      <c r="S1106" s="16">
        <v>100000</v>
      </c>
      <c r="T1106" s="16">
        <f>Tabela1[[#This Row],[Total 2019]]-Tabela1[[#This Row],[Total 2018]]</f>
        <v>-4660.7569999999996</v>
      </c>
      <c r="U1106" s="40">
        <f>Tabela1[[#This Row],[Total 2019]]/Tabela1[[#This Row],[Meta]]</f>
        <v>2.6928794999999998E-2</v>
      </c>
      <c r="V1106" s="17">
        <f>IFERROR(Tabela1[[#This Row],[Total 2019]]/Tabela1[[#This Row],[Total 2018]]-1,0)</f>
        <v>-0.63380301705149544</v>
      </c>
      <c r="W110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1106" s="48"/>
      <c r="Y1106" s="19"/>
      <c r="Z1106" s="68"/>
    </row>
    <row r="1107" spans="3:26" x14ac:dyDescent="0.35">
      <c r="C1107" s="11" t="s">
        <v>2703</v>
      </c>
      <c r="D1107" s="12" t="s">
        <v>2699</v>
      </c>
      <c r="E1107" s="12">
        <v>1086</v>
      </c>
      <c r="F1107" s="13" t="s">
        <v>2533</v>
      </c>
      <c r="G1107" s="14">
        <v>2</v>
      </c>
      <c r="H1107" s="14" t="s">
        <v>410</v>
      </c>
      <c r="I1107" s="13">
        <v>44</v>
      </c>
      <c r="J1107" s="15" t="s">
        <v>1443</v>
      </c>
      <c r="K1107" s="15" t="s">
        <v>2711</v>
      </c>
      <c r="L1107" s="16">
        <v>2792.6389999999997</v>
      </c>
      <c r="M1107" s="16">
        <v>7012.9284999999991</v>
      </c>
      <c r="N1107" s="16"/>
      <c r="O1107" s="16"/>
      <c r="P1107" s="16"/>
      <c r="Q1107" s="16">
        <f>SUM(Tabela1[[#This Row],[201805]:[201807]])</f>
        <v>9805.5674999999992</v>
      </c>
      <c r="R1107" s="16">
        <f>SUM(Tabela1[[#This Row],[201905]:[201906]])</f>
        <v>0</v>
      </c>
      <c r="S1107" s="16">
        <v>100000</v>
      </c>
      <c r="T1107" s="16">
        <f>Tabela1[[#This Row],[Total 2019]]-Tabela1[[#This Row],[Total 2018]]</f>
        <v>-9805.5674999999992</v>
      </c>
      <c r="U1107" s="40">
        <f>Tabela1[[#This Row],[Total 2019]]/Tabela1[[#This Row],[Meta]]</f>
        <v>0</v>
      </c>
      <c r="V1107" s="17">
        <f>IFERROR(Tabela1[[#This Row],[Total 2019]]/Tabela1[[#This Row],[Total 2018]]-1,0)</f>
        <v>-1</v>
      </c>
      <c r="W110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07" s="48"/>
      <c r="Y1107" s="19"/>
      <c r="Z1107" s="68"/>
    </row>
    <row r="1108" spans="3:26" x14ac:dyDescent="0.35">
      <c r="C1108" s="11" t="s">
        <v>2704</v>
      </c>
      <c r="D1108" s="12" t="s">
        <v>2699</v>
      </c>
      <c r="E1108" s="12">
        <v>1087</v>
      </c>
      <c r="F1108" s="13" t="s">
        <v>2534</v>
      </c>
      <c r="G1108" s="14">
        <v>2</v>
      </c>
      <c r="H1108" s="14" t="s">
        <v>407</v>
      </c>
      <c r="I1108" s="13">
        <v>40</v>
      </c>
      <c r="J1108" s="15" t="s">
        <v>1439</v>
      </c>
      <c r="K1108" s="15" t="s">
        <v>2712</v>
      </c>
      <c r="L1108" s="16"/>
      <c r="M1108" s="16"/>
      <c r="N1108" s="16"/>
      <c r="O1108" s="16">
        <v>3564.1435000000001</v>
      </c>
      <c r="P1108" s="16"/>
      <c r="Q1108" s="16">
        <f>SUM(Tabela1[[#This Row],[201805]:[201807]])</f>
        <v>0</v>
      </c>
      <c r="R1108" s="16">
        <f>SUM(Tabela1[[#This Row],[201905]:[201906]])</f>
        <v>3564.1435000000001</v>
      </c>
      <c r="S1108" s="16">
        <v>100000</v>
      </c>
      <c r="T1108" s="16">
        <f>Tabela1[[#This Row],[Total 2019]]-Tabela1[[#This Row],[Total 2018]]</f>
        <v>3564.1435000000001</v>
      </c>
      <c r="U1108" s="40">
        <f>Tabela1[[#This Row],[Total 2019]]/Tabela1[[#This Row],[Meta]]</f>
        <v>3.5641434999999999E-2</v>
      </c>
      <c r="V1108" s="17">
        <f>IFERROR(Tabela1[[#This Row],[Total 2019]]/Tabela1[[#This Row],[Total 2018]]-1,0)</f>
        <v>0</v>
      </c>
      <c r="W110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108" s="48"/>
      <c r="Y1108" s="19"/>
      <c r="Z1108" s="68"/>
    </row>
    <row r="1109" spans="3:26" x14ac:dyDescent="0.35">
      <c r="C1109" s="11" t="s">
        <v>2704</v>
      </c>
      <c r="D1109" s="12" t="s">
        <v>2698</v>
      </c>
      <c r="E1109" s="12">
        <v>1088</v>
      </c>
      <c r="F1109" s="13" t="s">
        <v>2535</v>
      </c>
      <c r="G1109" s="14">
        <v>2</v>
      </c>
      <c r="H1109" s="14" t="s">
        <v>401</v>
      </c>
      <c r="I1109" s="13">
        <v>37</v>
      </c>
      <c r="J1109" s="15" t="s">
        <v>1436</v>
      </c>
      <c r="K1109" s="15" t="s">
        <v>2711</v>
      </c>
      <c r="L1109" s="16">
        <v>3676.4429999999998</v>
      </c>
      <c r="M1109" s="16">
        <v>2886.5085000000004</v>
      </c>
      <c r="N1109" s="16"/>
      <c r="O1109" s="16"/>
      <c r="P1109" s="16"/>
      <c r="Q1109" s="16">
        <f>SUM(Tabela1[[#This Row],[201805]:[201807]])</f>
        <v>6562.9515000000001</v>
      </c>
      <c r="R1109" s="16">
        <f>SUM(Tabela1[[#This Row],[201905]:[201906]])</f>
        <v>0</v>
      </c>
      <c r="S1109" s="16">
        <v>100000</v>
      </c>
      <c r="T1109" s="16">
        <f>Tabela1[[#This Row],[Total 2019]]-Tabela1[[#This Row],[Total 2018]]</f>
        <v>-6562.9515000000001</v>
      </c>
      <c r="U1109" s="40">
        <f>Tabela1[[#This Row],[Total 2019]]/Tabela1[[#This Row],[Meta]]</f>
        <v>0</v>
      </c>
      <c r="V1109" s="17">
        <f>IFERROR(Tabela1[[#This Row],[Total 2019]]/Tabela1[[#This Row],[Total 2018]]-1,0)</f>
        <v>-1</v>
      </c>
      <c r="W110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09" s="48"/>
      <c r="Y1109" s="19"/>
      <c r="Z1109" s="68"/>
    </row>
    <row r="1110" spans="3:26" x14ac:dyDescent="0.35">
      <c r="C1110" s="11" t="s">
        <v>2704</v>
      </c>
      <c r="D1110" s="12" t="s">
        <v>2700</v>
      </c>
      <c r="E1110" s="12">
        <v>1089</v>
      </c>
      <c r="F1110" s="13" t="s">
        <v>2536</v>
      </c>
      <c r="G1110" s="14">
        <v>2</v>
      </c>
      <c r="H1110" s="14" t="s">
        <v>401</v>
      </c>
      <c r="I1110" s="13">
        <v>37</v>
      </c>
      <c r="J1110" s="15" t="s">
        <v>1436</v>
      </c>
      <c r="K1110" s="15" t="s">
        <v>2711</v>
      </c>
      <c r="L1110" s="16">
        <v>1102.7884999999999</v>
      </c>
      <c r="M1110" s="16">
        <v>1417.9794999999999</v>
      </c>
      <c r="N1110" s="16"/>
      <c r="O1110" s="16"/>
      <c r="P1110" s="16"/>
      <c r="Q1110" s="16">
        <f>SUM(Tabela1[[#This Row],[201805]:[201807]])</f>
        <v>2520.768</v>
      </c>
      <c r="R1110" s="16">
        <f>SUM(Tabela1[[#This Row],[201905]:[201906]])</f>
        <v>0</v>
      </c>
      <c r="S1110" s="16">
        <v>100000</v>
      </c>
      <c r="T1110" s="16">
        <f>Tabela1[[#This Row],[Total 2019]]-Tabela1[[#This Row],[Total 2018]]</f>
        <v>-2520.768</v>
      </c>
      <c r="U1110" s="40">
        <f>Tabela1[[#This Row],[Total 2019]]/Tabela1[[#This Row],[Meta]]</f>
        <v>0</v>
      </c>
      <c r="V1110" s="17">
        <f>IFERROR(Tabela1[[#This Row],[Total 2019]]/Tabela1[[#This Row],[Total 2018]]-1,0)</f>
        <v>-1</v>
      </c>
      <c r="W111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10" s="48"/>
      <c r="Y1110" s="19"/>
      <c r="Z1110" s="68"/>
    </row>
    <row r="1111" spans="3:26" x14ac:dyDescent="0.35">
      <c r="C1111" s="11" t="s">
        <v>2703</v>
      </c>
      <c r="D1111" s="12" t="s">
        <v>2699</v>
      </c>
      <c r="E1111" s="12">
        <v>1090</v>
      </c>
      <c r="F1111" s="13" t="s">
        <v>2537</v>
      </c>
      <c r="G1111" s="14">
        <v>2</v>
      </c>
      <c r="H1111" s="14" t="s">
        <v>401</v>
      </c>
      <c r="I1111" s="13">
        <v>37</v>
      </c>
      <c r="J1111" s="15" t="s">
        <v>1436</v>
      </c>
      <c r="K1111" s="15" t="s">
        <v>2711</v>
      </c>
      <c r="L1111" s="16">
        <v>4266.2029999999995</v>
      </c>
      <c r="M1111" s="16">
        <v>1528.9395</v>
      </c>
      <c r="N1111" s="16"/>
      <c r="O1111" s="16"/>
      <c r="P1111" s="16"/>
      <c r="Q1111" s="16">
        <f>SUM(Tabela1[[#This Row],[201805]:[201807]])</f>
        <v>5795.1424999999999</v>
      </c>
      <c r="R1111" s="16">
        <f>SUM(Tabela1[[#This Row],[201905]:[201906]])</f>
        <v>0</v>
      </c>
      <c r="S1111" s="16">
        <v>100000</v>
      </c>
      <c r="T1111" s="16">
        <f>Tabela1[[#This Row],[Total 2019]]-Tabela1[[#This Row],[Total 2018]]</f>
        <v>-5795.1424999999999</v>
      </c>
      <c r="U1111" s="40">
        <f>Tabela1[[#This Row],[Total 2019]]/Tabela1[[#This Row],[Meta]]</f>
        <v>0</v>
      </c>
      <c r="V1111" s="17">
        <f>IFERROR(Tabela1[[#This Row],[Total 2019]]/Tabela1[[#This Row],[Total 2018]]-1,0)</f>
        <v>-1</v>
      </c>
      <c r="W111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11" s="48"/>
      <c r="Y1111" s="19"/>
      <c r="Z1111" s="68"/>
    </row>
    <row r="1112" spans="3:26" x14ac:dyDescent="0.35">
      <c r="C1112" s="11" t="s">
        <v>2702</v>
      </c>
      <c r="D1112" s="12" t="s">
        <v>2699</v>
      </c>
      <c r="E1112" s="12">
        <v>1091</v>
      </c>
      <c r="F1112" s="13" t="s">
        <v>2538</v>
      </c>
      <c r="G1112" s="14">
        <v>3</v>
      </c>
      <c r="H1112" s="14" t="s">
        <v>413</v>
      </c>
      <c r="I1112" s="13">
        <v>45</v>
      </c>
      <c r="J1112" s="15" t="s">
        <v>1444</v>
      </c>
      <c r="K1112" s="15" t="s">
        <v>2711</v>
      </c>
      <c r="L1112" s="16">
        <v>2452.9190000000003</v>
      </c>
      <c r="M1112" s="16">
        <v>6346.3799999999992</v>
      </c>
      <c r="N1112" s="16"/>
      <c r="O1112" s="16"/>
      <c r="P1112" s="16"/>
      <c r="Q1112" s="16">
        <f>SUM(Tabela1[[#This Row],[201805]:[201807]])</f>
        <v>8799.2989999999991</v>
      </c>
      <c r="R1112" s="16">
        <f>SUM(Tabela1[[#This Row],[201905]:[201906]])</f>
        <v>0</v>
      </c>
      <c r="S1112" s="16">
        <v>100000</v>
      </c>
      <c r="T1112" s="16">
        <f>Tabela1[[#This Row],[Total 2019]]-Tabela1[[#This Row],[Total 2018]]</f>
        <v>-8799.2989999999991</v>
      </c>
      <c r="U1112" s="40">
        <f>Tabela1[[#This Row],[Total 2019]]/Tabela1[[#This Row],[Meta]]</f>
        <v>0</v>
      </c>
      <c r="V1112" s="17">
        <f>IFERROR(Tabela1[[#This Row],[Total 2019]]/Tabela1[[#This Row],[Total 2018]]-1,0)</f>
        <v>-1</v>
      </c>
      <c r="W111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12" s="48"/>
      <c r="Y1112" s="19"/>
      <c r="Z1112" s="68"/>
    </row>
    <row r="1113" spans="3:26" x14ac:dyDescent="0.35">
      <c r="C1113" s="11" t="s">
        <v>2703</v>
      </c>
      <c r="D1113" s="12" t="s">
        <v>2698</v>
      </c>
      <c r="E1113" s="12">
        <v>1092</v>
      </c>
      <c r="F1113" s="13" t="s">
        <v>2539</v>
      </c>
      <c r="G1113" s="14">
        <v>2</v>
      </c>
      <c r="H1113" s="14" t="s">
        <v>416</v>
      </c>
      <c r="I1113" s="13">
        <v>38</v>
      </c>
      <c r="J1113" s="15" t="s">
        <v>1437</v>
      </c>
      <c r="K1113" s="15" t="s">
        <v>2711</v>
      </c>
      <c r="L1113" s="16">
        <v>4977.9904999999999</v>
      </c>
      <c r="M1113" s="16">
        <v>1265.1624999999999</v>
      </c>
      <c r="N1113" s="16"/>
      <c r="O1113" s="16"/>
      <c r="P1113" s="16"/>
      <c r="Q1113" s="16">
        <f>SUM(Tabela1[[#This Row],[201805]:[201807]])</f>
        <v>6243.1530000000002</v>
      </c>
      <c r="R1113" s="16">
        <f>SUM(Tabela1[[#This Row],[201905]:[201906]])</f>
        <v>0</v>
      </c>
      <c r="S1113" s="16">
        <v>100000</v>
      </c>
      <c r="T1113" s="16">
        <f>Tabela1[[#This Row],[Total 2019]]-Tabela1[[#This Row],[Total 2018]]</f>
        <v>-6243.1530000000002</v>
      </c>
      <c r="U1113" s="40">
        <f>Tabela1[[#This Row],[Total 2019]]/Tabela1[[#This Row],[Meta]]</f>
        <v>0</v>
      </c>
      <c r="V1113" s="17">
        <f>IFERROR(Tabela1[[#This Row],[Total 2019]]/Tabela1[[#This Row],[Total 2018]]-1,0)</f>
        <v>-1</v>
      </c>
      <c r="W111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13" s="48"/>
      <c r="Y1113" s="19"/>
      <c r="Z1113" s="68"/>
    </row>
    <row r="1114" spans="3:26" x14ac:dyDescent="0.35">
      <c r="C1114" s="11" t="s">
        <v>2704</v>
      </c>
      <c r="D1114" s="12" t="s">
        <v>2698</v>
      </c>
      <c r="E1114" s="12">
        <v>1093</v>
      </c>
      <c r="F1114" s="13" t="s">
        <v>2540</v>
      </c>
      <c r="G1114" s="14">
        <v>3</v>
      </c>
      <c r="H1114" s="14" t="s">
        <v>407</v>
      </c>
      <c r="I1114" s="13">
        <v>40</v>
      </c>
      <c r="J1114" s="15" t="s">
        <v>1439</v>
      </c>
      <c r="K1114" s="15" t="s">
        <v>2712</v>
      </c>
      <c r="L1114" s="16"/>
      <c r="M1114" s="16">
        <v>1699.018</v>
      </c>
      <c r="N1114" s="16">
        <v>1732.6669999999999</v>
      </c>
      <c r="O1114" s="16">
        <v>3592.8239999999996</v>
      </c>
      <c r="P1114" s="16"/>
      <c r="Q1114" s="16">
        <f>SUM(Tabela1[[#This Row],[201805]:[201807]])</f>
        <v>3431.6849999999999</v>
      </c>
      <c r="R1114" s="16">
        <f>SUM(Tabela1[[#This Row],[201905]:[201906]])</f>
        <v>3592.8239999999996</v>
      </c>
      <c r="S1114" s="16">
        <v>100000</v>
      </c>
      <c r="T1114" s="16">
        <f>Tabela1[[#This Row],[Total 2019]]-Tabela1[[#This Row],[Total 2018]]</f>
        <v>161.13899999999967</v>
      </c>
      <c r="U1114" s="40">
        <f>Tabela1[[#This Row],[Total 2019]]/Tabela1[[#This Row],[Meta]]</f>
        <v>3.5928239999999993E-2</v>
      </c>
      <c r="V1114" s="17">
        <f>IFERROR(Tabela1[[#This Row],[Total 2019]]/Tabela1[[#This Row],[Total 2018]]-1,0)</f>
        <v>4.6956232871023795E-2</v>
      </c>
      <c r="W111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1114" s="48"/>
      <c r="Y1114" s="19"/>
      <c r="Z1114" s="68"/>
    </row>
    <row r="1115" spans="3:26" x14ac:dyDescent="0.35">
      <c r="C1115" s="11" t="s">
        <v>2702</v>
      </c>
      <c r="D1115" s="12" t="s">
        <v>2699</v>
      </c>
      <c r="E1115" s="12">
        <v>1094</v>
      </c>
      <c r="F1115" s="13" t="s">
        <v>2541</v>
      </c>
      <c r="G1115" s="14">
        <v>3</v>
      </c>
      <c r="H1115" s="14" t="s">
        <v>407</v>
      </c>
      <c r="I1115" s="13">
        <v>43</v>
      </c>
      <c r="J1115" s="15" t="s">
        <v>1442</v>
      </c>
      <c r="K1115" s="15" t="s">
        <v>2712</v>
      </c>
      <c r="L1115" s="16">
        <v>3427.7995000000001</v>
      </c>
      <c r="M1115" s="16">
        <v>2905.7364999999995</v>
      </c>
      <c r="N1115" s="16">
        <v>2041.4454999999998</v>
      </c>
      <c r="O1115" s="16"/>
      <c r="P1115" s="16"/>
      <c r="Q1115" s="16">
        <f>SUM(Tabela1[[#This Row],[201805]:[201807]])</f>
        <v>8374.9814999999999</v>
      </c>
      <c r="R1115" s="16">
        <f>SUM(Tabela1[[#This Row],[201905]:[201906]])</f>
        <v>0</v>
      </c>
      <c r="S1115" s="16">
        <v>100000</v>
      </c>
      <c r="T1115" s="16">
        <f>Tabela1[[#This Row],[Total 2019]]-Tabela1[[#This Row],[Total 2018]]</f>
        <v>-8374.9814999999999</v>
      </c>
      <c r="U1115" s="40">
        <f>Tabela1[[#This Row],[Total 2019]]/Tabela1[[#This Row],[Meta]]</f>
        <v>0</v>
      </c>
      <c r="V1115" s="17">
        <f>IFERROR(Tabela1[[#This Row],[Total 2019]]/Tabela1[[#This Row],[Total 2018]]-1,0)</f>
        <v>-1</v>
      </c>
      <c r="W111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15" s="48"/>
      <c r="Y1115" s="19"/>
      <c r="Z1115" s="68"/>
    </row>
    <row r="1116" spans="3:26" x14ac:dyDescent="0.35">
      <c r="C1116" s="11" t="s">
        <v>2703</v>
      </c>
      <c r="D1116" s="12" t="s">
        <v>2699</v>
      </c>
      <c r="E1116" s="12">
        <v>1095</v>
      </c>
      <c r="F1116" s="13" t="s">
        <v>2542</v>
      </c>
      <c r="G1116" s="14">
        <v>2</v>
      </c>
      <c r="H1116" s="14" t="s">
        <v>401</v>
      </c>
      <c r="I1116" s="13">
        <v>37</v>
      </c>
      <c r="J1116" s="15" t="s">
        <v>1436</v>
      </c>
      <c r="K1116" s="15" t="s">
        <v>2711</v>
      </c>
      <c r="L1116" s="16">
        <v>10594.684999999998</v>
      </c>
      <c r="M1116" s="16">
        <v>6184.7754999999997</v>
      </c>
      <c r="N1116" s="16"/>
      <c r="O1116" s="16"/>
      <c r="P1116" s="16"/>
      <c r="Q1116" s="16">
        <f>SUM(Tabela1[[#This Row],[201805]:[201807]])</f>
        <v>16779.460499999997</v>
      </c>
      <c r="R1116" s="16">
        <f>SUM(Tabela1[[#This Row],[201905]:[201906]])</f>
        <v>0</v>
      </c>
      <c r="S1116" s="16">
        <v>100000</v>
      </c>
      <c r="T1116" s="16">
        <f>Tabela1[[#This Row],[Total 2019]]-Tabela1[[#This Row],[Total 2018]]</f>
        <v>-16779.460499999997</v>
      </c>
      <c r="U1116" s="40">
        <f>Tabela1[[#This Row],[Total 2019]]/Tabela1[[#This Row],[Meta]]</f>
        <v>0</v>
      </c>
      <c r="V1116" s="17">
        <f>IFERROR(Tabela1[[#This Row],[Total 2019]]/Tabela1[[#This Row],[Total 2018]]-1,0)</f>
        <v>-1</v>
      </c>
      <c r="W111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16" s="48"/>
      <c r="Y1116" s="19"/>
      <c r="Z1116" s="68"/>
    </row>
    <row r="1117" spans="3:26" x14ac:dyDescent="0.35">
      <c r="C1117" s="11" t="s">
        <v>2702</v>
      </c>
      <c r="D1117" s="12" t="s">
        <v>2700</v>
      </c>
      <c r="E1117" s="12">
        <v>1096</v>
      </c>
      <c r="F1117" s="13" t="s">
        <v>2543</v>
      </c>
      <c r="G1117" s="14">
        <v>1</v>
      </c>
      <c r="H1117" s="14" t="s">
        <v>410</v>
      </c>
      <c r="I1117" s="13">
        <v>44</v>
      </c>
      <c r="J1117" s="15" t="s">
        <v>1443</v>
      </c>
      <c r="K1117" s="15" t="s">
        <v>2711</v>
      </c>
      <c r="L1117" s="16">
        <v>5959.2264999999989</v>
      </c>
      <c r="M1117" s="16">
        <v>6614.1659999999993</v>
      </c>
      <c r="N1117" s="16"/>
      <c r="O1117" s="16"/>
      <c r="P1117" s="16">
        <v>4800.1029999999992</v>
      </c>
      <c r="Q1117" s="16">
        <f>SUM(Tabela1[[#This Row],[201805]:[201807]])</f>
        <v>12573.392499999998</v>
      </c>
      <c r="R1117" s="16">
        <f>SUM(Tabela1[[#This Row],[201905]:[201906]])</f>
        <v>4800.1029999999992</v>
      </c>
      <c r="S1117" s="16">
        <v>100000</v>
      </c>
      <c r="T1117" s="16">
        <f>Tabela1[[#This Row],[Total 2019]]-Tabela1[[#This Row],[Total 2018]]</f>
        <v>-7773.289499999999</v>
      </c>
      <c r="U1117" s="40">
        <f>Tabela1[[#This Row],[Total 2019]]/Tabela1[[#This Row],[Meta]]</f>
        <v>4.8001029999999993E-2</v>
      </c>
      <c r="V1117" s="17">
        <f>IFERROR(Tabela1[[#This Row],[Total 2019]]/Tabela1[[#This Row],[Total 2018]]-1,0)</f>
        <v>-0.61823326520666555</v>
      </c>
      <c r="W111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1117" s="48"/>
      <c r="Y1117" s="19"/>
      <c r="Z1117" s="68"/>
    </row>
    <row r="1118" spans="3:26" x14ac:dyDescent="0.35">
      <c r="C1118" s="11" t="s">
        <v>2703</v>
      </c>
      <c r="D1118" s="12" t="s">
        <v>2698</v>
      </c>
      <c r="E1118" s="12">
        <v>1097</v>
      </c>
      <c r="F1118" s="13" t="s">
        <v>2544</v>
      </c>
      <c r="G1118" s="14">
        <v>3</v>
      </c>
      <c r="H1118" s="14" t="s">
        <v>403</v>
      </c>
      <c r="I1118" s="13">
        <v>39</v>
      </c>
      <c r="J1118" s="15" t="s">
        <v>1438</v>
      </c>
      <c r="K1118" s="15" t="s">
        <v>2711</v>
      </c>
      <c r="L1118" s="16"/>
      <c r="M1118" s="16">
        <v>2149.1374999999998</v>
      </c>
      <c r="N1118" s="16"/>
      <c r="O1118" s="16"/>
      <c r="P1118" s="16"/>
      <c r="Q1118" s="16">
        <f>SUM(Tabela1[[#This Row],[201805]:[201807]])</f>
        <v>2149.1374999999998</v>
      </c>
      <c r="R1118" s="16">
        <f>SUM(Tabela1[[#This Row],[201905]:[201906]])</f>
        <v>0</v>
      </c>
      <c r="S1118" s="16">
        <v>100000</v>
      </c>
      <c r="T1118" s="16">
        <f>Tabela1[[#This Row],[Total 2019]]-Tabela1[[#This Row],[Total 2018]]</f>
        <v>-2149.1374999999998</v>
      </c>
      <c r="U1118" s="40">
        <f>Tabela1[[#This Row],[Total 2019]]/Tabela1[[#This Row],[Meta]]</f>
        <v>0</v>
      </c>
      <c r="V1118" s="17">
        <f>IFERROR(Tabela1[[#This Row],[Total 2019]]/Tabela1[[#This Row],[Total 2018]]-1,0)</f>
        <v>-1</v>
      </c>
      <c r="W111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18" s="48"/>
      <c r="Y1118" s="19"/>
      <c r="Z1118" s="68"/>
    </row>
    <row r="1119" spans="3:26" x14ac:dyDescent="0.35">
      <c r="C1119" s="11" t="s">
        <v>2704</v>
      </c>
      <c r="D1119" s="12" t="s">
        <v>2700</v>
      </c>
      <c r="E1119" s="12">
        <v>1098</v>
      </c>
      <c r="F1119" s="13" t="s">
        <v>2545</v>
      </c>
      <c r="G1119" s="14">
        <v>3</v>
      </c>
      <c r="H1119" s="14" t="s">
        <v>413</v>
      </c>
      <c r="I1119" s="13">
        <v>45</v>
      </c>
      <c r="J1119" s="15" t="s">
        <v>1444</v>
      </c>
      <c r="K1119" s="15" t="s">
        <v>2711</v>
      </c>
      <c r="L1119" s="16">
        <v>2165.7530000000002</v>
      </c>
      <c r="M1119" s="16">
        <v>5072.8765000000003</v>
      </c>
      <c r="N1119" s="16"/>
      <c r="O1119" s="16"/>
      <c r="P1119" s="16"/>
      <c r="Q1119" s="16">
        <f>SUM(Tabela1[[#This Row],[201805]:[201807]])</f>
        <v>7238.6295000000009</v>
      </c>
      <c r="R1119" s="16">
        <f>SUM(Tabela1[[#This Row],[201905]:[201906]])</f>
        <v>0</v>
      </c>
      <c r="S1119" s="16">
        <v>100000</v>
      </c>
      <c r="T1119" s="16">
        <f>Tabela1[[#This Row],[Total 2019]]-Tabela1[[#This Row],[Total 2018]]</f>
        <v>-7238.6295000000009</v>
      </c>
      <c r="U1119" s="40">
        <f>Tabela1[[#This Row],[Total 2019]]/Tabela1[[#This Row],[Meta]]</f>
        <v>0</v>
      </c>
      <c r="V1119" s="17">
        <f>IFERROR(Tabela1[[#This Row],[Total 2019]]/Tabela1[[#This Row],[Total 2018]]-1,0)</f>
        <v>-1</v>
      </c>
      <c r="W111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19" s="48"/>
      <c r="Y1119" s="19"/>
      <c r="Z1119" s="68"/>
    </row>
    <row r="1120" spans="3:26" x14ac:dyDescent="0.35">
      <c r="C1120" s="11" t="s">
        <v>2702</v>
      </c>
      <c r="D1120" s="12" t="s">
        <v>2699</v>
      </c>
      <c r="E1120" s="12">
        <v>1099</v>
      </c>
      <c r="F1120" s="13" t="s">
        <v>2546</v>
      </c>
      <c r="G1120" s="14">
        <v>1</v>
      </c>
      <c r="H1120" s="14" t="s">
        <v>401</v>
      </c>
      <c r="I1120" s="13">
        <v>37</v>
      </c>
      <c r="J1120" s="15" t="s">
        <v>1436</v>
      </c>
      <c r="K1120" s="15" t="s">
        <v>2711</v>
      </c>
      <c r="L1120" s="16"/>
      <c r="M1120" s="16">
        <v>596.01099999999997</v>
      </c>
      <c r="N1120" s="16"/>
      <c r="O1120" s="16"/>
      <c r="P1120" s="16"/>
      <c r="Q1120" s="16">
        <f>SUM(Tabela1[[#This Row],[201805]:[201807]])</f>
        <v>596.01099999999997</v>
      </c>
      <c r="R1120" s="16">
        <f>SUM(Tabela1[[#This Row],[201905]:[201906]])</f>
        <v>0</v>
      </c>
      <c r="S1120" s="16">
        <v>100000</v>
      </c>
      <c r="T1120" s="16">
        <f>Tabela1[[#This Row],[Total 2019]]-Tabela1[[#This Row],[Total 2018]]</f>
        <v>-596.01099999999997</v>
      </c>
      <c r="U1120" s="40">
        <f>Tabela1[[#This Row],[Total 2019]]/Tabela1[[#This Row],[Meta]]</f>
        <v>0</v>
      </c>
      <c r="V1120" s="17">
        <f>IFERROR(Tabela1[[#This Row],[Total 2019]]/Tabela1[[#This Row],[Total 2018]]-1,0)</f>
        <v>-1</v>
      </c>
      <c r="W112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20" s="48"/>
      <c r="Y1120" s="19"/>
      <c r="Z1120" s="68"/>
    </row>
    <row r="1121" spans="3:26" x14ac:dyDescent="0.35">
      <c r="C1121" s="11" t="s">
        <v>2703</v>
      </c>
      <c r="D1121" s="12" t="s">
        <v>2699</v>
      </c>
      <c r="E1121" s="12">
        <v>1100</v>
      </c>
      <c r="F1121" s="13" t="s">
        <v>2547</v>
      </c>
      <c r="G1121" s="14">
        <v>3</v>
      </c>
      <c r="H1121" s="14" t="s">
        <v>403</v>
      </c>
      <c r="I1121" s="13">
        <v>39</v>
      </c>
      <c r="J1121" s="15" t="s">
        <v>1438</v>
      </c>
      <c r="K1121" s="15" t="s">
        <v>2711</v>
      </c>
      <c r="L1121" s="16">
        <v>4045.7934999999998</v>
      </c>
      <c r="M1121" s="16">
        <v>3420.9024999999997</v>
      </c>
      <c r="N1121" s="16"/>
      <c r="O1121" s="16"/>
      <c r="P1121" s="16"/>
      <c r="Q1121" s="16">
        <f>SUM(Tabela1[[#This Row],[201805]:[201807]])</f>
        <v>7466.6959999999999</v>
      </c>
      <c r="R1121" s="16">
        <f>SUM(Tabela1[[#This Row],[201905]:[201906]])</f>
        <v>0</v>
      </c>
      <c r="S1121" s="16">
        <v>100000</v>
      </c>
      <c r="T1121" s="16">
        <f>Tabela1[[#This Row],[Total 2019]]-Tabela1[[#This Row],[Total 2018]]</f>
        <v>-7466.6959999999999</v>
      </c>
      <c r="U1121" s="40">
        <f>Tabela1[[#This Row],[Total 2019]]/Tabela1[[#This Row],[Meta]]</f>
        <v>0</v>
      </c>
      <c r="V1121" s="17">
        <f>IFERROR(Tabela1[[#This Row],[Total 2019]]/Tabela1[[#This Row],[Total 2018]]-1,0)</f>
        <v>-1</v>
      </c>
      <c r="W112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21" s="48"/>
      <c r="Y1121" s="19"/>
      <c r="Z1121" s="68"/>
    </row>
    <row r="1122" spans="3:26" x14ac:dyDescent="0.35">
      <c r="C1122" s="11" t="s">
        <v>2702</v>
      </c>
      <c r="D1122" s="12" t="s">
        <v>2700</v>
      </c>
      <c r="E1122" s="12">
        <v>1101</v>
      </c>
      <c r="F1122" s="13" t="s">
        <v>2548</v>
      </c>
      <c r="G1122" s="14">
        <v>3</v>
      </c>
      <c r="H1122" s="14" t="s">
        <v>401</v>
      </c>
      <c r="I1122" s="13">
        <v>37</v>
      </c>
      <c r="J1122" s="15" t="s">
        <v>1436</v>
      </c>
      <c r="K1122" s="15" t="s">
        <v>2711</v>
      </c>
      <c r="L1122" s="16">
        <v>2893.8140000000003</v>
      </c>
      <c r="M1122" s="16">
        <v>1157.4894999999999</v>
      </c>
      <c r="N1122" s="16"/>
      <c r="O1122" s="16"/>
      <c r="P1122" s="16"/>
      <c r="Q1122" s="16">
        <f>SUM(Tabela1[[#This Row],[201805]:[201807]])</f>
        <v>4051.3035</v>
      </c>
      <c r="R1122" s="16">
        <f>SUM(Tabela1[[#This Row],[201905]:[201906]])</f>
        <v>0</v>
      </c>
      <c r="S1122" s="16">
        <v>100000</v>
      </c>
      <c r="T1122" s="16">
        <f>Tabela1[[#This Row],[Total 2019]]-Tabela1[[#This Row],[Total 2018]]</f>
        <v>-4051.3035</v>
      </c>
      <c r="U1122" s="40">
        <f>Tabela1[[#This Row],[Total 2019]]/Tabela1[[#This Row],[Meta]]</f>
        <v>0</v>
      </c>
      <c r="V1122" s="17">
        <f>IFERROR(Tabela1[[#This Row],[Total 2019]]/Tabela1[[#This Row],[Total 2018]]-1,0)</f>
        <v>-1</v>
      </c>
      <c r="W112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22" s="48"/>
      <c r="Y1122" s="19"/>
      <c r="Z1122" s="68"/>
    </row>
    <row r="1123" spans="3:26" x14ac:dyDescent="0.35">
      <c r="C1123" s="11" t="s">
        <v>2704</v>
      </c>
      <c r="D1123" s="12" t="s">
        <v>2698</v>
      </c>
      <c r="E1123" s="12">
        <v>1102</v>
      </c>
      <c r="F1123" s="13" t="s">
        <v>2549</v>
      </c>
      <c r="G1123" s="14">
        <v>2</v>
      </c>
      <c r="H1123" s="14" t="s">
        <v>416</v>
      </c>
      <c r="I1123" s="13">
        <v>38</v>
      </c>
      <c r="J1123" s="15" t="s">
        <v>1437</v>
      </c>
      <c r="K1123" s="15" t="s">
        <v>2711</v>
      </c>
      <c r="L1123" s="16">
        <v>7384.54</v>
      </c>
      <c r="M1123" s="16">
        <v>3597.4504999999999</v>
      </c>
      <c r="N1123" s="16"/>
      <c r="O1123" s="16"/>
      <c r="P1123" s="16"/>
      <c r="Q1123" s="16">
        <f>SUM(Tabela1[[#This Row],[201805]:[201807]])</f>
        <v>10981.9905</v>
      </c>
      <c r="R1123" s="16">
        <f>SUM(Tabela1[[#This Row],[201905]:[201906]])</f>
        <v>0</v>
      </c>
      <c r="S1123" s="16">
        <v>100000</v>
      </c>
      <c r="T1123" s="16">
        <f>Tabela1[[#This Row],[Total 2019]]-Tabela1[[#This Row],[Total 2018]]</f>
        <v>-10981.9905</v>
      </c>
      <c r="U1123" s="40">
        <f>Tabela1[[#This Row],[Total 2019]]/Tabela1[[#This Row],[Meta]]</f>
        <v>0</v>
      </c>
      <c r="V1123" s="17">
        <f>IFERROR(Tabela1[[#This Row],[Total 2019]]/Tabela1[[#This Row],[Total 2018]]-1,0)</f>
        <v>-1</v>
      </c>
      <c r="W112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23" s="48"/>
      <c r="Y1123" s="19"/>
      <c r="Z1123" s="68"/>
    </row>
    <row r="1124" spans="3:26" x14ac:dyDescent="0.35">
      <c r="C1124" s="11" t="s">
        <v>2704</v>
      </c>
      <c r="D1124" s="12" t="s">
        <v>2700</v>
      </c>
      <c r="E1124" s="12">
        <v>1103</v>
      </c>
      <c r="F1124" s="13" t="s">
        <v>2550</v>
      </c>
      <c r="G1124" s="14">
        <v>2</v>
      </c>
      <c r="H1124" s="14" t="s">
        <v>401</v>
      </c>
      <c r="I1124" s="13">
        <v>37</v>
      </c>
      <c r="J1124" s="15" t="s">
        <v>1436</v>
      </c>
      <c r="K1124" s="15" t="s">
        <v>2711</v>
      </c>
      <c r="L1124" s="16"/>
      <c r="M1124" s="16">
        <v>3820.2444999999998</v>
      </c>
      <c r="N1124" s="16"/>
      <c r="O1124" s="16"/>
      <c r="P1124" s="16"/>
      <c r="Q1124" s="16">
        <f>SUM(Tabela1[[#This Row],[201805]:[201807]])</f>
        <v>3820.2444999999998</v>
      </c>
      <c r="R1124" s="16">
        <f>SUM(Tabela1[[#This Row],[201905]:[201906]])</f>
        <v>0</v>
      </c>
      <c r="S1124" s="16">
        <v>100000</v>
      </c>
      <c r="T1124" s="16">
        <f>Tabela1[[#This Row],[Total 2019]]-Tabela1[[#This Row],[Total 2018]]</f>
        <v>-3820.2444999999998</v>
      </c>
      <c r="U1124" s="40">
        <f>Tabela1[[#This Row],[Total 2019]]/Tabela1[[#This Row],[Meta]]</f>
        <v>0</v>
      </c>
      <c r="V1124" s="17">
        <f>IFERROR(Tabela1[[#This Row],[Total 2019]]/Tabela1[[#This Row],[Total 2018]]-1,0)</f>
        <v>-1</v>
      </c>
      <c r="W112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24" s="48"/>
      <c r="Y1124" s="19"/>
      <c r="Z1124" s="68"/>
    </row>
    <row r="1125" spans="3:26" x14ac:dyDescent="0.35">
      <c r="C1125" s="11" t="s">
        <v>2704</v>
      </c>
      <c r="D1125" s="12" t="s">
        <v>2698</v>
      </c>
      <c r="E1125" s="12">
        <v>1104</v>
      </c>
      <c r="F1125" s="13" t="s">
        <v>2551</v>
      </c>
      <c r="G1125" s="14">
        <v>3</v>
      </c>
      <c r="H1125" s="14" t="s">
        <v>401</v>
      </c>
      <c r="I1125" s="13">
        <v>37</v>
      </c>
      <c r="J1125" s="15" t="s">
        <v>1436</v>
      </c>
      <c r="K1125" s="15" t="s">
        <v>2711</v>
      </c>
      <c r="L1125" s="16">
        <v>7209.1795000000002</v>
      </c>
      <c r="M1125" s="16">
        <v>3424.8545000000004</v>
      </c>
      <c r="N1125" s="16"/>
      <c r="O1125" s="16"/>
      <c r="P1125" s="16"/>
      <c r="Q1125" s="16">
        <f>SUM(Tabela1[[#This Row],[201805]:[201807]])</f>
        <v>10634.034</v>
      </c>
      <c r="R1125" s="16">
        <f>SUM(Tabela1[[#This Row],[201905]:[201906]])</f>
        <v>0</v>
      </c>
      <c r="S1125" s="16">
        <v>100000</v>
      </c>
      <c r="T1125" s="16">
        <f>Tabela1[[#This Row],[Total 2019]]-Tabela1[[#This Row],[Total 2018]]</f>
        <v>-10634.034</v>
      </c>
      <c r="U1125" s="40">
        <f>Tabela1[[#This Row],[Total 2019]]/Tabela1[[#This Row],[Meta]]</f>
        <v>0</v>
      </c>
      <c r="V1125" s="17">
        <f>IFERROR(Tabela1[[#This Row],[Total 2019]]/Tabela1[[#This Row],[Total 2018]]-1,0)</f>
        <v>-1</v>
      </c>
      <c r="W112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25" s="48"/>
      <c r="Y1125" s="19"/>
      <c r="Z1125" s="68"/>
    </row>
    <row r="1126" spans="3:26" x14ac:dyDescent="0.35">
      <c r="C1126" s="11" t="s">
        <v>2703</v>
      </c>
      <c r="D1126" s="12" t="s">
        <v>2699</v>
      </c>
      <c r="E1126" s="12">
        <v>1105</v>
      </c>
      <c r="F1126" s="13" t="s">
        <v>2552</v>
      </c>
      <c r="G1126" s="14">
        <v>2</v>
      </c>
      <c r="H1126" s="14" t="s">
        <v>401</v>
      </c>
      <c r="I1126" s="13">
        <v>37</v>
      </c>
      <c r="J1126" s="15" t="s">
        <v>1436</v>
      </c>
      <c r="K1126" s="15" t="s">
        <v>2711</v>
      </c>
      <c r="L1126" s="16"/>
      <c r="M1126" s="16"/>
      <c r="N1126" s="16">
        <v>4139.1025</v>
      </c>
      <c r="O1126" s="16"/>
      <c r="P1126" s="16"/>
      <c r="Q1126" s="16">
        <f>SUM(Tabela1[[#This Row],[201805]:[201807]])</f>
        <v>4139.1025</v>
      </c>
      <c r="R1126" s="16">
        <f>SUM(Tabela1[[#This Row],[201905]:[201906]])</f>
        <v>0</v>
      </c>
      <c r="S1126" s="16">
        <v>100000</v>
      </c>
      <c r="T1126" s="16">
        <f>Tabela1[[#This Row],[Total 2019]]-Tabela1[[#This Row],[Total 2018]]</f>
        <v>-4139.1025</v>
      </c>
      <c r="U1126" s="40">
        <f>Tabela1[[#This Row],[Total 2019]]/Tabela1[[#This Row],[Meta]]</f>
        <v>0</v>
      </c>
      <c r="V1126" s="17">
        <f>IFERROR(Tabela1[[#This Row],[Total 2019]]/Tabela1[[#This Row],[Total 2018]]-1,0)</f>
        <v>-1</v>
      </c>
      <c r="W112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26" s="48"/>
      <c r="Y1126" s="19"/>
      <c r="Z1126" s="68"/>
    </row>
    <row r="1127" spans="3:26" x14ac:dyDescent="0.35">
      <c r="C1127" s="11" t="s">
        <v>2703</v>
      </c>
      <c r="D1127" s="12" t="s">
        <v>2700</v>
      </c>
      <c r="E1127" s="12">
        <v>1106</v>
      </c>
      <c r="F1127" s="13" t="s">
        <v>2553</v>
      </c>
      <c r="G1127" s="14">
        <v>3</v>
      </c>
      <c r="H1127" s="14" t="s">
        <v>401</v>
      </c>
      <c r="I1127" s="13">
        <v>37</v>
      </c>
      <c r="J1127" s="15" t="s">
        <v>1436</v>
      </c>
      <c r="K1127" s="15" t="s">
        <v>2711</v>
      </c>
      <c r="L1127" s="16"/>
      <c r="M1127" s="16">
        <v>6350.8829999999998</v>
      </c>
      <c r="N1127" s="16">
        <v>1549.6685</v>
      </c>
      <c r="O1127" s="16">
        <v>2486.0739999999996</v>
      </c>
      <c r="P1127" s="16"/>
      <c r="Q1127" s="16">
        <f>SUM(Tabela1[[#This Row],[201805]:[201807]])</f>
        <v>7900.5514999999996</v>
      </c>
      <c r="R1127" s="16">
        <f>SUM(Tabela1[[#This Row],[201905]:[201906]])</f>
        <v>2486.0739999999996</v>
      </c>
      <c r="S1127" s="16">
        <v>100000</v>
      </c>
      <c r="T1127" s="16">
        <f>Tabela1[[#This Row],[Total 2019]]-Tabela1[[#This Row],[Total 2018]]</f>
        <v>-5414.4775</v>
      </c>
      <c r="U1127" s="40">
        <f>Tabela1[[#This Row],[Total 2019]]/Tabela1[[#This Row],[Meta]]</f>
        <v>2.4860739999999996E-2</v>
      </c>
      <c r="V1127" s="17">
        <f>IFERROR(Tabela1[[#This Row],[Total 2019]]/Tabela1[[#This Row],[Total 2018]]-1,0)</f>
        <v>-0.68532905582603953</v>
      </c>
      <c r="W112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1127" s="48"/>
      <c r="Y1127" s="19"/>
      <c r="Z1127" s="68"/>
    </row>
    <row r="1128" spans="3:26" x14ac:dyDescent="0.35">
      <c r="C1128" s="11" t="s">
        <v>2702</v>
      </c>
      <c r="D1128" s="12" t="s">
        <v>2698</v>
      </c>
      <c r="E1128" s="12">
        <v>1107</v>
      </c>
      <c r="F1128" s="13" t="s">
        <v>2554</v>
      </c>
      <c r="G1128" s="14">
        <v>2</v>
      </c>
      <c r="H1128" s="14" t="s">
        <v>407</v>
      </c>
      <c r="I1128" s="13">
        <v>41</v>
      </c>
      <c r="J1128" s="15" t="s">
        <v>1440</v>
      </c>
      <c r="K1128" s="15" t="s">
        <v>2712</v>
      </c>
      <c r="L1128" s="16">
        <v>2435.3820000000001</v>
      </c>
      <c r="M1128" s="16">
        <v>1156.663</v>
      </c>
      <c r="N1128" s="16"/>
      <c r="O1128" s="16"/>
      <c r="P1128" s="16"/>
      <c r="Q1128" s="16">
        <f>SUM(Tabela1[[#This Row],[201805]:[201807]])</f>
        <v>3592.0450000000001</v>
      </c>
      <c r="R1128" s="16">
        <f>SUM(Tabela1[[#This Row],[201905]:[201906]])</f>
        <v>0</v>
      </c>
      <c r="S1128" s="16">
        <v>100000</v>
      </c>
      <c r="T1128" s="16">
        <f>Tabela1[[#This Row],[Total 2019]]-Tabela1[[#This Row],[Total 2018]]</f>
        <v>-3592.0450000000001</v>
      </c>
      <c r="U1128" s="40">
        <f>Tabela1[[#This Row],[Total 2019]]/Tabela1[[#This Row],[Meta]]</f>
        <v>0</v>
      </c>
      <c r="V1128" s="17">
        <f>IFERROR(Tabela1[[#This Row],[Total 2019]]/Tabela1[[#This Row],[Total 2018]]-1,0)</f>
        <v>-1</v>
      </c>
      <c r="W112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28" s="48"/>
      <c r="Y1128" s="19"/>
      <c r="Z1128" s="68"/>
    </row>
    <row r="1129" spans="3:26" x14ac:dyDescent="0.35">
      <c r="C1129" s="11" t="s">
        <v>2704</v>
      </c>
      <c r="D1129" s="12" t="s">
        <v>2698</v>
      </c>
      <c r="E1129" s="12">
        <v>1108</v>
      </c>
      <c r="F1129" s="13" t="s">
        <v>2555</v>
      </c>
      <c r="G1129" s="14">
        <v>2</v>
      </c>
      <c r="H1129" s="14" t="s">
        <v>416</v>
      </c>
      <c r="I1129" s="13">
        <v>38</v>
      </c>
      <c r="J1129" s="15" t="s">
        <v>1437</v>
      </c>
      <c r="K1129" s="15" t="s">
        <v>2711</v>
      </c>
      <c r="L1129" s="16">
        <v>2409.4755</v>
      </c>
      <c r="M1129" s="16">
        <v>247.49399999999997</v>
      </c>
      <c r="N1129" s="16">
        <v>192.92600000000002</v>
      </c>
      <c r="O1129" s="16"/>
      <c r="P1129" s="16"/>
      <c r="Q1129" s="16">
        <f>SUM(Tabela1[[#This Row],[201805]:[201807]])</f>
        <v>2849.8955000000001</v>
      </c>
      <c r="R1129" s="16">
        <f>SUM(Tabela1[[#This Row],[201905]:[201906]])</f>
        <v>0</v>
      </c>
      <c r="S1129" s="16">
        <v>100000</v>
      </c>
      <c r="T1129" s="16">
        <f>Tabela1[[#This Row],[Total 2019]]-Tabela1[[#This Row],[Total 2018]]</f>
        <v>-2849.8955000000001</v>
      </c>
      <c r="U1129" s="40">
        <f>Tabela1[[#This Row],[Total 2019]]/Tabela1[[#This Row],[Meta]]</f>
        <v>0</v>
      </c>
      <c r="V1129" s="17">
        <f>IFERROR(Tabela1[[#This Row],[Total 2019]]/Tabela1[[#This Row],[Total 2018]]-1,0)</f>
        <v>-1</v>
      </c>
      <c r="W112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29" s="48"/>
      <c r="Y1129" s="19"/>
      <c r="Z1129" s="68"/>
    </row>
    <row r="1130" spans="3:26" x14ac:dyDescent="0.35">
      <c r="C1130" s="11" t="s">
        <v>2703</v>
      </c>
      <c r="D1130" s="12" t="s">
        <v>2698</v>
      </c>
      <c r="E1130" s="12">
        <v>1109</v>
      </c>
      <c r="F1130" s="13" t="s">
        <v>2556</v>
      </c>
      <c r="G1130" s="14">
        <v>2</v>
      </c>
      <c r="H1130" s="14" t="s">
        <v>410</v>
      </c>
      <c r="I1130" s="13">
        <v>44</v>
      </c>
      <c r="J1130" s="15" t="s">
        <v>1443</v>
      </c>
      <c r="K1130" s="15" t="s">
        <v>2711</v>
      </c>
      <c r="L1130" s="16">
        <v>4031.2394999999997</v>
      </c>
      <c r="M1130" s="16">
        <v>2835.7879999999996</v>
      </c>
      <c r="N1130" s="16"/>
      <c r="O1130" s="16"/>
      <c r="P1130" s="16"/>
      <c r="Q1130" s="16">
        <f>SUM(Tabela1[[#This Row],[201805]:[201807]])</f>
        <v>6867.0274999999992</v>
      </c>
      <c r="R1130" s="16">
        <f>SUM(Tabela1[[#This Row],[201905]:[201906]])</f>
        <v>0</v>
      </c>
      <c r="S1130" s="16">
        <v>100000</v>
      </c>
      <c r="T1130" s="16">
        <f>Tabela1[[#This Row],[Total 2019]]-Tabela1[[#This Row],[Total 2018]]</f>
        <v>-6867.0274999999992</v>
      </c>
      <c r="U1130" s="40">
        <f>Tabela1[[#This Row],[Total 2019]]/Tabela1[[#This Row],[Meta]]</f>
        <v>0</v>
      </c>
      <c r="V1130" s="17">
        <f>IFERROR(Tabela1[[#This Row],[Total 2019]]/Tabela1[[#This Row],[Total 2018]]-1,0)</f>
        <v>-1</v>
      </c>
      <c r="W113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30" s="48"/>
      <c r="Y1130" s="19"/>
      <c r="Z1130" s="68"/>
    </row>
    <row r="1131" spans="3:26" x14ac:dyDescent="0.35">
      <c r="C1131" s="11" t="s">
        <v>2702</v>
      </c>
      <c r="D1131" s="12" t="s">
        <v>2699</v>
      </c>
      <c r="E1131" s="12">
        <v>1110</v>
      </c>
      <c r="F1131" s="13" t="s">
        <v>2557</v>
      </c>
      <c r="G1131" s="14">
        <v>2</v>
      </c>
      <c r="H1131" s="14" t="s">
        <v>401</v>
      </c>
      <c r="I1131" s="13">
        <v>37</v>
      </c>
      <c r="J1131" s="15" t="s">
        <v>1436</v>
      </c>
      <c r="K1131" s="15" t="s">
        <v>2711</v>
      </c>
      <c r="L1131" s="16"/>
      <c r="M1131" s="16">
        <v>1985.7565</v>
      </c>
      <c r="N1131" s="16">
        <v>2058.1179999999999</v>
      </c>
      <c r="O1131" s="16"/>
      <c r="P1131" s="16"/>
      <c r="Q1131" s="16">
        <f>SUM(Tabela1[[#This Row],[201805]:[201807]])</f>
        <v>4043.8744999999999</v>
      </c>
      <c r="R1131" s="16">
        <f>SUM(Tabela1[[#This Row],[201905]:[201906]])</f>
        <v>0</v>
      </c>
      <c r="S1131" s="16">
        <v>100000</v>
      </c>
      <c r="T1131" s="16">
        <f>Tabela1[[#This Row],[Total 2019]]-Tabela1[[#This Row],[Total 2018]]</f>
        <v>-4043.8744999999999</v>
      </c>
      <c r="U1131" s="40">
        <f>Tabela1[[#This Row],[Total 2019]]/Tabela1[[#This Row],[Meta]]</f>
        <v>0</v>
      </c>
      <c r="V1131" s="17">
        <f>IFERROR(Tabela1[[#This Row],[Total 2019]]/Tabela1[[#This Row],[Total 2018]]-1,0)</f>
        <v>-1</v>
      </c>
      <c r="W113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31" s="48"/>
      <c r="Y1131" s="19"/>
      <c r="Z1131" s="68"/>
    </row>
    <row r="1132" spans="3:26" x14ac:dyDescent="0.35">
      <c r="C1132" s="11" t="s">
        <v>2704</v>
      </c>
      <c r="D1132" s="12" t="s">
        <v>2700</v>
      </c>
      <c r="E1132" s="12">
        <v>1111</v>
      </c>
      <c r="F1132" s="13" t="s">
        <v>2558</v>
      </c>
      <c r="G1132" s="14">
        <v>1</v>
      </c>
      <c r="H1132" s="14" t="s">
        <v>403</v>
      </c>
      <c r="I1132" s="13">
        <v>39</v>
      </c>
      <c r="J1132" s="15" t="s">
        <v>1438</v>
      </c>
      <c r="K1132" s="15" t="s">
        <v>2711</v>
      </c>
      <c r="L1132" s="16">
        <v>3004.6030000000001</v>
      </c>
      <c r="M1132" s="16">
        <v>8750.0604999999996</v>
      </c>
      <c r="N1132" s="16"/>
      <c r="O1132" s="16"/>
      <c r="P1132" s="16"/>
      <c r="Q1132" s="16">
        <f>SUM(Tabela1[[#This Row],[201805]:[201807]])</f>
        <v>11754.663499999999</v>
      </c>
      <c r="R1132" s="16">
        <f>SUM(Tabela1[[#This Row],[201905]:[201906]])</f>
        <v>0</v>
      </c>
      <c r="S1132" s="16">
        <v>100000</v>
      </c>
      <c r="T1132" s="16">
        <f>Tabela1[[#This Row],[Total 2019]]-Tabela1[[#This Row],[Total 2018]]</f>
        <v>-11754.663499999999</v>
      </c>
      <c r="U1132" s="40">
        <f>Tabela1[[#This Row],[Total 2019]]/Tabela1[[#This Row],[Meta]]</f>
        <v>0</v>
      </c>
      <c r="V1132" s="17">
        <f>IFERROR(Tabela1[[#This Row],[Total 2019]]/Tabela1[[#This Row],[Total 2018]]-1,0)</f>
        <v>-1</v>
      </c>
      <c r="W113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32" s="48"/>
      <c r="Y1132" s="19"/>
      <c r="Z1132" s="68"/>
    </row>
    <row r="1133" spans="3:26" x14ac:dyDescent="0.35">
      <c r="C1133" s="11" t="s">
        <v>2703</v>
      </c>
      <c r="D1133" s="12" t="s">
        <v>2699</v>
      </c>
      <c r="E1133" s="12">
        <v>1112</v>
      </c>
      <c r="F1133" s="13" t="s">
        <v>2559</v>
      </c>
      <c r="G1133" s="14">
        <v>3</v>
      </c>
      <c r="H1133" s="14" t="s">
        <v>403</v>
      </c>
      <c r="I1133" s="13">
        <v>39</v>
      </c>
      <c r="J1133" s="15" t="s">
        <v>1438</v>
      </c>
      <c r="K1133" s="15" t="s">
        <v>2711</v>
      </c>
      <c r="L1133" s="16">
        <v>3685.9144999999999</v>
      </c>
      <c r="M1133" s="16">
        <v>4221.4105</v>
      </c>
      <c r="N1133" s="16"/>
      <c r="O1133" s="16"/>
      <c r="P1133" s="16"/>
      <c r="Q1133" s="16">
        <f>SUM(Tabela1[[#This Row],[201805]:[201807]])</f>
        <v>7907.3249999999998</v>
      </c>
      <c r="R1133" s="16">
        <f>SUM(Tabela1[[#This Row],[201905]:[201906]])</f>
        <v>0</v>
      </c>
      <c r="S1133" s="16">
        <v>100000</v>
      </c>
      <c r="T1133" s="16">
        <f>Tabela1[[#This Row],[Total 2019]]-Tabela1[[#This Row],[Total 2018]]</f>
        <v>-7907.3249999999998</v>
      </c>
      <c r="U1133" s="40">
        <f>Tabela1[[#This Row],[Total 2019]]/Tabela1[[#This Row],[Meta]]</f>
        <v>0</v>
      </c>
      <c r="V1133" s="17">
        <f>IFERROR(Tabela1[[#This Row],[Total 2019]]/Tabela1[[#This Row],[Total 2018]]-1,0)</f>
        <v>-1</v>
      </c>
      <c r="W113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33" s="48"/>
      <c r="Y1133" s="19"/>
      <c r="Z1133" s="68"/>
    </row>
    <row r="1134" spans="3:26" x14ac:dyDescent="0.35">
      <c r="C1134" s="11" t="s">
        <v>2702</v>
      </c>
      <c r="D1134" s="12" t="s">
        <v>2698</v>
      </c>
      <c r="E1134" s="12">
        <v>1113</v>
      </c>
      <c r="F1134" s="13" t="s">
        <v>2560</v>
      </c>
      <c r="G1134" s="14">
        <v>2</v>
      </c>
      <c r="H1134" s="14" t="s">
        <v>403</v>
      </c>
      <c r="I1134" s="13">
        <v>39</v>
      </c>
      <c r="J1134" s="15" t="s">
        <v>1438</v>
      </c>
      <c r="K1134" s="15" t="s">
        <v>2711</v>
      </c>
      <c r="L1134" s="16">
        <v>4413.2725</v>
      </c>
      <c r="M1134" s="16">
        <v>3593.0045</v>
      </c>
      <c r="N1134" s="16"/>
      <c r="O1134" s="16"/>
      <c r="P1134" s="16"/>
      <c r="Q1134" s="16">
        <f>SUM(Tabela1[[#This Row],[201805]:[201807]])</f>
        <v>8006.277</v>
      </c>
      <c r="R1134" s="16">
        <f>SUM(Tabela1[[#This Row],[201905]:[201906]])</f>
        <v>0</v>
      </c>
      <c r="S1134" s="16">
        <v>100000</v>
      </c>
      <c r="T1134" s="16">
        <f>Tabela1[[#This Row],[Total 2019]]-Tabela1[[#This Row],[Total 2018]]</f>
        <v>-8006.277</v>
      </c>
      <c r="U1134" s="40">
        <f>Tabela1[[#This Row],[Total 2019]]/Tabela1[[#This Row],[Meta]]</f>
        <v>0</v>
      </c>
      <c r="V1134" s="17">
        <f>IFERROR(Tabela1[[#This Row],[Total 2019]]/Tabela1[[#This Row],[Total 2018]]-1,0)</f>
        <v>-1</v>
      </c>
      <c r="W113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34" s="48"/>
      <c r="Y1134" s="19"/>
      <c r="Z1134" s="68"/>
    </row>
    <row r="1135" spans="3:26" x14ac:dyDescent="0.35">
      <c r="C1135" s="11" t="s">
        <v>2703</v>
      </c>
      <c r="D1135" s="12" t="s">
        <v>2700</v>
      </c>
      <c r="E1135" s="12">
        <v>1113</v>
      </c>
      <c r="F1135" s="13" t="s">
        <v>2560</v>
      </c>
      <c r="G1135" s="14">
        <v>3</v>
      </c>
      <c r="H1135" s="14" t="s">
        <v>403</v>
      </c>
      <c r="I1135" s="13">
        <v>39</v>
      </c>
      <c r="J1135" s="15" t="s">
        <v>1438</v>
      </c>
      <c r="K1135" s="15" t="s">
        <v>2711</v>
      </c>
      <c r="L1135" s="16"/>
      <c r="M1135" s="16"/>
      <c r="N1135" s="16"/>
      <c r="O1135" s="16">
        <v>571.66250000000002</v>
      </c>
      <c r="P1135" s="16">
        <v>2074.2109999999998</v>
      </c>
      <c r="Q1135" s="16">
        <f>SUM(Tabela1[[#This Row],[201805]:[201807]])</f>
        <v>0</v>
      </c>
      <c r="R1135" s="16">
        <f>SUM(Tabela1[[#This Row],[201905]:[201906]])</f>
        <v>2645.8734999999997</v>
      </c>
      <c r="S1135" s="16">
        <v>100000</v>
      </c>
      <c r="T1135" s="16">
        <f>Tabela1[[#This Row],[Total 2019]]-Tabela1[[#This Row],[Total 2018]]</f>
        <v>2645.8734999999997</v>
      </c>
      <c r="U1135" s="40">
        <f>Tabela1[[#This Row],[Total 2019]]/Tabela1[[#This Row],[Meta]]</f>
        <v>2.6458734999999997E-2</v>
      </c>
      <c r="V1135" s="17">
        <f>IFERROR(Tabela1[[#This Row],[Total 2019]]/Tabela1[[#This Row],[Total 2018]]-1,0)</f>
        <v>0</v>
      </c>
      <c r="W113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135" s="48"/>
      <c r="Y1135" s="19"/>
      <c r="Z1135" s="68"/>
    </row>
    <row r="1136" spans="3:26" x14ac:dyDescent="0.35">
      <c r="C1136" s="11" t="s">
        <v>2704</v>
      </c>
      <c r="D1136" s="12" t="s">
        <v>2699</v>
      </c>
      <c r="E1136" s="12">
        <v>1114</v>
      </c>
      <c r="F1136" s="13" t="s">
        <v>2561</v>
      </c>
      <c r="G1136" s="14">
        <v>2</v>
      </c>
      <c r="H1136" s="14" t="s">
        <v>401</v>
      </c>
      <c r="I1136" s="13">
        <v>37</v>
      </c>
      <c r="J1136" s="15" t="s">
        <v>1436</v>
      </c>
      <c r="K1136" s="15" t="s">
        <v>2711</v>
      </c>
      <c r="L1136" s="16">
        <v>1781.383</v>
      </c>
      <c r="M1136" s="16">
        <v>1835.4474999999998</v>
      </c>
      <c r="N1136" s="16"/>
      <c r="O1136" s="16"/>
      <c r="P1136" s="16"/>
      <c r="Q1136" s="16">
        <f>SUM(Tabela1[[#This Row],[201805]:[201807]])</f>
        <v>3616.8305</v>
      </c>
      <c r="R1136" s="16">
        <f>SUM(Tabela1[[#This Row],[201905]:[201906]])</f>
        <v>0</v>
      </c>
      <c r="S1136" s="16">
        <v>100000</v>
      </c>
      <c r="T1136" s="16">
        <f>Tabela1[[#This Row],[Total 2019]]-Tabela1[[#This Row],[Total 2018]]</f>
        <v>-3616.8305</v>
      </c>
      <c r="U1136" s="40">
        <f>Tabela1[[#This Row],[Total 2019]]/Tabela1[[#This Row],[Meta]]</f>
        <v>0</v>
      </c>
      <c r="V1136" s="17">
        <f>IFERROR(Tabela1[[#This Row],[Total 2019]]/Tabela1[[#This Row],[Total 2018]]-1,0)</f>
        <v>-1</v>
      </c>
      <c r="W113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36" s="48"/>
      <c r="Y1136" s="19"/>
      <c r="Z1136" s="68"/>
    </row>
    <row r="1137" spans="3:26" x14ac:dyDescent="0.35">
      <c r="C1137" s="11" t="s">
        <v>2702</v>
      </c>
      <c r="D1137" s="12" t="s">
        <v>2699</v>
      </c>
      <c r="E1137" s="12">
        <v>1115</v>
      </c>
      <c r="F1137" s="13" t="s">
        <v>2562</v>
      </c>
      <c r="G1137" s="14">
        <v>1</v>
      </c>
      <c r="H1137" s="14" t="s">
        <v>399</v>
      </c>
      <c r="I1137" s="13">
        <v>37</v>
      </c>
      <c r="J1137" s="15" t="s">
        <v>1436</v>
      </c>
      <c r="K1137" s="15" t="s">
        <v>2711</v>
      </c>
      <c r="L1137" s="16"/>
      <c r="M1137" s="16">
        <v>4375.4529999999995</v>
      </c>
      <c r="N1137" s="16">
        <v>1901.6909999999998</v>
      </c>
      <c r="O1137" s="16"/>
      <c r="P1137" s="16"/>
      <c r="Q1137" s="16">
        <f>SUM(Tabela1[[#This Row],[201805]:[201807]])</f>
        <v>6277.1439999999993</v>
      </c>
      <c r="R1137" s="16">
        <f>SUM(Tabela1[[#This Row],[201905]:[201906]])</f>
        <v>0</v>
      </c>
      <c r="S1137" s="16">
        <v>100000</v>
      </c>
      <c r="T1137" s="16">
        <f>Tabela1[[#This Row],[Total 2019]]-Tabela1[[#This Row],[Total 2018]]</f>
        <v>-6277.1439999999993</v>
      </c>
      <c r="U1137" s="40">
        <f>Tabela1[[#This Row],[Total 2019]]/Tabela1[[#This Row],[Meta]]</f>
        <v>0</v>
      </c>
      <c r="V1137" s="17">
        <f>IFERROR(Tabela1[[#This Row],[Total 2019]]/Tabela1[[#This Row],[Total 2018]]-1,0)</f>
        <v>-1</v>
      </c>
      <c r="W113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37" s="48"/>
      <c r="Y1137" s="19"/>
      <c r="Z1137" s="68"/>
    </row>
    <row r="1138" spans="3:26" x14ac:dyDescent="0.35">
      <c r="C1138" s="11" t="s">
        <v>2702</v>
      </c>
      <c r="D1138" s="12" t="s">
        <v>2698</v>
      </c>
      <c r="E1138" s="12">
        <v>1116</v>
      </c>
      <c r="F1138" s="13" t="s">
        <v>2563</v>
      </c>
      <c r="G1138" s="14">
        <v>1</v>
      </c>
      <c r="H1138" s="14" t="s">
        <v>401</v>
      </c>
      <c r="I1138" s="13">
        <v>37</v>
      </c>
      <c r="J1138" s="15" t="s">
        <v>1436</v>
      </c>
      <c r="K1138" s="15" t="s">
        <v>2711</v>
      </c>
      <c r="L1138" s="16"/>
      <c r="M1138" s="16"/>
      <c r="N1138" s="16">
        <v>8755.599000000002</v>
      </c>
      <c r="O1138" s="16"/>
      <c r="P1138" s="16"/>
      <c r="Q1138" s="16">
        <f>SUM(Tabela1[[#This Row],[201805]:[201807]])</f>
        <v>8755.599000000002</v>
      </c>
      <c r="R1138" s="16">
        <f>SUM(Tabela1[[#This Row],[201905]:[201906]])</f>
        <v>0</v>
      </c>
      <c r="S1138" s="16">
        <v>100000</v>
      </c>
      <c r="T1138" s="16">
        <f>Tabela1[[#This Row],[Total 2019]]-Tabela1[[#This Row],[Total 2018]]</f>
        <v>-8755.599000000002</v>
      </c>
      <c r="U1138" s="40">
        <f>Tabela1[[#This Row],[Total 2019]]/Tabela1[[#This Row],[Meta]]</f>
        <v>0</v>
      </c>
      <c r="V1138" s="17">
        <f>IFERROR(Tabela1[[#This Row],[Total 2019]]/Tabela1[[#This Row],[Total 2018]]-1,0)</f>
        <v>-1</v>
      </c>
      <c r="W113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38" s="48"/>
      <c r="Y1138" s="19"/>
      <c r="Z1138" s="68"/>
    </row>
    <row r="1139" spans="3:26" x14ac:dyDescent="0.35">
      <c r="C1139" s="11" t="s">
        <v>2702</v>
      </c>
      <c r="D1139" s="12" t="s">
        <v>2698</v>
      </c>
      <c r="E1139" s="12">
        <v>1117</v>
      </c>
      <c r="F1139" s="13" t="s">
        <v>2564</v>
      </c>
      <c r="G1139" s="14">
        <v>3</v>
      </c>
      <c r="H1139" s="14" t="s">
        <v>416</v>
      </c>
      <c r="I1139" s="13">
        <v>38</v>
      </c>
      <c r="J1139" s="15" t="s">
        <v>1437</v>
      </c>
      <c r="K1139" s="15" t="s">
        <v>2711</v>
      </c>
      <c r="L1139" s="16">
        <v>2136.569</v>
      </c>
      <c r="M1139" s="16">
        <v>310.95400000000001</v>
      </c>
      <c r="N1139" s="16"/>
      <c r="O1139" s="16"/>
      <c r="P1139" s="16">
        <v>5121.8585000000003</v>
      </c>
      <c r="Q1139" s="16">
        <f>SUM(Tabela1[[#This Row],[201805]:[201807]])</f>
        <v>2447.5230000000001</v>
      </c>
      <c r="R1139" s="16">
        <f>SUM(Tabela1[[#This Row],[201905]:[201906]])</f>
        <v>5121.8585000000003</v>
      </c>
      <c r="S1139" s="16">
        <v>100000</v>
      </c>
      <c r="T1139" s="16">
        <f>Tabela1[[#This Row],[Total 2019]]-Tabela1[[#This Row],[Total 2018]]</f>
        <v>2674.3355000000001</v>
      </c>
      <c r="U1139" s="40">
        <f>Tabela1[[#This Row],[Total 2019]]/Tabela1[[#This Row],[Meta]]</f>
        <v>5.1218585000000004E-2</v>
      </c>
      <c r="V1139" s="17">
        <f>IFERROR(Tabela1[[#This Row],[Total 2019]]/Tabela1[[#This Row],[Total 2018]]-1,0)</f>
        <v>1.0926702220980151</v>
      </c>
      <c r="W113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1139" s="48"/>
      <c r="Y1139" s="19"/>
      <c r="Z1139" s="68"/>
    </row>
    <row r="1140" spans="3:26" x14ac:dyDescent="0.35">
      <c r="C1140" s="11" t="s">
        <v>2703</v>
      </c>
      <c r="D1140" s="12" t="s">
        <v>2700</v>
      </c>
      <c r="E1140" s="12">
        <v>1118</v>
      </c>
      <c r="F1140" s="13" t="s">
        <v>2565</v>
      </c>
      <c r="G1140" s="14">
        <v>2</v>
      </c>
      <c r="H1140" s="14" t="s">
        <v>413</v>
      </c>
      <c r="I1140" s="13">
        <v>45</v>
      </c>
      <c r="J1140" s="15" t="s">
        <v>1444</v>
      </c>
      <c r="K1140" s="15" t="s">
        <v>2711</v>
      </c>
      <c r="L1140" s="16">
        <v>2277.1689999999999</v>
      </c>
      <c r="M1140" s="16">
        <v>2576.4759999999997</v>
      </c>
      <c r="N1140" s="16"/>
      <c r="O1140" s="16"/>
      <c r="P1140" s="16"/>
      <c r="Q1140" s="16">
        <f>SUM(Tabela1[[#This Row],[201805]:[201807]])</f>
        <v>4853.6449999999995</v>
      </c>
      <c r="R1140" s="16">
        <f>SUM(Tabela1[[#This Row],[201905]:[201906]])</f>
        <v>0</v>
      </c>
      <c r="S1140" s="16">
        <v>100000</v>
      </c>
      <c r="T1140" s="16">
        <f>Tabela1[[#This Row],[Total 2019]]-Tabela1[[#This Row],[Total 2018]]</f>
        <v>-4853.6449999999995</v>
      </c>
      <c r="U1140" s="40">
        <f>Tabela1[[#This Row],[Total 2019]]/Tabela1[[#This Row],[Meta]]</f>
        <v>0</v>
      </c>
      <c r="V1140" s="17">
        <f>IFERROR(Tabela1[[#This Row],[Total 2019]]/Tabela1[[#This Row],[Total 2018]]-1,0)</f>
        <v>-1</v>
      </c>
      <c r="W114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40" s="48"/>
      <c r="Y1140" s="19"/>
      <c r="Z1140" s="68"/>
    </row>
    <row r="1141" spans="3:26" x14ac:dyDescent="0.35">
      <c r="C1141" s="11" t="s">
        <v>2702</v>
      </c>
      <c r="D1141" s="12" t="s">
        <v>2700</v>
      </c>
      <c r="E1141" s="12">
        <v>1119</v>
      </c>
      <c r="F1141" s="13" t="s">
        <v>2566</v>
      </c>
      <c r="G1141" s="14">
        <v>3</v>
      </c>
      <c r="H1141" s="14" t="s">
        <v>416</v>
      </c>
      <c r="I1141" s="13">
        <v>38</v>
      </c>
      <c r="J1141" s="15" t="s">
        <v>1437</v>
      </c>
      <c r="K1141" s="15" t="s">
        <v>2711</v>
      </c>
      <c r="L1141" s="16">
        <v>7448.1994999999997</v>
      </c>
      <c r="M1141" s="16">
        <v>2712.2404999999999</v>
      </c>
      <c r="N1141" s="16">
        <v>441.54099999999994</v>
      </c>
      <c r="O1141" s="16">
        <v>6002.9359999999997</v>
      </c>
      <c r="P1141" s="16">
        <v>4319.4029999999993</v>
      </c>
      <c r="Q1141" s="16">
        <f>SUM(Tabela1[[#This Row],[201805]:[201807]])</f>
        <v>10601.980999999998</v>
      </c>
      <c r="R1141" s="16">
        <f>SUM(Tabela1[[#This Row],[201905]:[201906]])</f>
        <v>10322.339</v>
      </c>
      <c r="S1141" s="16">
        <v>100000</v>
      </c>
      <c r="T1141" s="16">
        <f>Tabela1[[#This Row],[Total 2019]]-Tabela1[[#This Row],[Total 2018]]</f>
        <v>-279.64199999999801</v>
      </c>
      <c r="U1141" s="40">
        <f>Tabela1[[#This Row],[Total 2019]]/Tabela1[[#This Row],[Meta]]</f>
        <v>0.10322339</v>
      </c>
      <c r="V1141" s="17">
        <f>IFERROR(Tabela1[[#This Row],[Total 2019]]/Tabela1[[#This Row],[Total 2018]]-1,0)</f>
        <v>-2.637639135553993E-2</v>
      </c>
      <c r="W114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1141" s="48"/>
      <c r="Y1141" s="19"/>
      <c r="Z1141" s="68"/>
    </row>
    <row r="1142" spans="3:26" x14ac:dyDescent="0.35">
      <c r="C1142" s="11" t="s">
        <v>2704</v>
      </c>
      <c r="D1142" s="12" t="s">
        <v>2700</v>
      </c>
      <c r="E1142" s="12">
        <v>1120</v>
      </c>
      <c r="F1142" s="13" t="s">
        <v>2567</v>
      </c>
      <c r="G1142" s="14">
        <v>3</v>
      </c>
      <c r="H1142" s="14" t="s">
        <v>401</v>
      </c>
      <c r="I1142" s="13">
        <v>37</v>
      </c>
      <c r="J1142" s="15" t="s">
        <v>1436</v>
      </c>
      <c r="K1142" s="15" t="s">
        <v>2711</v>
      </c>
      <c r="L1142" s="16"/>
      <c r="M1142" s="16"/>
      <c r="N1142" s="16">
        <v>3126.8395</v>
      </c>
      <c r="O1142" s="16"/>
      <c r="P1142" s="16"/>
      <c r="Q1142" s="16">
        <f>SUM(Tabela1[[#This Row],[201805]:[201807]])</f>
        <v>3126.8395</v>
      </c>
      <c r="R1142" s="16">
        <f>SUM(Tabela1[[#This Row],[201905]:[201906]])</f>
        <v>0</v>
      </c>
      <c r="S1142" s="16">
        <v>100000</v>
      </c>
      <c r="T1142" s="16">
        <f>Tabela1[[#This Row],[Total 2019]]-Tabela1[[#This Row],[Total 2018]]</f>
        <v>-3126.8395</v>
      </c>
      <c r="U1142" s="40">
        <f>Tabela1[[#This Row],[Total 2019]]/Tabela1[[#This Row],[Meta]]</f>
        <v>0</v>
      </c>
      <c r="V1142" s="17">
        <f>IFERROR(Tabela1[[#This Row],[Total 2019]]/Tabela1[[#This Row],[Total 2018]]-1,0)</f>
        <v>-1</v>
      </c>
      <c r="W114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42" s="48"/>
      <c r="Y1142" s="19"/>
      <c r="Z1142" s="68"/>
    </row>
    <row r="1143" spans="3:26" x14ac:dyDescent="0.35">
      <c r="C1143" s="11" t="s">
        <v>2703</v>
      </c>
      <c r="D1143" s="12" t="s">
        <v>2699</v>
      </c>
      <c r="E1143" s="12">
        <v>1121</v>
      </c>
      <c r="F1143" s="13" t="s">
        <v>2568</v>
      </c>
      <c r="G1143" s="14">
        <v>2</v>
      </c>
      <c r="H1143" s="14" t="s">
        <v>401</v>
      </c>
      <c r="I1143" s="13">
        <v>37</v>
      </c>
      <c r="J1143" s="15" t="s">
        <v>1436</v>
      </c>
      <c r="K1143" s="15" t="s">
        <v>2711</v>
      </c>
      <c r="L1143" s="16">
        <v>3849.6565000000001</v>
      </c>
      <c r="M1143" s="16">
        <v>1642.0084999999999</v>
      </c>
      <c r="N1143" s="16"/>
      <c r="O1143" s="16"/>
      <c r="P1143" s="16"/>
      <c r="Q1143" s="16">
        <f>SUM(Tabela1[[#This Row],[201805]:[201807]])</f>
        <v>5491.665</v>
      </c>
      <c r="R1143" s="16">
        <f>SUM(Tabela1[[#This Row],[201905]:[201906]])</f>
        <v>0</v>
      </c>
      <c r="S1143" s="16">
        <v>100000</v>
      </c>
      <c r="T1143" s="16">
        <f>Tabela1[[#This Row],[Total 2019]]-Tabela1[[#This Row],[Total 2018]]</f>
        <v>-5491.665</v>
      </c>
      <c r="U1143" s="40">
        <f>Tabela1[[#This Row],[Total 2019]]/Tabela1[[#This Row],[Meta]]</f>
        <v>0</v>
      </c>
      <c r="V1143" s="17">
        <f>IFERROR(Tabela1[[#This Row],[Total 2019]]/Tabela1[[#This Row],[Total 2018]]-1,0)</f>
        <v>-1</v>
      </c>
      <c r="W114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43" s="48"/>
      <c r="Y1143" s="19"/>
      <c r="Z1143" s="68"/>
    </row>
    <row r="1144" spans="3:26" x14ac:dyDescent="0.35">
      <c r="C1144" s="11" t="s">
        <v>2702</v>
      </c>
      <c r="D1144" s="12" t="s">
        <v>2699</v>
      </c>
      <c r="E1144" s="12">
        <v>1122</v>
      </c>
      <c r="F1144" s="13" t="s">
        <v>2569</v>
      </c>
      <c r="G1144" s="14">
        <v>3</v>
      </c>
      <c r="H1144" s="14" t="s">
        <v>407</v>
      </c>
      <c r="I1144" s="13">
        <v>40</v>
      </c>
      <c r="J1144" s="15" t="s">
        <v>1439</v>
      </c>
      <c r="K1144" s="15" t="s">
        <v>2712</v>
      </c>
      <c r="L1144" s="16"/>
      <c r="M1144" s="16">
        <v>7245.5644999999995</v>
      </c>
      <c r="N1144" s="16">
        <v>2077.7260000000001</v>
      </c>
      <c r="O1144" s="16"/>
      <c r="P1144" s="16"/>
      <c r="Q1144" s="16">
        <f>SUM(Tabela1[[#This Row],[201805]:[201807]])</f>
        <v>9323.2904999999992</v>
      </c>
      <c r="R1144" s="16">
        <f>SUM(Tabela1[[#This Row],[201905]:[201906]])</f>
        <v>0</v>
      </c>
      <c r="S1144" s="16">
        <v>100000</v>
      </c>
      <c r="T1144" s="16">
        <f>Tabela1[[#This Row],[Total 2019]]-Tabela1[[#This Row],[Total 2018]]</f>
        <v>-9323.2904999999992</v>
      </c>
      <c r="U1144" s="40">
        <f>Tabela1[[#This Row],[Total 2019]]/Tabela1[[#This Row],[Meta]]</f>
        <v>0</v>
      </c>
      <c r="V1144" s="17">
        <f>IFERROR(Tabela1[[#This Row],[Total 2019]]/Tabela1[[#This Row],[Total 2018]]-1,0)</f>
        <v>-1</v>
      </c>
      <c r="W114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44" s="48"/>
      <c r="Y1144" s="19"/>
      <c r="Z1144" s="68"/>
    </row>
    <row r="1145" spans="3:26" x14ac:dyDescent="0.35">
      <c r="C1145" s="11" t="s">
        <v>2702</v>
      </c>
      <c r="D1145" s="12" t="s">
        <v>2700</v>
      </c>
      <c r="E1145" s="12">
        <v>1123</v>
      </c>
      <c r="F1145" s="13" t="s">
        <v>2570</v>
      </c>
      <c r="G1145" s="14">
        <v>3</v>
      </c>
      <c r="H1145" s="14" t="s">
        <v>401</v>
      </c>
      <c r="I1145" s="13">
        <v>37</v>
      </c>
      <c r="J1145" s="15" t="s">
        <v>1436</v>
      </c>
      <c r="K1145" s="15" t="s">
        <v>2711</v>
      </c>
      <c r="L1145" s="16">
        <v>1360.6754999999996</v>
      </c>
      <c r="M1145" s="16">
        <v>841.32949999999994</v>
      </c>
      <c r="N1145" s="16"/>
      <c r="O1145" s="16"/>
      <c r="P1145" s="16"/>
      <c r="Q1145" s="16">
        <f>SUM(Tabela1[[#This Row],[201805]:[201807]])</f>
        <v>2202.0049999999997</v>
      </c>
      <c r="R1145" s="16">
        <f>SUM(Tabela1[[#This Row],[201905]:[201906]])</f>
        <v>0</v>
      </c>
      <c r="S1145" s="16">
        <v>100000</v>
      </c>
      <c r="T1145" s="16">
        <f>Tabela1[[#This Row],[Total 2019]]-Tabela1[[#This Row],[Total 2018]]</f>
        <v>-2202.0049999999997</v>
      </c>
      <c r="U1145" s="40">
        <f>Tabela1[[#This Row],[Total 2019]]/Tabela1[[#This Row],[Meta]]</f>
        <v>0</v>
      </c>
      <c r="V1145" s="17">
        <f>IFERROR(Tabela1[[#This Row],[Total 2019]]/Tabela1[[#This Row],[Total 2018]]-1,0)</f>
        <v>-1</v>
      </c>
      <c r="W114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45" s="48"/>
      <c r="Y1145" s="19"/>
      <c r="Z1145" s="68"/>
    </row>
    <row r="1146" spans="3:26" x14ac:dyDescent="0.35">
      <c r="C1146" s="11" t="s">
        <v>2703</v>
      </c>
      <c r="D1146" s="12" t="s">
        <v>2699</v>
      </c>
      <c r="E1146" s="12">
        <v>1124</v>
      </c>
      <c r="F1146" s="13" t="s">
        <v>2571</v>
      </c>
      <c r="G1146" s="14">
        <v>3</v>
      </c>
      <c r="H1146" s="14" t="s">
        <v>410</v>
      </c>
      <c r="I1146" s="13">
        <v>44</v>
      </c>
      <c r="J1146" s="15" t="s">
        <v>1443</v>
      </c>
      <c r="K1146" s="15" t="s">
        <v>2711</v>
      </c>
      <c r="L1146" s="16"/>
      <c r="M1146" s="16">
        <v>14424.220499999999</v>
      </c>
      <c r="N1146" s="16"/>
      <c r="O1146" s="16"/>
      <c r="P1146" s="16"/>
      <c r="Q1146" s="16">
        <f>SUM(Tabela1[[#This Row],[201805]:[201807]])</f>
        <v>14424.220499999999</v>
      </c>
      <c r="R1146" s="16">
        <f>SUM(Tabela1[[#This Row],[201905]:[201906]])</f>
        <v>0</v>
      </c>
      <c r="S1146" s="16">
        <v>100000</v>
      </c>
      <c r="T1146" s="16">
        <f>Tabela1[[#This Row],[Total 2019]]-Tabela1[[#This Row],[Total 2018]]</f>
        <v>-14424.220499999999</v>
      </c>
      <c r="U1146" s="40">
        <f>Tabela1[[#This Row],[Total 2019]]/Tabela1[[#This Row],[Meta]]</f>
        <v>0</v>
      </c>
      <c r="V1146" s="17">
        <f>IFERROR(Tabela1[[#This Row],[Total 2019]]/Tabela1[[#This Row],[Total 2018]]-1,0)</f>
        <v>-1</v>
      </c>
      <c r="W114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46" s="48"/>
      <c r="Y1146" s="19"/>
      <c r="Z1146" s="68"/>
    </row>
    <row r="1147" spans="3:26" x14ac:dyDescent="0.35">
      <c r="C1147" s="11" t="s">
        <v>2702</v>
      </c>
      <c r="D1147" s="12" t="s">
        <v>2698</v>
      </c>
      <c r="E1147" s="12">
        <v>1125</v>
      </c>
      <c r="F1147" s="13" t="s">
        <v>2572</v>
      </c>
      <c r="G1147" s="14">
        <v>3</v>
      </c>
      <c r="H1147" s="14" t="s">
        <v>407</v>
      </c>
      <c r="I1147" s="13">
        <v>40</v>
      </c>
      <c r="J1147" s="15" t="s">
        <v>1439</v>
      </c>
      <c r="K1147" s="15" t="s">
        <v>2712</v>
      </c>
      <c r="L1147" s="16"/>
      <c r="M1147" s="16">
        <v>1287.2689999999998</v>
      </c>
      <c r="N1147" s="16"/>
      <c r="O1147" s="16">
        <v>1779.692</v>
      </c>
      <c r="P1147" s="16"/>
      <c r="Q1147" s="16">
        <f>SUM(Tabela1[[#This Row],[201805]:[201807]])</f>
        <v>1287.2689999999998</v>
      </c>
      <c r="R1147" s="16">
        <f>SUM(Tabela1[[#This Row],[201905]:[201906]])</f>
        <v>1779.692</v>
      </c>
      <c r="S1147" s="16">
        <v>100000</v>
      </c>
      <c r="T1147" s="16">
        <f>Tabela1[[#This Row],[Total 2019]]-Tabela1[[#This Row],[Total 2018]]</f>
        <v>492.42300000000023</v>
      </c>
      <c r="U1147" s="40">
        <f>Tabela1[[#This Row],[Total 2019]]/Tabela1[[#This Row],[Meta]]</f>
        <v>1.7796920000000001E-2</v>
      </c>
      <c r="V1147" s="17">
        <f>IFERROR(Tabela1[[#This Row],[Total 2019]]/Tabela1[[#This Row],[Total 2018]]-1,0)</f>
        <v>0.38253309914244826</v>
      </c>
      <c r="W114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1147" s="48"/>
      <c r="Y1147" s="19"/>
      <c r="Z1147" s="68"/>
    </row>
    <row r="1148" spans="3:26" x14ac:dyDescent="0.35">
      <c r="C1148" s="11" t="s">
        <v>2703</v>
      </c>
      <c r="D1148" s="12" t="s">
        <v>2699</v>
      </c>
      <c r="E1148" s="12">
        <v>1126</v>
      </c>
      <c r="F1148" s="13" t="s">
        <v>2573</v>
      </c>
      <c r="G1148" s="14">
        <v>3</v>
      </c>
      <c r="H1148" s="14" t="s">
        <v>407</v>
      </c>
      <c r="I1148" s="13">
        <v>41</v>
      </c>
      <c r="J1148" s="15" t="s">
        <v>1440</v>
      </c>
      <c r="K1148" s="15" t="s">
        <v>2712</v>
      </c>
      <c r="L1148" s="16"/>
      <c r="M1148" s="16">
        <v>3768.1655000000001</v>
      </c>
      <c r="N1148" s="16">
        <v>1284.115</v>
      </c>
      <c r="O1148" s="16">
        <v>4004.0694999999996</v>
      </c>
      <c r="P1148" s="16"/>
      <c r="Q1148" s="16">
        <f>SUM(Tabela1[[#This Row],[201805]:[201807]])</f>
        <v>5052.2804999999998</v>
      </c>
      <c r="R1148" s="16">
        <f>SUM(Tabela1[[#This Row],[201905]:[201906]])</f>
        <v>4004.0694999999996</v>
      </c>
      <c r="S1148" s="16">
        <v>100000</v>
      </c>
      <c r="T1148" s="16">
        <f>Tabela1[[#This Row],[Total 2019]]-Tabela1[[#This Row],[Total 2018]]</f>
        <v>-1048.2110000000002</v>
      </c>
      <c r="U1148" s="40">
        <f>Tabela1[[#This Row],[Total 2019]]/Tabela1[[#This Row],[Meta]]</f>
        <v>4.0040694999999994E-2</v>
      </c>
      <c r="V1148" s="17">
        <f>IFERROR(Tabela1[[#This Row],[Total 2019]]/Tabela1[[#This Row],[Total 2018]]-1,0)</f>
        <v>-0.20747284320417292</v>
      </c>
      <c r="W114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1148" s="48"/>
      <c r="Y1148" s="19"/>
      <c r="Z1148" s="68"/>
    </row>
    <row r="1149" spans="3:26" x14ac:dyDescent="0.35">
      <c r="C1149" s="11" t="s">
        <v>2702</v>
      </c>
      <c r="D1149" s="12" t="s">
        <v>2698</v>
      </c>
      <c r="E1149" s="12">
        <v>1127</v>
      </c>
      <c r="F1149" s="13" t="s">
        <v>2574</v>
      </c>
      <c r="G1149" s="14">
        <v>2</v>
      </c>
      <c r="H1149" s="14" t="s">
        <v>416</v>
      </c>
      <c r="I1149" s="13">
        <v>38</v>
      </c>
      <c r="J1149" s="15" t="s">
        <v>1437</v>
      </c>
      <c r="K1149" s="15" t="s">
        <v>2711</v>
      </c>
      <c r="L1149" s="16">
        <v>1617.489</v>
      </c>
      <c r="M1149" s="16">
        <v>1388.52</v>
      </c>
      <c r="N1149" s="16"/>
      <c r="O1149" s="16"/>
      <c r="P1149" s="16"/>
      <c r="Q1149" s="16">
        <f>SUM(Tabela1[[#This Row],[201805]:[201807]])</f>
        <v>3006.009</v>
      </c>
      <c r="R1149" s="16">
        <f>SUM(Tabela1[[#This Row],[201905]:[201906]])</f>
        <v>0</v>
      </c>
      <c r="S1149" s="16">
        <v>100000</v>
      </c>
      <c r="T1149" s="16">
        <f>Tabela1[[#This Row],[Total 2019]]-Tabela1[[#This Row],[Total 2018]]</f>
        <v>-3006.009</v>
      </c>
      <c r="U1149" s="40">
        <f>Tabela1[[#This Row],[Total 2019]]/Tabela1[[#This Row],[Meta]]</f>
        <v>0</v>
      </c>
      <c r="V1149" s="17">
        <f>IFERROR(Tabela1[[#This Row],[Total 2019]]/Tabela1[[#This Row],[Total 2018]]-1,0)</f>
        <v>-1</v>
      </c>
      <c r="W114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49" s="48"/>
      <c r="Y1149" s="19"/>
      <c r="Z1149" s="68"/>
    </row>
    <row r="1150" spans="3:26" x14ac:dyDescent="0.35">
      <c r="C1150" s="11" t="s">
        <v>2704</v>
      </c>
      <c r="D1150" s="12" t="s">
        <v>2699</v>
      </c>
      <c r="E1150" s="12">
        <v>1128</v>
      </c>
      <c r="F1150" s="13" t="s">
        <v>2575</v>
      </c>
      <c r="G1150" s="14">
        <v>2</v>
      </c>
      <c r="H1150" s="14" t="s">
        <v>407</v>
      </c>
      <c r="I1150" s="13">
        <v>43</v>
      </c>
      <c r="J1150" s="15" t="s">
        <v>1442</v>
      </c>
      <c r="K1150" s="15" t="s">
        <v>2712</v>
      </c>
      <c r="L1150" s="16">
        <v>8739.2494999999999</v>
      </c>
      <c r="M1150" s="16">
        <v>6484.7475000000004</v>
      </c>
      <c r="N1150" s="16"/>
      <c r="O1150" s="16">
        <v>3382.3324999999995</v>
      </c>
      <c r="P1150" s="16">
        <v>3448.3290000000002</v>
      </c>
      <c r="Q1150" s="16">
        <f>SUM(Tabela1[[#This Row],[201805]:[201807]])</f>
        <v>15223.996999999999</v>
      </c>
      <c r="R1150" s="16">
        <f>SUM(Tabela1[[#This Row],[201905]:[201906]])</f>
        <v>6830.6615000000002</v>
      </c>
      <c r="S1150" s="16">
        <v>100000</v>
      </c>
      <c r="T1150" s="16">
        <f>Tabela1[[#This Row],[Total 2019]]-Tabela1[[#This Row],[Total 2018]]</f>
        <v>-8393.3354999999992</v>
      </c>
      <c r="U1150" s="40">
        <f>Tabela1[[#This Row],[Total 2019]]/Tabela1[[#This Row],[Meta]]</f>
        <v>6.8306615000000001E-2</v>
      </c>
      <c r="V1150" s="17">
        <f>IFERROR(Tabela1[[#This Row],[Total 2019]]/Tabela1[[#This Row],[Total 2018]]-1,0)</f>
        <v>-0.55132272424909168</v>
      </c>
      <c r="W115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1150" s="48"/>
      <c r="Y1150" s="19"/>
      <c r="Z1150" s="68"/>
    </row>
    <row r="1151" spans="3:26" x14ac:dyDescent="0.35">
      <c r="C1151" s="11" t="s">
        <v>2702</v>
      </c>
      <c r="D1151" s="12" t="s">
        <v>2699</v>
      </c>
      <c r="E1151" s="12">
        <v>1129</v>
      </c>
      <c r="F1151" s="13" t="s">
        <v>2576</v>
      </c>
      <c r="G1151" s="14">
        <v>2</v>
      </c>
      <c r="H1151" s="14" t="s">
        <v>410</v>
      </c>
      <c r="I1151" s="13">
        <v>44</v>
      </c>
      <c r="J1151" s="15" t="s">
        <v>1443</v>
      </c>
      <c r="K1151" s="15" t="s">
        <v>2711</v>
      </c>
      <c r="L1151" s="16">
        <v>17306.444500000001</v>
      </c>
      <c r="M1151" s="16">
        <v>11809.963</v>
      </c>
      <c r="N1151" s="16"/>
      <c r="O1151" s="16"/>
      <c r="P1151" s="16"/>
      <c r="Q1151" s="16">
        <f>SUM(Tabela1[[#This Row],[201805]:[201807]])</f>
        <v>29116.407500000001</v>
      </c>
      <c r="R1151" s="16">
        <f>SUM(Tabela1[[#This Row],[201905]:[201906]])</f>
        <v>0</v>
      </c>
      <c r="S1151" s="16">
        <v>100000</v>
      </c>
      <c r="T1151" s="16">
        <f>Tabela1[[#This Row],[Total 2019]]-Tabela1[[#This Row],[Total 2018]]</f>
        <v>-29116.407500000001</v>
      </c>
      <c r="U1151" s="40">
        <f>Tabela1[[#This Row],[Total 2019]]/Tabela1[[#This Row],[Meta]]</f>
        <v>0</v>
      </c>
      <c r="V1151" s="17">
        <f>IFERROR(Tabela1[[#This Row],[Total 2019]]/Tabela1[[#This Row],[Total 2018]]-1,0)</f>
        <v>-1</v>
      </c>
      <c r="W115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51" s="48"/>
      <c r="Y1151" s="19"/>
      <c r="Z1151" s="68"/>
    </row>
    <row r="1152" spans="3:26" x14ac:dyDescent="0.35">
      <c r="C1152" s="11" t="s">
        <v>2703</v>
      </c>
      <c r="D1152" s="12" t="s">
        <v>2700</v>
      </c>
      <c r="E1152" s="12">
        <v>1130</v>
      </c>
      <c r="F1152" s="13" t="s">
        <v>2577</v>
      </c>
      <c r="G1152" s="14">
        <v>3</v>
      </c>
      <c r="H1152" s="14" t="s">
        <v>401</v>
      </c>
      <c r="I1152" s="13">
        <v>37</v>
      </c>
      <c r="J1152" s="15" t="s">
        <v>1436</v>
      </c>
      <c r="K1152" s="15" t="s">
        <v>2711</v>
      </c>
      <c r="L1152" s="16">
        <v>1203.4504999999999</v>
      </c>
      <c r="M1152" s="16">
        <v>1031.0349999999999</v>
      </c>
      <c r="N1152" s="16"/>
      <c r="O1152" s="16"/>
      <c r="P1152" s="16"/>
      <c r="Q1152" s="16">
        <f>SUM(Tabela1[[#This Row],[201805]:[201807]])</f>
        <v>2234.4854999999998</v>
      </c>
      <c r="R1152" s="16">
        <f>SUM(Tabela1[[#This Row],[201905]:[201906]])</f>
        <v>0</v>
      </c>
      <c r="S1152" s="16">
        <v>100000</v>
      </c>
      <c r="T1152" s="16">
        <f>Tabela1[[#This Row],[Total 2019]]-Tabela1[[#This Row],[Total 2018]]</f>
        <v>-2234.4854999999998</v>
      </c>
      <c r="U1152" s="40">
        <f>Tabela1[[#This Row],[Total 2019]]/Tabela1[[#This Row],[Meta]]</f>
        <v>0</v>
      </c>
      <c r="V1152" s="17">
        <f>IFERROR(Tabela1[[#This Row],[Total 2019]]/Tabela1[[#This Row],[Total 2018]]-1,0)</f>
        <v>-1</v>
      </c>
      <c r="W115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52" s="48"/>
      <c r="Y1152" s="19"/>
      <c r="Z1152" s="68"/>
    </row>
    <row r="1153" spans="3:26" x14ac:dyDescent="0.35">
      <c r="C1153" s="11" t="s">
        <v>2704</v>
      </c>
      <c r="D1153" s="12" t="s">
        <v>2698</v>
      </c>
      <c r="E1153" s="12">
        <v>1131</v>
      </c>
      <c r="F1153" s="13" t="s">
        <v>2578</v>
      </c>
      <c r="G1153" s="14">
        <v>3</v>
      </c>
      <c r="H1153" s="14" t="s">
        <v>409</v>
      </c>
      <c r="I1153" s="13">
        <v>13</v>
      </c>
      <c r="J1153" s="15" t="s">
        <v>1412</v>
      </c>
      <c r="K1153" s="15" t="s">
        <v>2709</v>
      </c>
      <c r="L1153" s="16"/>
      <c r="M1153" s="16"/>
      <c r="N1153" s="16">
        <v>2908.1684999999998</v>
      </c>
      <c r="O1153" s="16"/>
      <c r="P1153" s="16"/>
      <c r="Q1153" s="16">
        <f>SUM(Tabela1[[#This Row],[201805]:[201807]])</f>
        <v>2908.1684999999998</v>
      </c>
      <c r="R1153" s="16">
        <f>SUM(Tabela1[[#This Row],[201905]:[201906]])</f>
        <v>0</v>
      </c>
      <c r="S1153" s="16">
        <v>100000</v>
      </c>
      <c r="T1153" s="16">
        <f>Tabela1[[#This Row],[Total 2019]]-Tabela1[[#This Row],[Total 2018]]</f>
        <v>-2908.1684999999998</v>
      </c>
      <c r="U1153" s="40">
        <f>Tabela1[[#This Row],[Total 2019]]/Tabela1[[#This Row],[Meta]]</f>
        <v>0</v>
      </c>
      <c r="V1153" s="17">
        <f>IFERROR(Tabela1[[#This Row],[Total 2019]]/Tabela1[[#This Row],[Total 2018]]-1,0)</f>
        <v>-1</v>
      </c>
      <c r="W115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53" s="48"/>
      <c r="Y1153" s="19"/>
      <c r="Z1153" s="68"/>
    </row>
    <row r="1154" spans="3:26" x14ac:dyDescent="0.35">
      <c r="C1154" s="11" t="s">
        <v>2703</v>
      </c>
      <c r="D1154" s="12" t="s">
        <v>2700</v>
      </c>
      <c r="E1154" s="12">
        <v>1132</v>
      </c>
      <c r="F1154" s="13" t="s">
        <v>2579</v>
      </c>
      <c r="G1154" s="14">
        <v>3</v>
      </c>
      <c r="H1154" s="14" t="s">
        <v>407</v>
      </c>
      <c r="I1154" s="13">
        <v>43</v>
      </c>
      <c r="J1154" s="15" t="s">
        <v>1442</v>
      </c>
      <c r="K1154" s="15" t="s">
        <v>2712</v>
      </c>
      <c r="L1154" s="16">
        <v>2238.7414999999996</v>
      </c>
      <c r="M1154" s="16">
        <v>2035.3654999999999</v>
      </c>
      <c r="N1154" s="16"/>
      <c r="O1154" s="16">
        <v>2269.2269999999999</v>
      </c>
      <c r="P1154" s="16"/>
      <c r="Q1154" s="16">
        <f>SUM(Tabela1[[#This Row],[201805]:[201807]])</f>
        <v>4274.107</v>
      </c>
      <c r="R1154" s="16">
        <f>SUM(Tabela1[[#This Row],[201905]:[201906]])</f>
        <v>2269.2269999999999</v>
      </c>
      <c r="S1154" s="16">
        <v>100000</v>
      </c>
      <c r="T1154" s="16">
        <f>Tabela1[[#This Row],[Total 2019]]-Tabela1[[#This Row],[Total 2018]]</f>
        <v>-2004.88</v>
      </c>
      <c r="U1154" s="40">
        <f>Tabela1[[#This Row],[Total 2019]]/Tabela1[[#This Row],[Meta]]</f>
        <v>2.2692269999999997E-2</v>
      </c>
      <c r="V1154" s="17">
        <f>IFERROR(Tabela1[[#This Row],[Total 2019]]/Tabela1[[#This Row],[Total 2018]]-1,0)</f>
        <v>-0.46907576249260963</v>
      </c>
      <c r="W115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1154" s="48"/>
      <c r="Y1154" s="19"/>
      <c r="Z1154" s="68"/>
    </row>
    <row r="1155" spans="3:26" x14ac:dyDescent="0.35">
      <c r="C1155" s="11" t="s">
        <v>2703</v>
      </c>
      <c r="D1155" s="12" t="s">
        <v>2700</v>
      </c>
      <c r="E1155" s="12">
        <v>1133</v>
      </c>
      <c r="F1155" s="13" t="s">
        <v>2580</v>
      </c>
      <c r="G1155" s="14">
        <v>1</v>
      </c>
      <c r="H1155" s="14" t="s">
        <v>410</v>
      </c>
      <c r="I1155" s="13">
        <v>44</v>
      </c>
      <c r="J1155" s="15" t="s">
        <v>1443</v>
      </c>
      <c r="K1155" s="15" t="s">
        <v>2711</v>
      </c>
      <c r="L1155" s="16">
        <v>12394.421999999999</v>
      </c>
      <c r="M1155" s="16">
        <v>6640.9369999999999</v>
      </c>
      <c r="N1155" s="16"/>
      <c r="O1155" s="16"/>
      <c r="P1155" s="16"/>
      <c r="Q1155" s="16">
        <f>SUM(Tabela1[[#This Row],[201805]:[201807]])</f>
        <v>19035.358999999997</v>
      </c>
      <c r="R1155" s="16">
        <f>SUM(Tabela1[[#This Row],[201905]:[201906]])</f>
        <v>0</v>
      </c>
      <c r="S1155" s="16">
        <v>100000</v>
      </c>
      <c r="T1155" s="16">
        <f>Tabela1[[#This Row],[Total 2019]]-Tabela1[[#This Row],[Total 2018]]</f>
        <v>-19035.358999999997</v>
      </c>
      <c r="U1155" s="40">
        <f>Tabela1[[#This Row],[Total 2019]]/Tabela1[[#This Row],[Meta]]</f>
        <v>0</v>
      </c>
      <c r="V1155" s="17">
        <f>IFERROR(Tabela1[[#This Row],[Total 2019]]/Tabela1[[#This Row],[Total 2018]]-1,0)</f>
        <v>-1</v>
      </c>
      <c r="W115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55" s="48"/>
      <c r="Y1155" s="19"/>
      <c r="Z1155" s="68"/>
    </row>
    <row r="1156" spans="3:26" x14ac:dyDescent="0.35">
      <c r="C1156" s="11" t="s">
        <v>2704</v>
      </c>
      <c r="D1156" s="12" t="s">
        <v>2700</v>
      </c>
      <c r="E1156" s="12">
        <v>1134</v>
      </c>
      <c r="F1156" s="13" t="s">
        <v>2581</v>
      </c>
      <c r="G1156" s="14">
        <v>3</v>
      </c>
      <c r="H1156" s="14" t="s">
        <v>413</v>
      </c>
      <c r="I1156" s="13">
        <v>45</v>
      </c>
      <c r="J1156" s="15" t="s">
        <v>1444</v>
      </c>
      <c r="K1156" s="15" t="s">
        <v>2711</v>
      </c>
      <c r="L1156" s="16">
        <v>2425.9865</v>
      </c>
      <c r="M1156" s="16">
        <v>3257.9869999999996</v>
      </c>
      <c r="N1156" s="16"/>
      <c r="O1156" s="16">
        <v>5001.6644999999999</v>
      </c>
      <c r="P1156" s="16">
        <v>5915.9824999999992</v>
      </c>
      <c r="Q1156" s="16">
        <f>SUM(Tabela1[[#This Row],[201805]:[201807]])</f>
        <v>5683.9735000000001</v>
      </c>
      <c r="R1156" s="16">
        <f>SUM(Tabela1[[#This Row],[201905]:[201906]])</f>
        <v>10917.646999999999</v>
      </c>
      <c r="S1156" s="16">
        <v>100000</v>
      </c>
      <c r="T1156" s="16">
        <f>Tabela1[[#This Row],[Total 2019]]-Tabela1[[#This Row],[Total 2018]]</f>
        <v>5233.673499999999</v>
      </c>
      <c r="U1156" s="40">
        <f>Tabela1[[#This Row],[Total 2019]]/Tabela1[[#This Row],[Meta]]</f>
        <v>0.10917646999999998</v>
      </c>
      <c r="V1156" s="17">
        <f>IFERROR(Tabela1[[#This Row],[Total 2019]]/Tabela1[[#This Row],[Total 2018]]-1,0)</f>
        <v>0.9207772520403199</v>
      </c>
      <c r="W115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1156" s="48"/>
      <c r="Y1156" s="19"/>
      <c r="Z1156" s="68"/>
    </row>
    <row r="1157" spans="3:26" x14ac:dyDescent="0.35">
      <c r="C1157" s="11" t="s">
        <v>2702</v>
      </c>
      <c r="D1157" s="12" t="s">
        <v>2700</v>
      </c>
      <c r="E1157" s="12">
        <v>1135</v>
      </c>
      <c r="F1157" s="13" t="s">
        <v>2582</v>
      </c>
      <c r="G1157" s="14">
        <v>3</v>
      </c>
      <c r="H1157" s="14" t="s">
        <v>407</v>
      </c>
      <c r="I1157" s="13">
        <v>42</v>
      </c>
      <c r="J1157" s="15" t="s">
        <v>1441</v>
      </c>
      <c r="K1157" s="15" t="s">
        <v>2712</v>
      </c>
      <c r="L1157" s="16">
        <v>1106.4079999999999</v>
      </c>
      <c r="M1157" s="16">
        <v>3407.2794999999996</v>
      </c>
      <c r="N1157" s="16">
        <v>2441.1864999999998</v>
      </c>
      <c r="O1157" s="16">
        <v>3808.8634999999999</v>
      </c>
      <c r="P1157" s="16"/>
      <c r="Q1157" s="16">
        <f>SUM(Tabela1[[#This Row],[201805]:[201807]])</f>
        <v>6954.8739999999998</v>
      </c>
      <c r="R1157" s="16">
        <f>SUM(Tabela1[[#This Row],[201905]:[201906]])</f>
        <v>3808.8634999999999</v>
      </c>
      <c r="S1157" s="16">
        <v>100000</v>
      </c>
      <c r="T1157" s="16">
        <f>Tabela1[[#This Row],[Total 2019]]-Tabela1[[#This Row],[Total 2018]]</f>
        <v>-3146.0104999999999</v>
      </c>
      <c r="U1157" s="40">
        <f>Tabela1[[#This Row],[Total 2019]]/Tabela1[[#This Row],[Meta]]</f>
        <v>3.8088635000000003E-2</v>
      </c>
      <c r="V1157" s="17">
        <f>IFERROR(Tabela1[[#This Row],[Total 2019]]/Tabela1[[#This Row],[Total 2018]]-1,0)</f>
        <v>-0.45234615321571603</v>
      </c>
      <c r="W115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1157" s="48"/>
      <c r="Y1157" s="19"/>
      <c r="Z1157" s="68"/>
    </row>
    <row r="1158" spans="3:26" x14ac:dyDescent="0.35">
      <c r="C1158" s="11" t="s">
        <v>2704</v>
      </c>
      <c r="D1158" s="12" t="s">
        <v>2699</v>
      </c>
      <c r="E1158" s="12">
        <v>1136</v>
      </c>
      <c r="F1158" s="13" t="s">
        <v>2583</v>
      </c>
      <c r="G1158" s="14">
        <v>3</v>
      </c>
      <c r="H1158" s="14" t="s">
        <v>400</v>
      </c>
      <c r="I1158" s="13">
        <v>37</v>
      </c>
      <c r="J1158" s="15" t="s">
        <v>1436</v>
      </c>
      <c r="K1158" s="15" t="s">
        <v>2711</v>
      </c>
      <c r="L1158" s="16">
        <v>1171.73</v>
      </c>
      <c r="M1158" s="16">
        <v>5995.9249999999993</v>
      </c>
      <c r="N1158" s="16"/>
      <c r="O1158" s="16"/>
      <c r="P1158" s="16"/>
      <c r="Q1158" s="16">
        <f>SUM(Tabela1[[#This Row],[201805]:[201807]])</f>
        <v>7167.6549999999988</v>
      </c>
      <c r="R1158" s="16">
        <f>SUM(Tabela1[[#This Row],[201905]:[201906]])</f>
        <v>0</v>
      </c>
      <c r="S1158" s="16">
        <v>100000</v>
      </c>
      <c r="T1158" s="16">
        <f>Tabela1[[#This Row],[Total 2019]]-Tabela1[[#This Row],[Total 2018]]</f>
        <v>-7167.6549999999988</v>
      </c>
      <c r="U1158" s="40">
        <f>Tabela1[[#This Row],[Total 2019]]/Tabela1[[#This Row],[Meta]]</f>
        <v>0</v>
      </c>
      <c r="V1158" s="17">
        <f>IFERROR(Tabela1[[#This Row],[Total 2019]]/Tabela1[[#This Row],[Total 2018]]-1,0)</f>
        <v>-1</v>
      </c>
      <c r="W115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58" s="48"/>
      <c r="Y1158" s="19"/>
      <c r="Z1158" s="68"/>
    </row>
    <row r="1159" spans="3:26" x14ac:dyDescent="0.35">
      <c r="C1159" s="11" t="s">
        <v>2704</v>
      </c>
      <c r="D1159" s="12" t="s">
        <v>2698</v>
      </c>
      <c r="E1159" s="12">
        <v>1137</v>
      </c>
      <c r="F1159" s="13" t="s">
        <v>2584</v>
      </c>
      <c r="G1159" s="14">
        <v>1</v>
      </c>
      <c r="H1159" s="14" t="s">
        <v>400</v>
      </c>
      <c r="I1159" s="13">
        <v>37</v>
      </c>
      <c r="J1159" s="15" t="s">
        <v>1436</v>
      </c>
      <c r="K1159" s="15" t="s">
        <v>2711</v>
      </c>
      <c r="L1159" s="16"/>
      <c r="M1159" s="16">
        <v>2355.1925000000001</v>
      </c>
      <c r="N1159" s="16"/>
      <c r="O1159" s="16"/>
      <c r="P1159" s="16"/>
      <c r="Q1159" s="16">
        <f>SUM(Tabela1[[#This Row],[201805]:[201807]])</f>
        <v>2355.1925000000001</v>
      </c>
      <c r="R1159" s="16">
        <f>SUM(Tabela1[[#This Row],[201905]:[201906]])</f>
        <v>0</v>
      </c>
      <c r="S1159" s="16">
        <v>100000</v>
      </c>
      <c r="T1159" s="16">
        <f>Tabela1[[#This Row],[Total 2019]]-Tabela1[[#This Row],[Total 2018]]</f>
        <v>-2355.1925000000001</v>
      </c>
      <c r="U1159" s="40">
        <f>Tabela1[[#This Row],[Total 2019]]/Tabela1[[#This Row],[Meta]]</f>
        <v>0</v>
      </c>
      <c r="V1159" s="17">
        <f>IFERROR(Tabela1[[#This Row],[Total 2019]]/Tabela1[[#This Row],[Total 2018]]-1,0)</f>
        <v>-1</v>
      </c>
      <c r="W115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59" s="48"/>
      <c r="Y1159" s="19"/>
      <c r="Z1159" s="68"/>
    </row>
    <row r="1160" spans="3:26" x14ac:dyDescent="0.35">
      <c r="C1160" s="11" t="s">
        <v>2702</v>
      </c>
      <c r="D1160" s="12" t="s">
        <v>2698</v>
      </c>
      <c r="E1160" s="12">
        <v>1138</v>
      </c>
      <c r="F1160" s="13" t="s">
        <v>2585</v>
      </c>
      <c r="G1160" s="14">
        <v>2</v>
      </c>
      <c r="H1160" s="14" t="s">
        <v>416</v>
      </c>
      <c r="I1160" s="13">
        <v>38</v>
      </c>
      <c r="J1160" s="15" t="s">
        <v>1437</v>
      </c>
      <c r="K1160" s="15" t="s">
        <v>2711</v>
      </c>
      <c r="L1160" s="16"/>
      <c r="M1160" s="16"/>
      <c r="N1160" s="16">
        <v>6934.8574999999992</v>
      </c>
      <c r="O1160" s="16"/>
      <c r="P1160" s="16"/>
      <c r="Q1160" s="16">
        <f>SUM(Tabela1[[#This Row],[201805]:[201807]])</f>
        <v>6934.8574999999992</v>
      </c>
      <c r="R1160" s="16">
        <f>SUM(Tabela1[[#This Row],[201905]:[201906]])</f>
        <v>0</v>
      </c>
      <c r="S1160" s="16">
        <v>100000</v>
      </c>
      <c r="T1160" s="16">
        <f>Tabela1[[#This Row],[Total 2019]]-Tabela1[[#This Row],[Total 2018]]</f>
        <v>-6934.8574999999992</v>
      </c>
      <c r="U1160" s="40">
        <f>Tabela1[[#This Row],[Total 2019]]/Tabela1[[#This Row],[Meta]]</f>
        <v>0</v>
      </c>
      <c r="V1160" s="17">
        <f>IFERROR(Tabela1[[#This Row],[Total 2019]]/Tabela1[[#This Row],[Total 2018]]-1,0)</f>
        <v>-1</v>
      </c>
      <c r="W116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60" s="48"/>
      <c r="Y1160" s="19"/>
      <c r="Z1160" s="68"/>
    </row>
    <row r="1161" spans="3:26" x14ac:dyDescent="0.35">
      <c r="C1161" s="11" t="s">
        <v>2704</v>
      </c>
      <c r="D1161" s="12" t="s">
        <v>2698</v>
      </c>
      <c r="E1161" s="12">
        <v>1139</v>
      </c>
      <c r="F1161" s="13" t="s">
        <v>2586</v>
      </c>
      <c r="G1161" s="14">
        <v>2</v>
      </c>
      <c r="H1161" s="14" t="s">
        <v>407</v>
      </c>
      <c r="I1161" s="13">
        <v>43</v>
      </c>
      <c r="J1161" s="15" t="s">
        <v>1442</v>
      </c>
      <c r="K1161" s="15" t="s">
        <v>2712</v>
      </c>
      <c r="L1161" s="16"/>
      <c r="M1161" s="16"/>
      <c r="N1161" s="16"/>
      <c r="O1161" s="16">
        <v>4004.8959999999997</v>
      </c>
      <c r="P1161" s="16"/>
      <c r="Q1161" s="16">
        <f>SUM(Tabela1[[#This Row],[201805]:[201807]])</f>
        <v>0</v>
      </c>
      <c r="R1161" s="16">
        <f>SUM(Tabela1[[#This Row],[201905]:[201906]])</f>
        <v>4004.8959999999997</v>
      </c>
      <c r="S1161" s="16">
        <v>100000</v>
      </c>
      <c r="T1161" s="16">
        <f>Tabela1[[#This Row],[Total 2019]]-Tabela1[[#This Row],[Total 2018]]</f>
        <v>4004.8959999999997</v>
      </c>
      <c r="U1161" s="40">
        <f>Tabela1[[#This Row],[Total 2019]]/Tabela1[[#This Row],[Meta]]</f>
        <v>4.0048959999999995E-2</v>
      </c>
      <c r="V1161" s="17">
        <f>IFERROR(Tabela1[[#This Row],[Total 2019]]/Tabela1[[#This Row],[Total 2018]]-1,0)</f>
        <v>0</v>
      </c>
      <c r="W116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161" s="48"/>
      <c r="Y1161" s="19"/>
      <c r="Z1161" s="68"/>
    </row>
    <row r="1162" spans="3:26" x14ac:dyDescent="0.35">
      <c r="C1162" s="11" t="s">
        <v>2703</v>
      </c>
      <c r="D1162" s="12" t="s">
        <v>2698</v>
      </c>
      <c r="E1162" s="12">
        <v>1140</v>
      </c>
      <c r="F1162" s="13" t="s">
        <v>2587</v>
      </c>
      <c r="G1162" s="14">
        <v>2</v>
      </c>
      <c r="H1162" s="14" t="s">
        <v>455</v>
      </c>
      <c r="I1162" s="13">
        <v>46</v>
      </c>
      <c r="J1162" s="15" t="s">
        <v>1445</v>
      </c>
      <c r="K1162" s="15" t="s">
        <v>2713</v>
      </c>
      <c r="L1162" s="16">
        <v>6979.3935000000001</v>
      </c>
      <c r="M1162" s="16">
        <v>15021.751499999997</v>
      </c>
      <c r="N1162" s="16"/>
      <c r="O1162" s="16"/>
      <c r="P1162" s="16"/>
      <c r="Q1162" s="16">
        <f>SUM(Tabela1[[#This Row],[201805]:[201807]])</f>
        <v>22001.144999999997</v>
      </c>
      <c r="R1162" s="16">
        <f>SUM(Tabela1[[#This Row],[201905]:[201906]])</f>
        <v>0</v>
      </c>
      <c r="S1162" s="16">
        <v>100000</v>
      </c>
      <c r="T1162" s="16">
        <f>Tabela1[[#This Row],[Total 2019]]-Tabela1[[#This Row],[Total 2018]]</f>
        <v>-22001.144999999997</v>
      </c>
      <c r="U1162" s="40">
        <f>Tabela1[[#This Row],[Total 2019]]/Tabela1[[#This Row],[Meta]]</f>
        <v>0</v>
      </c>
      <c r="V1162" s="17">
        <f>IFERROR(Tabela1[[#This Row],[Total 2019]]/Tabela1[[#This Row],[Total 2018]]-1,0)</f>
        <v>-1</v>
      </c>
      <c r="W116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62" s="48"/>
      <c r="Y1162" s="19"/>
      <c r="Z1162" s="68"/>
    </row>
    <row r="1163" spans="3:26" x14ac:dyDescent="0.35">
      <c r="C1163" s="11" t="s">
        <v>2703</v>
      </c>
      <c r="D1163" s="12" t="s">
        <v>2699</v>
      </c>
      <c r="E1163" s="12">
        <v>1141</v>
      </c>
      <c r="F1163" s="13" t="s">
        <v>2588</v>
      </c>
      <c r="G1163" s="14">
        <v>3</v>
      </c>
      <c r="H1163" s="14" t="s">
        <v>401</v>
      </c>
      <c r="I1163" s="13">
        <v>37</v>
      </c>
      <c r="J1163" s="15" t="s">
        <v>1436</v>
      </c>
      <c r="K1163" s="15" t="s">
        <v>2711</v>
      </c>
      <c r="L1163" s="16">
        <v>6246.4494999999988</v>
      </c>
      <c r="M1163" s="16">
        <v>3552.3254999999999</v>
      </c>
      <c r="N1163" s="16">
        <v>1340.5544999999997</v>
      </c>
      <c r="O1163" s="16"/>
      <c r="P1163" s="16"/>
      <c r="Q1163" s="16">
        <f>SUM(Tabela1[[#This Row],[201805]:[201807]])</f>
        <v>11139.329499999998</v>
      </c>
      <c r="R1163" s="16">
        <f>SUM(Tabela1[[#This Row],[201905]:[201906]])</f>
        <v>0</v>
      </c>
      <c r="S1163" s="16">
        <v>100000</v>
      </c>
      <c r="T1163" s="16">
        <f>Tabela1[[#This Row],[Total 2019]]-Tabela1[[#This Row],[Total 2018]]</f>
        <v>-11139.329499999998</v>
      </c>
      <c r="U1163" s="40">
        <f>Tabela1[[#This Row],[Total 2019]]/Tabela1[[#This Row],[Meta]]</f>
        <v>0</v>
      </c>
      <c r="V1163" s="17">
        <f>IFERROR(Tabela1[[#This Row],[Total 2019]]/Tabela1[[#This Row],[Total 2018]]-1,0)</f>
        <v>-1</v>
      </c>
      <c r="W116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63" s="48"/>
      <c r="Y1163" s="19"/>
      <c r="Z1163" s="68"/>
    </row>
    <row r="1164" spans="3:26" x14ac:dyDescent="0.35">
      <c r="C1164" s="11" t="s">
        <v>2704</v>
      </c>
      <c r="D1164" s="12" t="s">
        <v>2700</v>
      </c>
      <c r="E1164" s="12">
        <v>1142</v>
      </c>
      <c r="F1164" s="13" t="s">
        <v>2589</v>
      </c>
      <c r="G1164" s="14">
        <v>1</v>
      </c>
      <c r="H1164" s="14" t="s">
        <v>401</v>
      </c>
      <c r="I1164" s="13">
        <v>37</v>
      </c>
      <c r="J1164" s="15" t="s">
        <v>1436</v>
      </c>
      <c r="K1164" s="15" t="s">
        <v>2711</v>
      </c>
      <c r="L1164" s="16">
        <v>2316.7649999999999</v>
      </c>
      <c r="M1164" s="16">
        <v>1748.6364999999998</v>
      </c>
      <c r="N1164" s="16"/>
      <c r="O1164" s="16"/>
      <c r="P1164" s="16"/>
      <c r="Q1164" s="16">
        <f>SUM(Tabela1[[#This Row],[201805]:[201807]])</f>
        <v>4065.4014999999999</v>
      </c>
      <c r="R1164" s="16">
        <f>SUM(Tabela1[[#This Row],[201905]:[201906]])</f>
        <v>0</v>
      </c>
      <c r="S1164" s="16">
        <v>100000</v>
      </c>
      <c r="T1164" s="16">
        <f>Tabela1[[#This Row],[Total 2019]]-Tabela1[[#This Row],[Total 2018]]</f>
        <v>-4065.4014999999999</v>
      </c>
      <c r="U1164" s="40">
        <f>Tabela1[[#This Row],[Total 2019]]/Tabela1[[#This Row],[Meta]]</f>
        <v>0</v>
      </c>
      <c r="V1164" s="17">
        <f>IFERROR(Tabela1[[#This Row],[Total 2019]]/Tabela1[[#This Row],[Total 2018]]-1,0)</f>
        <v>-1</v>
      </c>
      <c r="W116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64" s="48"/>
      <c r="Y1164" s="19"/>
      <c r="Z1164" s="68"/>
    </row>
    <row r="1165" spans="3:26" x14ac:dyDescent="0.35">
      <c r="C1165" s="11" t="s">
        <v>2702</v>
      </c>
      <c r="D1165" s="12" t="s">
        <v>2699</v>
      </c>
      <c r="E1165" s="12">
        <v>1143</v>
      </c>
      <c r="F1165" s="13" t="s">
        <v>2590</v>
      </c>
      <c r="G1165" s="14">
        <v>1</v>
      </c>
      <c r="H1165" s="14" t="s">
        <v>407</v>
      </c>
      <c r="I1165" s="13">
        <v>42</v>
      </c>
      <c r="J1165" s="15" t="s">
        <v>1441</v>
      </c>
      <c r="K1165" s="15" t="s">
        <v>2712</v>
      </c>
      <c r="L1165" s="16">
        <v>852.43499999999995</v>
      </c>
      <c r="M1165" s="16">
        <v>2279.9334999999996</v>
      </c>
      <c r="N1165" s="16"/>
      <c r="O1165" s="16"/>
      <c r="P1165" s="16"/>
      <c r="Q1165" s="16">
        <f>SUM(Tabela1[[#This Row],[201805]:[201807]])</f>
        <v>3132.3684999999996</v>
      </c>
      <c r="R1165" s="16">
        <f>SUM(Tabela1[[#This Row],[201905]:[201906]])</f>
        <v>0</v>
      </c>
      <c r="S1165" s="16">
        <v>100000</v>
      </c>
      <c r="T1165" s="16">
        <f>Tabela1[[#This Row],[Total 2019]]-Tabela1[[#This Row],[Total 2018]]</f>
        <v>-3132.3684999999996</v>
      </c>
      <c r="U1165" s="40">
        <f>Tabela1[[#This Row],[Total 2019]]/Tabela1[[#This Row],[Meta]]</f>
        <v>0</v>
      </c>
      <c r="V1165" s="17">
        <f>IFERROR(Tabela1[[#This Row],[Total 2019]]/Tabela1[[#This Row],[Total 2018]]-1,0)</f>
        <v>-1</v>
      </c>
      <c r="W116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65" s="48"/>
      <c r="Y1165" s="19"/>
      <c r="Z1165" s="68"/>
    </row>
    <row r="1166" spans="3:26" x14ac:dyDescent="0.35">
      <c r="C1166" s="11" t="s">
        <v>2702</v>
      </c>
      <c r="D1166" s="12" t="s">
        <v>2698</v>
      </c>
      <c r="E1166" s="12">
        <v>1144</v>
      </c>
      <c r="F1166" s="13" t="s">
        <v>2591</v>
      </c>
      <c r="G1166" s="14">
        <v>3</v>
      </c>
      <c r="H1166" s="14" t="s">
        <v>413</v>
      </c>
      <c r="I1166" s="13">
        <v>45</v>
      </c>
      <c r="J1166" s="15" t="s">
        <v>1444</v>
      </c>
      <c r="K1166" s="15" t="s">
        <v>2711</v>
      </c>
      <c r="L1166" s="16">
        <v>3617.3245000000002</v>
      </c>
      <c r="M1166" s="16">
        <v>3343.3444999999997</v>
      </c>
      <c r="N1166" s="16"/>
      <c r="O1166" s="16"/>
      <c r="P1166" s="16"/>
      <c r="Q1166" s="16">
        <f>SUM(Tabela1[[#This Row],[201805]:[201807]])</f>
        <v>6960.6689999999999</v>
      </c>
      <c r="R1166" s="16">
        <f>SUM(Tabela1[[#This Row],[201905]:[201906]])</f>
        <v>0</v>
      </c>
      <c r="S1166" s="16">
        <v>100000</v>
      </c>
      <c r="T1166" s="16">
        <f>Tabela1[[#This Row],[Total 2019]]-Tabela1[[#This Row],[Total 2018]]</f>
        <v>-6960.6689999999999</v>
      </c>
      <c r="U1166" s="40">
        <f>Tabela1[[#This Row],[Total 2019]]/Tabela1[[#This Row],[Meta]]</f>
        <v>0</v>
      </c>
      <c r="V1166" s="17">
        <f>IFERROR(Tabela1[[#This Row],[Total 2019]]/Tabela1[[#This Row],[Total 2018]]-1,0)</f>
        <v>-1</v>
      </c>
      <c r="W116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66" s="48"/>
      <c r="Y1166" s="19"/>
      <c r="Z1166" s="68"/>
    </row>
    <row r="1167" spans="3:26" x14ac:dyDescent="0.35">
      <c r="C1167" s="11" t="s">
        <v>2703</v>
      </c>
      <c r="D1167" s="12" t="s">
        <v>2699</v>
      </c>
      <c r="E1167" s="12">
        <v>1145</v>
      </c>
      <c r="F1167" s="13" t="s">
        <v>2592</v>
      </c>
      <c r="G1167" s="14">
        <v>3</v>
      </c>
      <c r="H1167" s="14" t="s">
        <v>416</v>
      </c>
      <c r="I1167" s="13">
        <v>38</v>
      </c>
      <c r="J1167" s="15" t="s">
        <v>1437</v>
      </c>
      <c r="K1167" s="15" t="s">
        <v>2711</v>
      </c>
      <c r="L1167" s="16">
        <v>5449.9694999999992</v>
      </c>
      <c r="M1167" s="16">
        <v>5711.7134999999998</v>
      </c>
      <c r="N1167" s="16"/>
      <c r="O1167" s="16"/>
      <c r="P1167" s="16"/>
      <c r="Q1167" s="16">
        <f>SUM(Tabela1[[#This Row],[201805]:[201807]])</f>
        <v>11161.682999999999</v>
      </c>
      <c r="R1167" s="16">
        <f>SUM(Tabela1[[#This Row],[201905]:[201906]])</f>
        <v>0</v>
      </c>
      <c r="S1167" s="16">
        <v>100000</v>
      </c>
      <c r="T1167" s="16">
        <f>Tabela1[[#This Row],[Total 2019]]-Tabela1[[#This Row],[Total 2018]]</f>
        <v>-11161.682999999999</v>
      </c>
      <c r="U1167" s="40">
        <f>Tabela1[[#This Row],[Total 2019]]/Tabela1[[#This Row],[Meta]]</f>
        <v>0</v>
      </c>
      <c r="V1167" s="17">
        <f>IFERROR(Tabela1[[#This Row],[Total 2019]]/Tabela1[[#This Row],[Total 2018]]-1,0)</f>
        <v>-1</v>
      </c>
      <c r="W116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67" s="48"/>
      <c r="Y1167" s="19"/>
      <c r="Z1167" s="68"/>
    </row>
    <row r="1168" spans="3:26" x14ac:dyDescent="0.35">
      <c r="C1168" s="11" t="s">
        <v>2704</v>
      </c>
      <c r="D1168" s="12" t="s">
        <v>2699</v>
      </c>
      <c r="E1168" s="12">
        <v>1146</v>
      </c>
      <c r="F1168" s="13" t="s">
        <v>2593</v>
      </c>
      <c r="G1168" s="14">
        <v>2</v>
      </c>
      <c r="H1168" s="14" t="s">
        <v>413</v>
      </c>
      <c r="I1168" s="13">
        <v>45</v>
      </c>
      <c r="J1168" s="15" t="s">
        <v>1444</v>
      </c>
      <c r="K1168" s="15" t="s">
        <v>2711</v>
      </c>
      <c r="L1168" s="16"/>
      <c r="M1168" s="16">
        <v>3717.9390000000003</v>
      </c>
      <c r="N1168" s="16"/>
      <c r="O1168" s="16">
        <v>11544.894</v>
      </c>
      <c r="P1168" s="16">
        <v>5712.2359999999999</v>
      </c>
      <c r="Q1168" s="16">
        <f>SUM(Tabela1[[#This Row],[201805]:[201807]])</f>
        <v>3717.9390000000003</v>
      </c>
      <c r="R1168" s="16">
        <f>SUM(Tabela1[[#This Row],[201905]:[201906]])</f>
        <v>17257.13</v>
      </c>
      <c r="S1168" s="16">
        <v>100000</v>
      </c>
      <c r="T1168" s="16">
        <f>Tabela1[[#This Row],[Total 2019]]-Tabela1[[#This Row],[Total 2018]]</f>
        <v>13539.191000000001</v>
      </c>
      <c r="U1168" s="40">
        <f>Tabela1[[#This Row],[Total 2019]]/Tabela1[[#This Row],[Meta]]</f>
        <v>0.17257130000000001</v>
      </c>
      <c r="V1168" s="17">
        <f>IFERROR(Tabela1[[#This Row],[Total 2019]]/Tabela1[[#This Row],[Total 2018]]-1,0)</f>
        <v>3.6415850286946609</v>
      </c>
      <c r="W116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1168" s="48"/>
      <c r="Y1168" s="19"/>
      <c r="Z1168" s="68"/>
    </row>
    <row r="1169" spans="3:26" x14ac:dyDescent="0.35">
      <c r="C1169" s="11" t="s">
        <v>2702</v>
      </c>
      <c r="D1169" s="12" t="s">
        <v>2699</v>
      </c>
      <c r="E1169" s="12">
        <v>1147</v>
      </c>
      <c r="F1169" s="13" t="s">
        <v>2594</v>
      </c>
      <c r="G1169" s="14">
        <v>1</v>
      </c>
      <c r="H1169" s="14" t="s">
        <v>407</v>
      </c>
      <c r="I1169" s="13">
        <v>43</v>
      </c>
      <c r="J1169" s="15" t="s">
        <v>1442</v>
      </c>
      <c r="K1169" s="15" t="s">
        <v>2712</v>
      </c>
      <c r="L1169" s="16"/>
      <c r="M1169" s="16">
        <v>1739.944</v>
      </c>
      <c r="N1169" s="16"/>
      <c r="O1169" s="16"/>
      <c r="P1169" s="16"/>
      <c r="Q1169" s="16">
        <f>SUM(Tabela1[[#This Row],[201805]:[201807]])</f>
        <v>1739.944</v>
      </c>
      <c r="R1169" s="16">
        <f>SUM(Tabela1[[#This Row],[201905]:[201906]])</f>
        <v>0</v>
      </c>
      <c r="S1169" s="16">
        <v>100000</v>
      </c>
      <c r="T1169" s="16">
        <f>Tabela1[[#This Row],[Total 2019]]-Tabela1[[#This Row],[Total 2018]]</f>
        <v>-1739.944</v>
      </c>
      <c r="U1169" s="40">
        <f>Tabela1[[#This Row],[Total 2019]]/Tabela1[[#This Row],[Meta]]</f>
        <v>0</v>
      </c>
      <c r="V1169" s="17">
        <f>IFERROR(Tabela1[[#This Row],[Total 2019]]/Tabela1[[#This Row],[Total 2018]]-1,0)</f>
        <v>-1</v>
      </c>
      <c r="W116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69" s="48"/>
      <c r="Y1169" s="19"/>
      <c r="Z1169" s="68"/>
    </row>
    <row r="1170" spans="3:26" x14ac:dyDescent="0.35">
      <c r="C1170" s="11" t="s">
        <v>2704</v>
      </c>
      <c r="D1170" s="12" t="s">
        <v>2698</v>
      </c>
      <c r="E1170" s="12">
        <v>1148</v>
      </c>
      <c r="F1170" s="13" t="s">
        <v>2595</v>
      </c>
      <c r="G1170" s="14">
        <v>1</v>
      </c>
      <c r="H1170" s="14" t="s">
        <v>407</v>
      </c>
      <c r="I1170" s="13">
        <v>42</v>
      </c>
      <c r="J1170" s="15" t="s">
        <v>1441</v>
      </c>
      <c r="K1170" s="15" t="s">
        <v>2712</v>
      </c>
      <c r="L1170" s="16">
        <v>3807.752</v>
      </c>
      <c r="M1170" s="16">
        <v>4349.7555000000002</v>
      </c>
      <c r="N1170" s="16">
        <v>1641.2389999999998</v>
      </c>
      <c r="O1170" s="16">
        <v>13126.473</v>
      </c>
      <c r="P1170" s="16"/>
      <c r="Q1170" s="16">
        <f>SUM(Tabela1[[#This Row],[201805]:[201807]])</f>
        <v>9798.7464999999993</v>
      </c>
      <c r="R1170" s="16">
        <f>SUM(Tabela1[[#This Row],[201905]:[201906]])</f>
        <v>13126.473</v>
      </c>
      <c r="S1170" s="16">
        <v>100000</v>
      </c>
      <c r="T1170" s="16">
        <f>Tabela1[[#This Row],[Total 2019]]-Tabela1[[#This Row],[Total 2018]]</f>
        <v>3327.7265000000007</v>
      </c>
      <c r="U1170" s="40">
        <f>Tabela1[[#This Row],[Total 2019]]/Tabela1[[#This Row],[Meta]]</f>
        <v>0.13126473</v>
      </c>
      <c r="V1170" s="17">
        <f>IFERROR(Tabela1[[#This Row],[Total 2019]]/Tabela1[[#This Row],[Total 2018]]-1,0)</f>
        <v>0.33960736712598916</v>
      </c>
      <c r="W117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1170" s="48"/>
      <c r="Y1170" s="19"/>
      <c r="Z1170" s="68"/>
    </row>
    <row r="1171" spans="3:26" x14ac:dyDescent="0.35">
      <c r="C1171" s="11" t="s">
        <v>2702</v>
      </c>
      <c r="D1171" s="12" t="s">
        <v>2698</v>
      </c>
      <c r="E1171" s="12">
        <v>1149</v>
      </c>
      <c r="F1171" s="13" t="s">
        <v>2596</v>
      </c>
      <c r="G1171" s="14">
        <v>3</v>
      </c>
      <c r="H1171" s="14" t="s">
        <v>413</v>
      </c>
      <c r="I1171" s="13">
        <v>45</v>
      </c>
      <c r="J1171" s="15" t="s">
        <v>1444</v>
      </c>
      <c r="K1171" s="15" t="s">
        <v>2711</v>
      </c>
      <c r="L1171" s="16">
        <v>3491.5729999999999</v>
      </c>
      <c r="M1171" s="16">
        <v>4628.4759999999997</v>
      </c>
      <c r="N1171" s="16"/>
      <c r="O1171" s="16"/>
      <c r="P1171" s="16"/>
      <c r="Q1171" s="16">
        <f>SUM(Tabela1[[#This Row],[201805]:[201807]])</f>
        <v>8120.0489999999991</v>
      </c>
      <c r="R1171" s="16">
        <f>SUM(Tabela1[[#This Row],[201905]:[201906]])</f>
        <v>0</v>
      </c>
      <c r="S1171" s="16">
        <v>100000</v>
      </c>
      <c r="T1171" s="16">
        <f>Tabela1[[#This Row],[Total 2019]]-Tabela1[[#This Row],[Total 2018]]</f>
        <v>-8120.0489999999991</v>
      </c>
      <c r="U1171" s="40">
        <f>Tabela1[[#This Row],[Total 2019]]/Tabela1[[#This Row],[Meta]]</f>
        <v>0</v>
      </c>
      <c r="V1171" s="17">
        <f>IFERROR(Tabela1[[#This Row],[Total 2019]]/Tabela1[[#This Row],[Total 2018]]-1,0)</f>
        <v>-1</v>
      </c>
      <c r="W117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71" s="48"/>
      <c r="Y1171" s="19"/>
      <c r="Z1171" s="68"/>
    </row>
    <row r="1172" spans="3:26" x14ac:dyDescent="0.35">
      <c r="C1172" s="11" t="s">
        <v>2704</v>
      </c>
      <c r="D1172" s="12" t="s">
        <v>2700</v>
      </c>
      <c r="E1172" s="12">
        <v>1150</v>
      </c>
      <c r="F1172" s="13" t="s">
        <v>2597</v>
      </c>
      <c r="G1172" s="14">
        <v>1</v>
      </c>
      <c r="H1172" s="14" t="s">
        <v>416</v>
      </c>
      <c r="I1172" s="13">
        <v>38</v>
      </c>
      <c r="J1172" s="15" t="s">
        <v>1437</v>
      </c>
      <c r="K1172" s="15" t="s">
        <v>2711</v>
      </c>
      <c r="L1172" s="16">
        <v>2945.8929999999996</v>
      </c>
      <c r="M1172" s="16">
        <v>1226.2219999999998</v>
      </c>
      <c r="N1172" s="16"/>
      <c r="O1172" s="16"/>
      <c r="P1172" s="16"/>
      <c r="Q1172" s="16">
        <f>SUM(Tabela1[[#This Row],[201805]:[201807]])</f>
        <v>4172.1149999999998</v>
      </c>
      <c r="R1172" s="16">
        <f>SUM(Tabela1[[#This Row],[201905]:[201906]])</f>
        <v>0</v>
      </c>
      <c r="S1172" s="16">
        <v>100000</v>
      </c>
      <c r="T1172" s="16">
        <f>Tabela1[[#This Row],[Total 2019]]-Tabela1[[#This Row],[Total 2018]]</f>
        <v>-4172.1149999999998</v>
      </c>
      <c r="U1172" s="40">
        <f>Tabela1[[#This Row],[Total 2019]]/Tabela1[[#This Row],[Meta]]</f>
        <v>0</v>
      </c>
      <c r="V1172" s="17">
        <f>IFERROR(Tabela1[[#This Row],[Total 2019]]/Tabela1[[#This Row],[Total 2018]]-1,0)</f>
        <v>-1</v>
      </c>
      <c r="W117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72" s="48"/>
      <c r="Y1172" s="19"/>
      <c r="Z1172" s="68"/>
    </row>
    <row r="1173" spans="3:26" x14ac:dyDescent="0.35">
      <c r="C1173" s="11" t="s">
        <v>2704</v>
      </c>
      <c r="D1173" s="12" t="s">
        <v>2699</v>
      </c>
      <c r="E1173" s="12">
        <v>1151</v>
      </c>
      <c r="F1173" s="13" t="s">
        <v>2598</v>
      </c>
      <c r="G1173" s="14">
        <v>2</v>
      </c>
      <c r="H1173" s="14" t="s">
        <v>416</v>
      </c>
      <c r="I1173" s="13">
        <v>38</v>
      </c>
      <c r="J1173" s="15" t="s">
        <v>1437</v>
      </c>
      <c r="K1173" s="15" t="s">
        <v>2711</v>
      </c>
      <c r="L1173" s="16">
        <v>18381.521499999999</v>
      </c>
      <c r="M1173" s="16">
        <v>4411.2965000000004</v>
      </c>
      <c r="N1173" s="16"/>
      <c r="O1173" s="16"/>
      <c r="P1173" s="16"/>
      <c r="Q1173" s="16">
        <f>SUM(Tabela1[[#This Row],[201805]:[201807]])</f>
        <v>22792.817999999999</v>
      </c>
      <c r="R1173" s="16">
        <f>SUM(Tabela1[[#This Row],[201905]:[201906]])</f>
        <v>0</v>
      </c>
      <c r="S1173" s="16">
        <v>100000</v>
      </c>
      <c r="T1173" s="16">
        <f>Tabela1[[#This Row],[Total 2019]]-Tabela1[[#This Row],[Total 2018]]</f>
        <v>-22792.817999999999</v>
      </c>
      <c r="U1173" s="40">
        <f>Tabela1[[#This Row],[Total 2019]]/Tabela1[[#This Row],[Meta]]</f>
        <v>0</v>
      </c>
      <c r="V1173" s="17">
        <f>IFERROR(Tabela1[[#This Row],[Total 2019]]/Tabela1[[#This Row],[Total 2018]]-1,0)</f>
        <v>-1</v>
      </c>
      <c r="W117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73" s="48"/>
      <c r="Y1173" s="19"/>
      <c r="Z1173" s="68"/>
    </row>
    <row r="1174" spans="3:26" x14ac:dyDescent="0.35">
      <c r="C1174" s="11" t="s">
        <v>2704</v>
      </c>
      <c r="D1174" s="12" t="s">
        <v>2699</v>
      </c>
      <c r="E1174" s="12">
        <v>1152</v>
      </c>
      <c r="F1174" s="13" t="s">
        <v>2599</v>
      </c>
      <c r="G1174" s="14">
        <v>2</v>
      </c>
      <c r="H1174" s="14" t="s">
        <v>408</v>
      </c>
      <c r="I1174" s="13">
        <v>38</v>
      </c>
      <c r="J1174" s="15" t="s">
        <v>1437</v>
      </c>
      <c r="K1174" s="15" t="s">
        <v>2711</v>
      </c>
      <c r="L1174" s="16">
        <v>2638.0549999999998</v>
      </c>
      <c r="M1174" s="16">
        <v>1613.3755000000001</v>
      </c>
      <c r="N1174" s="16"/>
      <c r="O1174" s="16"/>
      <c r="P1174" s="16"/>
      <c r="Q1174" s="16">
        <f>SUM(Tabela1[[#This Row],[201805]:[201807]])</f>
        <v>4251.4305000000004</v>
      </c>
      <c r="R1174" s="16">
        <f>SUM(Tabela1[[#This Row],[201905]:[201906]])</f>
        <v>0</v>
      </c>
      <c r="S1174" s="16">
        <v>100000</v>
      </c>
      <c r="T1174" s="16">
        <f>Tabela1[[#This Row],[Total 2019]]-Tabela1[[#This Row],[Total 2018]]</f>
        <v>-4251.4305000000004</v>
      </c>
      <c r="U1174" s="40">
        <f>Tabela1[[#This Row],[Total 2019]]/Tabela1[[#This Row],[Meta]]</f>
        <v>0</v>
      </c>
      <c r="V1174" s="17">
        <f>IFERROR(Tabela1[[#This Row],[Total 2019]]/Tabela1[[#This Row],[Total 2018]]-1,0)</f>
        <v>-1</v>
      </c>
      <c r="W117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74" s="48"/>
      <c r="Y1174" s="19"/>
      <c r="Z1174" s="68"/>
    </row>
    <row r="1175" spans="3:26" x14ac:dyDescent="0.35">
      <c r="C1175" s="11" t="s">
        <v>2702</v>
      </c>
      <c r="D1175" s="12" t="s">
        <v>2700</v>
      </c>
      <c r="E1175" s="12">
        <v>1153</v>
      </c>
      <c r="F1175" s="13" t="s">
        <v>2600</v>
      </c>
      <c r="G1175" s="14">
        <v>2</v>
      </c>
      <c r="H1175" s="14" t="s">
        <v>407</v>
      </c>
      <c r="I1175" s="13">
        <v>42</v>
      </c>
      <c r="J1175" s="15" t="s">
        <v>1441</v>
      </c>
      <c r="K1175" s="15" t="s">
        <v>2712</v>
      </c>
      <c r="L1175" s="16"/>
      <c r="M1175" s="16">
        <v>1494.2075</v>
      </c>
      <c r="N1175" s="16">
        <v>839.00199999999995</v>
      </c>
      <c r="O1175" s="16"/>
      <c r="P1175" s="16"/>
      <c r="Q1175" s="16">
        <f>SUM(Tabela1[[#This Row],[201805]:[201807]])</f>
        <v>2333.2094999999999</v>
      </c>
      <c r="R1175" s="16">
        <f>SUM(Tabela1[[#This Row],[201905]:[201906]])</f>
        <v>0</v>
      </c>
      <c r="S1175" s="16">
        <v>100000</v>
      </c>
      <c r="T1175" s="16">
        <f>Tabela1[[#This Row],[Total 2019]]-Tabela1[[#This Row],[Total 2018]]</f>
        <v>-2333.2094999999999</v>
      </c>
      <c r="U1175" s="40">
        <f>Tabela1[[#This Row],[Total 2019]]/Tabela1[[#This Row],[Meta]]</f>
        <v>0</v>
      </c>
      <c r="V1175" s="17">
        <f>IFERROR(Tabela1[[#This Row],[Total 2019]]/Tabela1[[#This Row],[Total 2018]]-1,0)</f>
        <v>-1</v>
      </c>
      <c r="W117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75" s="48"/>
      <c r="Y1175" s="19"/>
      <c r="Z1175" s="68"/>
    </row>
    <row r="1176" spans="3:26" x14ac:dyDescent="0.35">
      <c r="C1176" s="11" t="s">
        <v>2703</v>
      </c>
      <c r="D1176" s="12" t="s">
        <v>2698</v>
      </c>
      <c r="E1176" s="12">
        <v>1154</v>
      </c>
      <c r="F1176" s="13" t="s">
        <v>2601</v>
      </c>
      <c r="G1176" s="14">
        <v>3</v>
      </c>
      <c r="H1176" s="14" t="s">
        <v>403</v>
      </c>
      <c r="I1176" s="13">
        <v>39</v>
      </c>
      <c r="J1176" s="15" t="s">
        <v>1438</v>
      </c>
      <c r="K1176" s="15" t="s">
        <v>2711</v>
      </c>
      <c r="L1176" s="16">
        <v>3896.8144999999995</v>
      </c>
      <c r="M1176" s="16">
        <v>7321.4980000000005</v>
      </c>
      <c r="N1176" s="16">
        <v>1036.5449999999998</v>
      </c>
      <c r="O1176" s="16"/>
      <c r="P1176" s="16"/>
      <c r="Q1176" s="16">
        <f>SUM(Tabela1[[#This Row],[201805]:[201807]])</f>
        <v>12254.8575</v>
      </c>
      <c r="R1176" s="16">
        <f>SUM(Tabela1[[#This Row],[201905]:[201906]])</f>
        <v>0</v>
      </c>
      <c r="S1176" s="16">
        <v>100000</v>
      </c>
      <c r="T1176" s="16">
        <f>Tabela1[[#This Row],[Total 2019]]-Tabela1[[#This Row],[Total 2018]]</f>
        <v>-12254.8575</v>
      </c>
      <c r="U1176" s="40">
        <f>Tabela1[[#This Row],[Total 2019]]/Tabela1[[#This Row],[Meta]]</f>
        <v>0</v>
      </c>
      <c r="V1176" s="17">
        <f>IFERROR(Tabela1[[#This Row],[Total 2019]]/Tabela1[[#This Row],[Total 2018]]-1,0)</f>
        <v>-1</v>
      </c>
      <c r="W117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76" s="48"/>
      <c r="Y1176" s="19"/>
      <c r="Z1176" s="68"/>
    </row>
    <row r="1177" spans="3:26" x14ac:dyDescent="0.35">
      <c r="C1177" s="11" t="s">
        <v>2704</v>
      </c>
      <c r="D1177" s="12" t="s">
        <v>2700</v>
      </c>
      <c r="E1177" s="12">
        <v>1155</v>
      </c>
      <c r="F1177" s="13" t="s">
        <v>2602</v>
      </c>
      <c r="G1177" s="14">
        <v>2</v>
      </c>
      <c r="H1177" s="14" t="s">
        <v>413</v>
      </c>
      <c r="I1177" s="13">
        <v>45</v>
      </c>
      <c r="J1177" s="15" t="s">
        <v>1444</v>
      </c>
      <c r="K1177" s="15" t="s">
        <v>2711</v>
      </c>
      <c r="L1177" s="16"/>
      <c r="M1177" s="16">
        <v>9512.4830000000002</v>
      </c>
      <c r="N1177" s="16"/>
      <c r="O1177" s="16"/>
      <c r="P1177" s="16"/>
      <c r="Q1177" s="16">
        <f>SUM(Tabela1[[#This Row],[201805]:[201807]])</f>
        <v>9512.4830000000002</v>
      </c>
      <c r="R1177" s="16">
        <f>SUM(Tabela1[[#This Row],[201905]:[201906]])</f>
        <v>0</v>
      </c>
      <c r="S1177" s="16">
        <v>100000</v>
      </c>
      <c r="T1177" s="16">
        <f>Tabela1[[#This Row],[Total 2019]]-Tabela1[[#This Row],[Total 2018]]</f>
        <v>-9512.4830000000002</v>
      </c>
      <c r="U1177" s="40">
        <f>Tabela1[[#This Row],[Total 2019]]/Tabela1[[#This Row],[Meta]]</f>
        <v>0</v>
      </c>
      <c r="V1177" s="17">
        <f>IFERROR(Tabela1[[#This Row],[Total 2019]]/Tabela1[[#This Row],[Total 2018]]-1,0)</f>
        <v>-1</v>
      </c>
      <c r="W117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77" s="48"/>
      <c r="Y1177" s="19"/>
      <c r="Z1177" s="68"/>
    </row>
    <row r="1178" spans="3:26" x14ac:dyDescent="0.35">
      <c r="C1178" s="11" t="s">
        <v>2702</v>
      </c>
      <c r="D1178" s="12" t="s">
        <v>2698</v>
      </c>
      <c r="E1178" s="12">
        <v>1156</v>
      </c>
      <c r="F1178" s="13" t="s">
        <v>2603</v>
      </c>
      <c r="G1178" s="14">
        <v>2</v>
      </c>
      <c r="H1178" s="14" t="s">
        <v>410</v>
      </c>
      <c r="I1178" s="13">
        <v>44</v>
      </c>
      <c r="J1178" s="15" t="s">
        <v>1443</v>
      </c>
      <c r="K1178" s="15" t="s">
        <v>2711</v>
      </c>
      <c r="L1178" s="16"/>
      <c r="M1178" s="16">
        <v>4080.6585</v>
      </c>
      <c r="N1178" s="16"/>
      <c r="O1178" s="16"/>
      <c r="P1178" s="16"/>
      <c r="Q1178" s="16">
        <f>SUM(Tabela1[[#This Row],[201805]:[201807]])</f>
        <v>4080.6585</v>
      </c>
      <c r="R1178" s="16">
        <f>SUM(Tabela1[[#This Row],[201905]:[201906]])</f>
        <v>0</v>
      </c>
      <c r="S1178" s="16">
        <v>100000</v>
      </c>
      <c r="T1178" s="16">
        <f>Tabela1[[#This Row],[Total 2019]]-Tabela1[[#This Row],[Total 2018]]</f>
        <v>-4080.6585</v>
      </c>
      <c r="U1178" s="40">
        <f>Tabela1[[#This Row],[Total 2019]]/Tabela1[[#This Row],[Meta]]</f>
        <v>0</v>
      </c>
      <c r="V1178" s="17">
        <f>IFERROR(Tabela1[[#This Row],[Total 2019]]/Tabela1[[#This Row],[Total 2018]]-1,0)</f>
        <v>-1</v>
      </c>
      <c r="W117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78" s="48"/>
      <c r="Y1178" s="19"/>
      <c r="Z1178" s="68"/>
    </row>
    <row r="1179" spans="3:26" x14ac:dyDescent="0.35">
      <c r="C1179" s="11" t="s">
        <v>2703</v>
      </c>
      <c r="D1179" s="12" t="s">
        <v>2699</v>
      </c>
      <c r="E1179" s="12">
        <v>1157</v>
      </c>
      <c r="F1179" s="13" t="s">
        <v>2604</v>
      </c>
      <c r="G1179" s="14">
        <v>1</v>
      </c>
      <c r="H1179" s="14" t="s">
        <v>400</v>
      </c>
      <c r="I1179" s="13">
        <v>37</v>
      </c>
      <c r="J1179" s="15" t="s">
        <v>1436</v>
      </c>
      <c r="K1179" s="15" t="s">
        <v>2711</v>
      </c>
      <c r="L1179" s="16"/>
      <c r="M1179" s="16"/>
      <c r="N1179" s="16">
        <v>3483.2699999999995</v>
      </c>
      <c r="O1179" s="16"/>
      <c r="P1179" s="16"/>
      <c r="Q1179" s="16">
        <f>SUM(Tabela1[[#This Row],[201805]:[201807]])</f>
        <v>3483.2699999999995</v>
      </c>
      <c r="R1179" s="16">
        <f>SUM(Tabela1[[#This Row],[201905]:[201906]])</f>
        <v>0</v>
      </c>
      <c r="S1179" s="16">
        <v>100000</v>
      </c>
      <c r="T1179" s="16">
        <f>Tabela1[[#This Row],[Total 2019]]-Tabela1[[#This Row],[Total 2018]]</f>
        <v>-3483.2699999999995</v>
      </c>
      <c r="U1179" s="40">
        <f>Tabela1[[#This Row],[Total 2019]]/Tabela1[[#This Row],[Meta]]</f>
        <v>0</v>
      </c>
      <c r="V1179" s="17">
        <f>IFERROR(Tabela1[[#This Row],[Total 2019]]/Tabela1[[#This Row],[Total 2018]]-1,0)</f>
        <v>-1</v>
      </c>
      <c r="W117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79" s="48"/>
      <c r="Y1179" s="19"/>
      <c r="Z1179" s="68"/>
    </row>
    <row r="1180" spans="3:26" x14ac:dyDescent="0.35">
      <c r="C1180" s="11" t="s">
        <v>2702</v>
      </c>
      <c r="D1180" s="12" t="s">
        <v>2700</v>
      </c>
      <c r="E1180" s="12">
        <v>1158</v>
      </c>
      <c r="F1180" s="13" t="s">
        <v>2605</v>
      </c>
      <c r="G1180" s="14">
        <v>3</v>
      </c>
      <c r="H1180" s="14" t="s">
        <v>410</v>
      </c>
      <c r="I1180" s="13">
        <v>44</v>
      </c>
      <c r="J1180" s="15" t="s">
        <v>1443</v>
      </c>
      <c r="K1180" s="15" t="s">
        <v>2711</v>
      </c>
      <c r="L1180" s="16"/>
      <c r="M1180" s="16">
        <v>5510.9974999999995</v>
      </c>
      <c r="N1180" s="16"/>
      <c r="O1180" s="16"/>
      <c r="P1180" s="16"/>
      <c r="Q1180" s="16">
        <f>SUM(Tabela1[[#This Row],[201805]:[201807]])</f>
        <v>5510.9974999999995</v>
      </c>
      <c r="R1180" s="16">
        <f>SUM(Tabela1[[#This Row],[201905]:[201906]])</f>
        <v>0</v>
      </c>
      <c r="S1180" s="16">
        <v>100000</v>
      </c>
      <c r="T1180" s="16">
        <f>Tabela1[[#This Row],[Total 2019]]-Tabela1[[#This Row],[Total 2018]]</f>
        <v>-5510.9974999999995</v>
      </c>
      <c r="U1180" s="40">
        <f>Tabela1[[#This Row],[Total 2019]]/Tabela1[[#This Row],[Meta]]</f>
        <v>0</v>
      </c>
      <c r="V1180" s="17">
        <f>IFERROR(Tabela1[[#This Row],[Total 2019]]/Tabela1[[#This Row],[Total 2018]]-1,0)</f>
        <v>-1</v>
      </c>
      <c r="W118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80" s="48"/>
      <c r="Y1180" s="19"/>
      <c r="Z1180" s="68"/>
    </row>
    <row r="1181" spans="3:26" x14ac:dyDescent="0.35">
      <c r="C1181" s="11" t="s">
        <v>2704</v>
      </c>
      <c r="D1181" s="12" t="s">
        <v>2700</v>
      </c>
      <c r="E1181" s="12">
        <v>1159</v>
      </c>
      <c r="F1181" s="13" t="s">
        <v>2606</v>
      </c>
      <c r="G1181" s="14">
        <v>1</v>
      </c>
      <c r="H1181" s="14" t="s">
        <v>399</v>
      </c>
      <c r="I1181" s="13">
        <v>37</v>
      </c>
      <c r="J1181" s="15" t="s">
        <v>1436</v>
      </c>
      <c r="K1181" s="15" t="s">
        <v>2711</v>
      </c>
      <c r="L1181" s="16">
        <v>46744.027999999998</v>
      </c>
      <c r="M1181" s="16">
        <v>33669.9</v>
      </c>
      <c r="N1181" s="16"/>
      <c r="O1181" s="16"/>
      <c r="P1181" s="16"/>
      <c r="Q1181" s="16">
        <f>SUM(Tabela1[[#This Row],[201805]:[201807]])</f>
        <v>80413.928</v>
      </c>
      <c r="R1181" s="16">
        <f>SUM(Tabela1[[#This Row],[201905]:[201906]])</f>
        <v>0</v>
      </c>
      <c r="S1181" s="16">
        <v>100000</v>
      </c>
      <c r="T1181" s="16">
        <f>Tabela1[[#This Row],[Total 2019]]-Tabela1[[#This Row],[Total 2018]]</f>
        <v>-80413.928</v>
      </c>
      <c r="U1181" s="40">
        <f>Tabela1[[#This Row],[Total 2019]]/Tabela1[[#This Row],[Meta]]</f>
        <v>0</v>
      </c>
      <c r="V1181" s="17">
        <f>IFERROR(Tabela1[[#This Row],[Total 2019]]/Tabela1[[#This Row],[Total 2018]]-1,0)</f>
        <v>-1</v>
      </c>
      <c r="W118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81" s="48"/>
      <c r="Y1181" s="19"/>
      <c r="Z1181" s="68"/>
    </row>
    <row r="1182" spans="3:26" x14ac:dyDescent="0.35">
      <c r="C1182" s="11" t="s">
        <v>2704</v>
      </c>
      <c r="D1182" s="12" t="s">
        <v>2699</v>
      </c>
      <c r="E1182" s="12">
        <v>1160</v>
      </c>
      <c r="F1182" s="13" t="s">
        <v>2607</v>
      </c>
      <c r="G1182" s="14">
        <v>2</v>
      </c>
      <c r="H1182" s="14" t="s">
        <v>413</v>
      </c>
      <c r="I1182" s="13">
        <v>45</v>
      </c>
      <c r="J1182" s="15" t="s">
        <v>1444</v>
      </c>
      <c r="K1182" s="15" t="s">
        <v>2711</v>
      </c>
      <c r="L1182" s="16">
        <v>1191.8320000000001</v>
      </c>
      <c r="M1182" s="16">
        <v>1306.4875</v>
      </c>
      <c r="N1182" s="16"/>
      <c r="O1182" s="16"/>
      <c r="P1182" s="16"/>
      <c r="Q1182" s="16">
        <f>SUM(Tabela1[[#This Row],[201805]:[201807]])</f>
        <v>2498.3195000000001</v>
      </c>
      <c r="R1182" s="16">
        <f>SUM(Tabela1[[#This Row],[201905]:[201906]])</f>
        <v>0</v>
      </c>
      <c r="S1182" s="16">
        <v>100000</v>
      </c>
      <c r="T1182" s="16">
        <f>Tabela1[[#This Row],[Total 2019]]-Tabela1[[#This Row],[Total 2018]]</f>
        <v>-2498.3195000000001</v>
      </c>
      <c r="U1182" s="40">
        <f>Tabela1[[#This Row],[Total 2019]]/Tabela1[[#This Row],[Meta]]</f>
        <v>0</v>
      </c>
      <c r="V1182" s="17">
        <f>IFERROR(Tabela1[[#This Row],[Total 2019]]/Tabela1[[#This Row],[Total 2018]]-1,0)</f>
        <v>-1</v>
      </c>
      <c r="W118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82" s="48"/>
      <c r="Y1182" s="19"/>
      <c r="Z1182" s="68"/>
    </row>
    <row r="1183" spans="3:26" x14ac:dyDescent="0.35">
      <c r="C1183" s="11" t="s">
        <v>2702</v>
      </c>
      <c r="D1183" s="12" t="s">
        <v>2700</v>
      </c>
      <c r="E1183" s="12">
        <v>1161</v>
      </c>
      <c r="F1183" s="13" t="s">
        <v>2608</v>
      </c>
      <c r="G1183" s="14">
        <v>3</v>
      </c>
      <c r="H1183" s="14" t="s">
        <v>401</v>
      </c>
      <c r="I1183" s="13">
        <v>37</v>
      </c>
      <c r="J1183" s="15" t="s">
        <v>1436</v>
      </c>
      <c r="K1183" s="15" t="s">
        <v>2711</v>
      </c>
      <c r="L1183" s="16">
        <v>2359.3724999999995</v>
      </c>
      <c r="M1183" s="16">
        <v>2499.4499999999998</v>
      </c>
      <c r="N1183" s="16"/>
      <c r="O1183" s="16"/>
      <c r="P1183" s="16"/>
      <c r="Q1183" s="16">
        <f>SUM(Tabela1[[#This Row],[201805]:[201807]])</f>
        <v>4858.8224999999993</v>
      </c>
      <c r="R1183" s="16">
        <f>SUM(Tabela1[[#This Row],[201905]:[201906]])</f>
        <v>0</v>
      </c>
      <c r="S1183" s="16">
        <v>100000</v>
      </c>
      <c r="T1183" s="16">
        <f>Tabela1[[#This Row],[Total 2019]]-Tabela1[[#This Row],[Total 2018]]</f>
        <v>-4858.8224999999993</v>
      </c>
      <c r="U1183" s="40">
        <f>Tabela1[[#This Row],[Total 2019]]/Tabela1[[#This Row],[Meta]]</f>
        <v>0</v>
      </c>
      <c r="V1183" s="17">
        <f>IFERROR(Tabela1[[#This Row],[Total 2019]]/Tabela1[[#This Row],[Total 2018]]-1,0)</f>
        <v>-1</v>
      </c>
      <c r="W118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83" s="48"/>
      <c r="Y1183" s="19"/>
      <c r="Z1183" s="68"/>
    </row>
    <row r="1184" spans="3:26" x14ac:dyDescent="0.35">
      <c r="C1184" s="11" t="s">
        <v>2704</v>
      </c>
      <c r="D1184" s="12" t="s">
        <v>2698</v>
      </c>
      <c r="E1184" s="12">
        <v>1162</v>
      </c>
      <c r="F1184" s="13" t="s">
        <v>2609</v>
      </c>
      <c r="G1184" s="14">
        <v>3</v>
      </c>
      <c r="H1184" s="14" t="s">
        <v>413</v>
      </c>
      <c r="I1184" s="13">
        <v>45</v>
      </c>
      <c r="J1184" s="15" t="s">
        <v>1444</v>
      </c>
      <c r="K1184" s="15" t="s">
        <v>2711</v>
      </c>
      <c r="L1184" s="16"/>
      <c r="M1184" s="16">
        <v>845.60449999999992</v>
      </c>
      <c r="N1184" s="16"/>
      <c r="O1184" s="16"/>
      <c r="P1184" s="16"/>
      <c r="Q1184" s="16">
        <f>SUM(Tabela1[[#This Row],[201805]:[201807]])</f>
        <v>845.60449999999992</v>
      </c>
      <c r="R1184" s="16">
        <f>SUM(Tabela1[[#This Row],[201905]:[201906]])</f>
        <v>0</v>
      </c>
      <c r="S1184" s="16">
        <v>100000</v>
      </c>
      <c r="T1184" s="16">
        <f>Tabela1[[#This Row],[Total 2019]]-Tabela1[[#This Row],[Total 2018]]</f>
        <v>-845.60449999999992</v>
      </c>
      <c r="U1184" s="40">
        <f>Tabela1[[#This Row],[Total 2019]]/Tabela1[[#This Row],[Meta]]</f>
        <v>0</v>
      </c>
      <c r="V1184" s="17">
        <f>IFERROR(Tabela1[[#This Row],[Total 2019]]/Tabela1[[#This Row],[Total 2018]]-1,0)</f>
        <v>-1</v>
      </c>
      <c r="W118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84" s="48"/>
      <c r="Y1184" s="19"/>
      <c r="Z1184" s="68"/>
    </row>
    <row r="1185" spans="3:26" x14ac:dyDescent="0.35">
      <c r="C1185" s="11" t="s">
        <v>2703</v>
      </c>
      <c r="D1185" s="12" t="s">
        <v>2700</v>
      </c>
      <c r="E1185" s="12">
        <v>1163</v>
      </c>
      <c r="F1185" s="13" t="s">
        <v>2610</v>
      </c>
      <c r="G1185" s="14">
        <v>2</v>
      </c>
      <c r="H1185" s="14" t="s">
        <v>407</v>
      </c>
      <c r="I1185" s="13">
        <v>41</v>
      </c>
      <c r="J1185" s="15" t="s">
        <v>1440</v>
      </c>
      <c r="K1185" s="15" t="s">
        <v>2712</v>
      </c>
      <c r="L1185" s="16"/>
      <c r="M1185" s="16">
        <v>3515.9594999999999</v>
      </c>
      <c r="N1185" s="16"/>
      <c r="O1185" s="16"/>
      <c r="P1185" s="16"/>
      <c r="Q1185" s="16">
        <f>SUM(Tabela1[[#This Row],[201805]:[201807]])</f>
        <v>3515.9594999999999</v>
      </c>
      <c r="R1185" s="16">
        <f>SUM(Tabela1[[#This Row],[201905]:[201906]])</f>
        <v>0</v>
      </c>
      <c r="S1185" s="16">
        <v>100000</v>
      </c>
      <c r="T1185" s="16">
        <f>Tabela1[[#This Row],[Total 2019]]-Tabela1[[#This Row],[Total 2018]]</f>
        <v>-3515.9594999999999</v>
      </c>
      <c r="U1185" s="40">
        <f>Tabela1[[#This Row],[Total 2019]]/Tabela1[[#This Row],[Meta]]</f>
        <v>0</v>
      </c>
      <c r="V1185" s="17">
        <f>IFERROR(Tabela1[[#This Row],[Total 2019]]/Tabela1[[#This Row],[Total 2018]]-1,0)</f>
        <v>-1</v>
      </c>
      <c r="W118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85" s="48"/>
      <c r="Y1185" s="19"/>
      <c r="Z1185" s="68"/>
    </row>
    <row r="1186" spans="3:26" x14ac:dyDescent="0.35">
      <c r="C1186" s="11" t="s">
        <v>2704</v>
      </c>
      <c r="D1186" s="12" t="s">
        <v>2699</v>
      </c>
      <c r="E1186" s="12">
        <v>1164</v>
      </c>
      <c r="F1186" s="13" t="s">
        <v>2611</v>
      </c>
      <c r="G1186" s="14">
        <v>3</v>
      </c>
      <c r="H1186" s="14" t="s">
        <v>455</v>
      </c>
      <c r="I1186" s="13">
        <v>46</v>
      </c>
      <c r="J1186" s="15" t="s">
        <v>1445</v>
      </c>
      <c r="K1186" s="15" t="s">
        <v>2713</v>
      </c>
      <c r="L1186" s="16">
        <v>2746.8869999999997</v>
      </c>
      <c r="M1186" s="16">
        <v>5049.5540000000001</v>
      </c>
      <c r="N1186" s="16"/>
      <c r="O1186" s="16"/>
      <c r="P1186" s="16"/>
      <c r="Q1186" s="16">
        <f>SUM(Tabela1[[#This Row],[201805]:[201807]])</f>
        <v>7796.4409999999998</v>
      </c>
      <c r="R1186" s="16">
        <f>SUM(Tabela1[[#This Row],[201905]:[201906]])</f>
        <v>0</v>
      </c>
      <c r="S1186" s="16">
        <v>100000</v>
      </c>
      <c r="T1186" s="16">
        <f>Tabela1[[#This Row],[Total 2019]]-Tabela1[[#This Row],[Total 2018]]</f>
        <v>-7796.4409999999998</v>
      </c>
      <c r="U1186" s="40">
        <f>Tabela1[[#This Row],[Total 2019]]/Tabela1[[#This Row],[Meta]]</f>
        <v>0</v>
      </c>
      <c r="V1186" s="17">
        <f>IFERROR(Tabela1[[#This Row],[Total 2019]]/Tabela1[[#This Row],[Total 2018]]-1,0)</f>
        <v>-1</v>
      </c>
      <c r="W118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86" s="48"/>
      <c r="Y1186" s="19"/>
      <c r="Z1186" s="68"/>
    </row>
    <row r="1187" spans="3:26" x14ac:dyDescent="0.35">
      <c r="C1187" s="11" t="s">
        <v>2704</v>
      </c>
      <c r="D1187" s="12" t="s">
        <v>2699</v>
      </c>
      <c r="E1187" s="12">
        <v>1165</v>
      </c>
      <c r="F1187" s="13" t="s">
        <v>2612</v>
      </c>
      <c r="G1187" s="14">
        <v>2</v>
      </c>
      <c r="H1187" s="14" t="s">
        <v>400</v>
      </c>
      <c r="I1187" s="13">
        <v>37</v>
      </c>
      <c r="J1187" s="15" t="s">
        <v>1436</v>
      </c>
      <c r="K1187" s="15" t="s">
        <v>2711</v>
      </c>
      <c r="L1187" s="16">
        <v>1231.2190000000001</v>
      </c>
      <c r="M1187" s="16">
        <v>2283.2394999999997</v>
      </c>
      <c r="N1187" s="16"/>
      <c r="O1187" s="16"/>
      <c r="P1187" s="16"/>
      <c r="Q1187" s="16">
        <f>SUM(Tabela1[[#This Row],[201805]:[201807]])</f>
        <v>3514.4584999999997</v>
      </c>
      <c r="R1187" s="16">
        <f>SUM(Tabela1[[#This Row],[201905]:[201906]])</f>
        <v>0</v>
      </c>
      <c r="S1187" s="16">
        <v>100000</v>
      </c>
      <c r="T1187" s="16">
        <f>Tabela1[[#This Row],[Total 2019]]-Tabela1[[#This Row],[Total 2018]]</f>
        <v>-3514.4584999999997</v>
      </c>
      <c r="U1187" s="40">
        <f>Tabela1[[#This Row],[Total 2019]]/Tabela1[[#This Row],[Meta]]</f>
        <v>0</v>
      </c>
      <c r="V1187" s="17">
        <f>IFERROR(Tabela1[[#This Row],[Total 2019]]/Tabela1[[#This Row],[Total 2018]]-1,0)</f>
        <v>-1</v>
      </c>
      <c r="W118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87" s="48"/>
      <c r="Y1187" s="19"/>
      <c r="Z1187" s="68"/>
    </row>
    <row r="1188" spans="3:26" x14ac:dyDescent="0.35">
      <c r="C1188" s="11" t="s">
        <v>2704</v>
      </c>
      <c r="D1188" s="12" t="s">
        <v>2699</v>
      </c>
      <c r="E1188" s="12">
        <v>1166</v>
      </c>
      <c r="F1188" s="13" t="s">
        <v>2613</v>
      </c>
      <c r="G1188" s="14">
        <v>2</v>
      </c>
      <c r="H1188" s="14" t="s">
        <v>416</v>
      </c>
      <c r="I1188" s="13">
        <v>38</v>
      </c>
      <c r="J1188" s="15" t="s">
        <v>1437</v>
      </c>
      <c r="K1188" s="15" t="s">
        <v>2711</v>
      </c>
      <c r="L1188" s="16"/>
      <c r="M1188" s="16"/>
      <c r="N1188" s="16">
        <v>3106.348</v>
      </c>
      <c r="O1188" s="16">
        <v>2291.7514999999999</v>
      </c>
      <c r="P1188" s="16">
        <v>1180.0140000000001</v>
      </c>
      <c r="Q1188" s="16">
        <f>SUM(Tabela1[[#This Row],[201805]:[201807]])</f>
        <v>3106.348</v>
      </c>
      <c r="R1188" s="16">
        <f>SUM(Tabela1[[#This Row],[201905]:[201906]])</f>
        <v>3471.7655</v>
      </c>
      <c r="S1188" s="16">
        <v>100000</v>
      </c>
      <c r="T1188" s="16">
        <f>Tabela1[[#This Row],[Total 2019]]-Tabela1[[#This Row],[Total 2018]]</f>
        <v>365.41750000000002</v>
      </c>
      <c r="U1188" s="40">
        <f>Tabela1[[#This Row],[Total 2019]]/Tabela1[[#This Row],[Meta]]</f>
        <v>3.4717655E-2</v>
      </c>
      <c r="V1188" s="17">
        <f>IFERROR(Tabela1[[#This Row],[Total 2019]]/Tabela1[[#This Row],[Total 2018]]-1,0)</f>
        <v>0.11763572529542721</v>
      </c>
      <c r="W118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1188" s="48"/>
      <c r="Y1188" s="19"/>
      <c r="Z1188" s="68"/>
    </row>
    <row r="1189" spans="3:26" x14ac:dyDescent="0.35">
      <c r="C1189" s="11" t="s">
        <v>2704</v>
      </c>
      <c r="D1189" s="12" t="s">
        <v>2698</v>
      </c>
      <c r="E1189" s="12">
        <v>1167</v>
      </c>
      <c r="F1189" s="13" t="s">
        <v>2614</v>
      </c>
      <c r="G1189" s="14">
        <v>1</v>
      </c>
      <c r="H1189" s="14" t="s">
        <v>407</v>
      </c>
      <c r="I1189" s="13">
        <v>42</v>
      </c>
      <c r="J1189" s="15" t="s">
        <v>1441</v>
      </c>
      <c r="K1189" s="15" t="s">
        <v>2712</v>
      </c>
      <c r="L1189" s="16"/>
      <c r="M1189" s="16">
        <v>2533.5549999999998</v>
      </c>
      <c r="N1189" s="16"/>
      <c r="O1189" s="16"/>
      <c r="P1189" s="16"/>
      <c r="Q1189" s="16">
        <f>SUM(Tabela1[[#This Row],[201805]:[201807]])</f>
        <v>2533.5549999999998</v>
      </c>
      <c r="R1189" s="16">
        <f>SUM(Tabela1[[#This Row],[201905]:[201906]])</f>
        <v>0</v>
      </c>
      <c r="S1189" s="16">
        <v>100000</v>
      </c>
      <c r="T1189" s="16">
        <f>Tabela1[[#This Row],[Total 2019]]-Tabela1[[#This Row],[Total 2018]]</f>
        <v>-2533.5549999999998</v>
      </c>
      <c r="U1189" s="40">
        <f>Tabela1[[#This Row],[Total 2019]]/Tabela1[[#This Row],[Meta]]</f>
        <v>0</v>
      </c>
      <c r="V1189" s="17">
        <f>IFERROR(Tabela1[[#This Row],[Total 2019]]/Tabela1[[#This Row],[Total 2018]]-1,0)</f>
        <v>-1</v>
      </c>
      <c r="W118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89" s="48"/>
      <c r="Y1189" s="19"/>
      <c r="Z1189" s="68"/>
    </row>
    <row r="1190" spans="3:26" x14ac:dyDescent="0.35">
      <c r="C1190" s="11" t="s">
        <v>2703</v>
      </c>
      <c r="D1190" s="12" t="s">
        <v>2698</v>
      </c>
      <c r="E1190" s="12">
        <v>1168</v>
      </c>
      <c r="F1190" s="13" t="s">
        <v>2615</v>
      </c>
      <c r="G1190" s="14">
        <v>3</v>
      </c>
      <c r="H1190" s="14" t="s">
        <v>407</v>
      </c>
      <c r="I1190" s="13">
        <v>41</v>
      </c>
      <c r="J1190" s="15" t="s">
        <v>1440</v>
      </c>
      <c r="K1190" s="15" t="s">
        <v>2712</v>
      </c>
      <c r="L1190" s="16">
        <v>3873.7959999999998</v>
      </c>
      <c r="M1190" s="16">
        <v>4297.8950000000004</v>
      </c>
      <c r="N1190" s="16">
        <v>1175.2260000000001</v>
      </c>
      <c r="O1190" s="16"/>
      <c r="P1190" s="16"/>
      <c r="Q1190" s="16">
        <f>SUM(Tabela1[[#This Row],[201805]:[201807]])</f>
        <v>9346.9170000000013</v>
      </c>
      <c r="R1190" s="16">
        <f>SUM(Tabela1[[#This Row],[201905]:[201906]])</f>
        <v>0</v>
      </c>
      <c r="S1190" s="16">
        <v>100000</v>
      </c>
      <c r="T1190" s="16">
        <f>Tabela1[[#This Row],[Total 2019]]-Tabela1[[#This Row],[Total 2018]]</f>
        <v>-9346.9170000000013</v>
      </c>
      <c r="U1190" s="40">
        <f>Tabela1[[#This Row],[Total 2019]]/Tabela1[[#This Row],[Meta]]</f>
        <v>0</v>
      </c>
      <c r="V1190" s="17">
        <f>IFERROR(Tabela1[[#This Row],[Total 2019]]/Tabela1[[#This Row],[Total 2018]]-1,0)</f>
        <v>-1</v>
      </c>
      <c r="W119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90" s="48"/>
      <c r="Y1190" s="19"/>
      <c r="Z1190" s="68"/>
    </row>
    <row r="1191" spans="3:26" x14ac:dyDescent="0.35">
      <c r="C1191" s="11" t="s">
        <v>2702</v>
      </c>
      <c r="D1191" s="12" t="s">
        <v>2700</v>
      </c>
      <c r="E1191" s="12">
        <v>1169</v>
      </c>
      <c r="F1191" s="13" t="s">
        <v>2616</v>
      </c>
      <c r="G1191" s="14">
        <v>1</v>
      </c>
      <c r="H1191" s="14" t="s">
        <v>400</v>
      </c>
      <c r="I1191" s="13">
        <v>37</v>
      </c>
      <c r="J1191" s="15" t="s">
        <v>1436</v>
      </c>
      <c r="K1191" s="15" t="s">
        <v>2711</v>
      </c>
      <c r="L1191" s="16">
        <v>1865.4580000000001</v>
      </c>
      <c r="M1191" s="16">
        <v>4526.0469999999996</v>
      </c>
      <c r="N1191" s="16">
        <v>1149.2529999999999</v>
      </c>
      <c r="O1191" s="16"/>
      <c r="P1191" s="16"/>
      <c r="Q1191" s="16">
        <f>SUM(Tabela1[[#This Row],[201805]:[201807]])</f>
        <v>7540.7579999999989</v>
      </c>
      <c r="R1191" s="16">
        <f>SUM(Tabela1[[#This Row],[201905]:[201906]])</f>
        <v>0</v>
      </c>
      <c r="S1191" s="16">
        <v>100000</v>
      </c>
      <c r="T1191" s="16">
        <f>Tabela1[[#This Row],[Total 2019]]-Tabela1[[#This Row],[Total 2018]]</f>
        <v>-7540.7579999999989</v>
      </c>
      <c r="U1191" s="40">
        <f>Tabela1[[#This Row],[Total 2019]]/Tabela1[[#This Row],[Meta]]</f>
        <v>0</v>
      </c>
      <c r="V1191" s="17">
        <f>IFERROR(Tabela1[[#This Row],[Total 2019]]/Tabela1[[#This Row],[Total 2018]]-1,0)</f>
        <v>-1</v>
      </c>
      <c r="W119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91" s="48"/>
      <c r="Y1191" s="19"/>
      <c r="Z1191" s="68"/>
    </row>
    <row r="1192" spans="3:26" x14ac:dyDescent="0.35">
      <c r="C1192" s="11" t="s">
        <v>2702</v>
      </c>
      <c r="D1192" s="12" t="s">
        <v>2700</v>
      </c>
      <c r="E1192" s="12">
        <v>1170</v>
      </c>
      <c r="F1192" s="13" t="s">
        <v>2617</v>
      </c>
      <c r="G1192" s="14">
        <v>3</v>
      </c>
      <c r="H1192" s="14" t="s">
        <v>400</v>
      </c>
      <c r="I1192" s="13">
        <v>37</v>
      </c>
      <c r="J1192" s="15" t="s">
        <v>1436</v>
      </c>
      <c r="K1192" s="15" t="s">
        <v>2711</v>
      </c>
      <c r="L1192" s="16">
        <v>2457.973</v>
      </c>
      <c r="M1192" s="16">
        <v>5180.6350000000002</v>
      </c>
      <c r="N1192" s="16">
        <v>2693.1739999999995</v>
      </c>
      <c r="O1192" s="16"/>
      <c r="P1192" s="16"/>
      <c r="Q1192" s="16">
        <f>SUM(Tabela1[[#This Row],[201805]:[201807]])</f>
        <v>10331.781999999999</v>
      </c>
      <c r="R1192" s="16">
        <f>SUM(Tabela1[[#This Row],[201905]:[201906]])</f>
        <v>0</v>
      </c>
      <c r="S1192" s="16">
        <v>100000</v>
      </c>
      <c r="T1192" s="16">
        <f>Tabela1[[#This Row],[Total 2019]]-Tabela1[[#This Row],[Total 2018]]</f>
        <v>-10331.781999999999</v>
      </c>
      <c r="U1192" s="40">
        <f>Tabela1[[#This Row],[Total 2019]]/Tabela1[[#This Row],[Meta]]</f>
        <v>0</v>
      </c>
      <c r="V1192" s="17">
        <f>IFERROR(Tabela1[[#This Row],[Total 2019]]/Tabela1[[#This Row],[Total 2018]]-1,0)</f>
        <v>-1</v>
      </c>
      <c r="W119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92" s="48"/>
      <c r="Y1192" s="19"/>
      <c r="Z1192" s="68"/>
    </row>
    <row r="1193" spans="3:26" x14ac:dyDescent="0.35">
      <c r="C1193" s="11" t="s">
        <v>2703</v>
      </c>
      <c r="D1193" s="12" t="s">
        <v>2700</v>
      </c>
      <c r="E1193" s="12">
        <v>1171</v>
      </c>
      <c r="F1193" s="13" t="s">
        <v>2618</v>
      </c>
      <c r="G1193" s="14">
        <v>3</v>
      </c>
      <c r="H1193" s="14" t="s">
        <v>413</v>
      </c>
      <c r="I1193" s="13">
        <v>45</v>
      </c>
      <c r="J1193" s="15" t="s">
        <v>1444</v>
      </c>
      <c r="K1193" s="15" t="s">
        <v>2711</v>
      </c>
      <c r="L1193" s="16">
        <v>1293.7194999999997</v>
      </c>
      <c r="M1193" s="16">
        <v>1110.9014999999999</v>
      </c>
      <c r="N1193" s="16"/>
      <c r="O1193" s="16"/>
      <c r="P1193" s="16"/>
      <c r="Q1193" s="16">
        <f>SUM(Tabela1[[#This Row],[201805]:[201807]])</f>
        <v>2404.6209999999996</v>
      </c>
      <c r="R1193" s="16">
        <f>SUM(Tabela1[[#This Row],[201905]:[201906]])</f>
        <v>0</v>
      </c>
      <c r="S1193" s="16">
        <v>100000</v>
      </c>
      <c r="T1193" s="16">
        <f>Tabela1[[#This Row],[Total 2019]]-Tabela1[[#This Row],[Total 2018]]</f>
        <v>-2404.6209999999996</v>
      </c>
      <c r="U1193" s="40">
        <f>Tabela1[[#This Row],[Total 2019]]/Tabela1[[#This Row],[Meta]]</f>
        <v>0</v>
      </c>
      <c r="V1193" s="17">
        <f>IFERROR(Tabela1[[#This Row],[Total 2019]]/Tabela1[[#This Row],[Total 2018]]-1,0)</f>
        <v>-1</v>
      </c>
      <c r="W119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93" s="48"/>
      <c r="Y1193" s="19"/>
      <c r="Z1193" s="68"/>
    </row>
    <row r="1194" spans="3:26" x14ac:dyDescent="0.35">
      <c r="C1194" s="11" t="s">
        <v>2702</v>
      </c>
      <c r="D1194" s="12" t="s">
        <v>2699</v>
      </c>
      <c r="E1194" s="12">
        <v>1172</v>
      </c>
      <c r="F1194" s="13" t="s">
        <v>2619</v>
      </c>
      <c r="G1194" s="14">
        <v>2</v>
      </c>
      <c r="H1194" s="14" t="s">
        <v>403</v>
      </c>
      <c r="I1194" s="13">
        <v>39</v>
      </c>
      <c r="J1194" s="15" t="s">
        <v>1438</v>
      </c>
      <c r="K1194" s="15" t="s">
        <v>2711</v>
      </c>
      <c r="L1194" s="16"/>
      <c r="M1194" s="16">
        <v>5585.2685000000001</v>
      </c>
      <c r="N1194" s="16">
        <v>2713.732</v>
      </c>
      <c r="O1194" s="16"/>
      <c r="P1194" s="16"/>
      <c r="Q1194" s="16">
        <f>SUM(Tabela1[[#This Row],[201805]:[201807]])</f>
        <v>8299.0005000000001</v>
      </c>
      <c r="R1194" s="16">
        <f>SUM(Tabela1[[#This Row],[201905]:[201906]])</f>
        <v>0</v>
      </c>
      <c r="S1194" s="16">
        <v>100000</v>
      </c>
      <c r="T1194" s="16">
        <f>Tabela1[[#This Row],[Total 2019]]-Tabela1[[#This Row],[Total 2018]]</f>
        <v>-8299.0005000000001</v>
      </c>
      <c r="U1194" s="40">
        <f>Tabela1[[#This Row],[Total 2019]]/Tabela1[[#This Row],[Meta]]</f>
        <v>0</v>
      </c>
      <c r="V1194" s="17">
        <f>IFERROR(Tabela1[[#This Row],[Total 2019]]/Tabela1[[#This Row],[Total 2018]]-1,0)</f>
        <v>-1</v>
      </c>
      <c r="W119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94" s="48"/>
      <c r="Y1194" s="19"/>
      <c r="Z1194" s="68"/>
    </row>
    <row r="1195" spans="3:26" x14ac:dyDescent="0.35">
      <c r="C1195" s="11" t="s">
        <v>2703</v>
      </c>
      <c r="D1195" s="12" t="s">
        <v>2698</v>
      </c>
      <c r="E1195" s="12">
        <v>1173</v>
      </c>
      <c r="F1195" s="13" t="s">
        <v>2620</v>
      </c>
      <c r="G1195" s="14">
        <v>1</v>
      </c>
      <c r="H1195" s="14" t="s">
        <v>410</v>
      </c>
      <c r="I1195" s="13">
        <v>44</v>
      </c>
      <c r="J1195" s="15" t="s">
        <v>1443</v>
      </c>
      <c r="K1195" s="15" t="s">
        <v>2711</v>
      </c>
      <c r="L1195" s="16">
        <v>805.5714999999999</v>
      </c>
      <c r="M1195" s="16">
        <v>2041.4549999999999</v>
      </c>
      <c r="N1195" s="16"/>
      <c r="O1195" s="16"/>
      <c r="P1195" s="16"/>
      <c r="Q1195" s="16">
        <f>SUM(Tabela1[[#This Row],[201805]:[201807]])</f>
        <v>2847.0264999999999</v>
      </c>
      <c r="R1195" s="16">
        <f>SUM(Tabela1[[#This Row],[201905]:[201906]])</f>
        <v>0</v>
      </c>
      <c r="S1195" s="16">
        <v>100000</v>
      </c>
      <c r="T1195" s="16">
        <f>Tabela1[[#This Row],[Total 2019]]-Tabela1[[#This Row],[Total 2018]]</f>
        <v>-2847.0264999999999</v>
      </c>
      <c r="U1195" s="40">
        <f>Tabela1[[#This Row],[Total 2019]]/Tabela1[[#This Row],[Meta]]</f>
        <v>0</v>
      </c>
      <c r="V1195" s="17">
        <f>IFERROR(Tabela1[[#This Row],[Total 2019]]/Tabela1[[#This Row],[Total 2018]]-1,0)</f>
        <v>-1</v>
      </c>
      <c r="W119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95" s="48"/>
      <c r="Y1195" s="19"/>
      <c r="Z1195" s="68"/>
    </row>
    <row r="1196" spans="3:26" x14ac:dyDescent="0.35">
      <c r="C1196" s="11" t="s">
        <v>2702</v>
      </c>
      <c r="D1196" s="12" t="s">
        <v>2699</v>
      </c>
      <c r="E1196" s="12">
        <v>1174</v>
      </c>
      <c r="F1196" s="13" t="s">
        <v>2621</v>
      </c>
      <c r="G1196" s="14">
        <v>2</v>
      </c>
      <c r="H1196" s="14" t="s">
        <v>407</v>
      </c>
      <c r="I1196" s="13">
        <v>41</v>
      </c>
      <c r="J1196" s="15" t="s">
        <v>1440</v>
      </c>
      <c r="K1196" s="15" t="s">
        <v>2712</v>
      </c>
      <c r="L1196" s="16">
        <v>3543.2815000000001</v>
      </c>
      <c r="M1196" s="16">
        <v>2204.7599999999998</v>
      </c>
      <c r="N1196" s="16"/>
      <c r="O1196" s="16">
        <v>3818.1734999999999</v>
      </c>
      <c r="P1196" s="16"/>
      <c r="Q1196" s="16">
        <f>SUM(Tabela1[[#This Row],[201805]:[201807]])</f>
        <v>5748.0414999999994</v>
      </c>
      <c r="R1196" s="16">
        <f>SUM(Tabela1[[#This Row],[201905]:[201906]])</f>
        <v>3818.1734999999999</v>
      </c>
      <c r="S1196" s="16">
        <v>100000</v>
      </c>
      <c r="T1196" s="16">
        <f>Tabela1[[#This Row],[Total 2019]]-Tabela1[[#This Row],[Total 2018]]</f>
        <v>-1929.8679999999995</v>
      </c>
      <c r="U1196" s="40">
        <f>Tabela1[[#This Row],[Total 2019]]/Tabela1[[#This Row],[Meta]]</f>
        <v>3.8181735000000001E-2</v>
      </c>
      <c r="V1196" s="17">
        <f>IFERROR(Tabela1[[#This Row],[Total 2019]]/Tabela1[[#This Row],[Total 2018]]-1,0)</f>
        <v>-0.33574357457231296</v>
      </c>
      <c r="W119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1196" s="48"/>
      <c r="Y1196" s="19"/>
      <c r="Z1196" s="68"/>
    </row>
    <row r="1197" spans="3:26" x14ac:dyDescent="0.35">
      <c r="C1197" s="11" t="s">
        <v>2704</v>
      </c>
      <c r="D1197" s="12" t="s">
        <v>2699</v>
      </c>
      <c r="E1197" s="12">
        <v>1175</v>
      </c>
      <c r="F1197" s="13" t="s">
        <v>2622</v>
      </c>
      <c r="G1197" s="14">
        <v>3</v>
      </c>
      <c r="H1197" s="14" t="s">
        <v>407</v>
      </c>
      <c r="I1197" s="13">
        <v>42</v>
      </c>
      <c r="J1197" s="15" t="s">
        <v>1441</v>
      </c>
      <c r="K1197" s="15" t="s">
        <v>2712</v>
      </c>
      <c r="L1197" s="16"/>
      <c r="M1197" s="16"/>
      <c r="N1197" s="16">
        <v>2688.7374999999997</v>
      </c>
      <c r="O1197" s="16"/>
      <c r="P1197" s="16"/>
      <c r="Q1197" s="16">
        <f>SUM(Tabela1[[#This Row],[201805]:[201807]])</f>
        <v>2688.7374999999997</v>
      </c>
      <c r="R1197" s="16">
        <f>SUM(Tabela1[[#This Row],[201905]:[201906]])</f>
        <v>0</v>
      </c>
      <c r="S1197" s="16">
        <v>100000</v>
      </c>
      <c r="T1197" s="16">
        <f>Tabela1[[#This Row],[Total 2019]]-Tabela1[[#This Row],[Total 2018]]</f>
        <v>-2688.7374999999997</v>
      </c>
      <c r="U1197" s="40">
        <f>Tabela1[[#This Row],[Total 2019]]/Tabela1[[#This Row],[Meta]]</f>
        <v>0</v>
      </c>
      <c r="V1197" s="17">
        <f>IFERROR(Tabela1[[#This Row],[Total 2019]]/Tabela1[[#This Row],[Total 2018]]-1,0)</f>
        <v>-1</v>
      </c>
      <c r="W119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97" s="48"/>
      <c r="Y1197" s="19"/>
      <c r="Z1197" s="68"/>
    </row>
    <row r="1198" spans="3:26" x14ac:dyDescent="0.35">
      <c r="C1198" s="11" t="s">
        <v>2703</v>
      </c>
      <c r="D1198" s="12" t="s">
        <v>2698</v>
      </c>
      <c r="E1198" s="12">
        <v>1176</v>
      </c>
      <c r="F1198" s="13" t="s">
        <v>2623</v>
      </c>
      <c r="G1198" s="14">
        <v>1</v>
      </c>
      <c r="H1198" s="14" t="s">
        <v>401</v>
      </c>
      <c r="I1198" s="13">
        <v>37</v>
      </c>
      <c r="J1198" s="15" t="s">
        <v>1436</v>
      </c>
      <c r="K1198" s="15" t="s">
        <v>2711</v>
      </c>
      <c r="L1198" s="16">
        <v>2701.3154999999997</v>
      </c>
      <c r="M1198" s="16">
        <v>1334.3605</v>
      </c>
      <c r="N1198" s="16"/>
      <c r="O1198" s="16"/>
      <c r="P1198" s="16"/>
      <c r="Q1198" s="16">
        <f>SUM(Tabela1[[#This Row],[201805]:[201807]])</f>
        <v>4035.6759999999995</v>
      </c>
      <c r="R1198" s="16">
        <f>SUM(Tabela1[[#This Row],[201905]:[201906]])</f>
        <v>0</v>
      </c>
      <c r="S1198" s="16">
        <v>100000</v>
      </c>
      <c r="T1198" s="16">
        <f>Tabela1[[#This Row],[Total 2019]]-Tabela1[[#This Row],[Total 2018]]</f>
        <v>-4035.6759999999995</v>
      </c>
      <c r="U1198" s="40">
        <f>Tabela1[[#This Row],[Total 2019]]/Tabela1[[#This Row],[Meta]]</f>
        <v>0</v>
      </c>
      <c r="V1198" s="17">
        <f>IFERROR(Tabela1[[#This Row],[Total 2019]]/Tabela1[[#This Row],[Total 2018]]-1,0)</f>
        <v>-1</v>
      </c>
      <c r="W119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98" s="48"/>
      <c r="Y1198" s="19"/>
      <c r="Z1198" s="68"/>
    </row>
    <row r="1199" spans="3:26" x14ac:dyDescent="0.35">
      <c r="C1199" s="11" t="s">
        <v>2703</v>
      </c>
      <c r="D1199" s="12" t="s">
        <v>2699</v>
      </c>
      <c r="E1199" s="12">
        <v>1177</v>
      </c>
      <c r="F1199" s="13" t="s">
        <v>2624</v>
      </c>
      <c r="G1199" s="14">
        <v>2</v>
      </c>
      <c r="H1199" s="14" t="s">
        <v>401</v>
      </c>
      <c r="I1199" s="13">
        <v>37</v>
      </c>
      <c r="J1199" s="15" t="s">
        <v>1436</v>
      </c>
      <c r="K1199" s="15" t="s">
        <v>2711</v>
      </c>
      <c r="L1199" s="16"/>
      <c r="M1199" s="16">
        <v>919.39100000000008</v>
      </c>
      <c r="N1199" s="16"/>
      <c r="O1199" s="16"/>
      <c r="P1199" s="16"/>
      <c r="Q1199" s="16">
        <f>SUM(Tabela1[[#This Row],[201805]:[201807]])</f>
        <v>919.39100000000008</v>
      </c>
      <c r="R1199" s="16">
        <f>SUM(Tabela1[[#This Row],[201905]:[201906]])</f>
        <v>0</v>
      </c>
      <c r="S1199" s="16">
        <v>100000</v>
      </c>
      <c r="T1199" s="16">
        <f>Tabela1[[#This Row],[Total 2019]]-Tabela1[[#This Row],[Total 2018]]</f>
        <v>-919.39100000000008</v>
      </c>
      <c r="U1199" s="40">
        <f>Tabela1[[#This Row],[Total 2019]]/Tabela1[[#This Row],[Meta]]</f>
        <v>0</v>
      </c>
      <c r="V1199" s="17">
        <f>IFERROR(Tabela1[[#This Row],[Total 2019]]/Tabela1[[#This Row],[Total 2018]]-1,0)</f>
        <v>-1</v>
      </c>
      <c r="W119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199" s="48"/>
      <c r="Y1199" s="19"/>
      <c r="Z1199" s="68"/>
    </row>
    <row r="1200" spans="3:26" x14ac:dyDescent="0.35">
      <c r="C1200" s="11" t="s">
        <v>2704</v>
      </c>
      <c r="D1200" s="12" t="s">
        <v>2700</v>
      </c>
      <c r="E1200" s="12">
        <v>1178</v>
      </c>
      <c r="F1200" s="13" t="s">
        <v>2625</v>
      </c>
      <c r="G1200" s="14">
        <v>1</v>
      </c>
      <c r="H1200" s="14" t="s">
        <v>407</v>
      </c>
      <c r="I1200" s="13">
        <v>42</v>
      </c>
      <c r="J1200" s="15" t="s">
        <v>1441</v>
      </c>
      <c r="K1200" s="15" t="s">
        <v>2712</v>
      </c>
      <c r="L1200" s="16">
        <v>2817.8519999999999</v>
      </c>
      <c r="M1200" s="16">
        <v>2914.6570000000002</v>
      </c>
      <c r="N1200" s="16"/>
      <c r="O1200" s="16"/>
      <c r="P1200" s="16"/>
      <c r="Q1200" s="16">
        <f>SUM(Tabela1[[#This Row],[201805]:[201807]])</f>
        <v>5732.509</v>
      </c>
      <c r="R1200" s="16">
        <f>SUM(Tabela1[[#This Row],[201905]:[201906]])</f>
        <v>0</v>
      </c>
      <c r="S1200" s="16">
        <v>100000</v>
      </c>
      <c r="T1200" s="16">
        <f>Tabela1[[#This Row],[Total 2019]]-Tabela1[[#This Row],[Total 2018]]</f>
        <v>-5732.509</v>
      </c>
      <c r="U1200" s="40">
        <f>Tabela1[[#This Row],[Total 2019]]/Tabela1[[#This Row],[Meta]]</f>
        <v>0</v>
      </c>
      <c r="V1200" s="17">
        <f>IFERROR(Tabela1[[#This Row],[Total 2019]]/Tabela1[[#This Row],[Total 2018]]-1,0)</f>
        <v>-1</v>
      </c>
      <c r="W120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00" s="48"/>
      <c r="Y1200" s="19"/>
      <c r="Z1200" s="68"/>
    </row>
    <row r="1201" spans="3:26" x14ac:dyDescent="0.35">
      <c r="C1201" s="11" t="s">
        <v>2702</v>
      </c>
      <c r="D1201" s="12" t="s">
        <v>2698</v>
      </c>
      <c r="E1201" s="12">
        <v>1179</v>
      </c>
      <c r="F1201" s="13" t="s">
        <v>2626</v>
      </c>
      <c r="G1201" s="14">
        <v>1</v>
      </c>
      <c r="H1201" s="14" t="s">
        <v>403</v>
      </c>
      <c r="I1201" s="13">
        <v>39</v>
      </c>
      <c r="J1201" s="15" t="s">
        <v>1438</v>
      </c>
      <c r="K1201" s="15" t="s">
        <v>2711</v>
      </c>
      <c r="L1201" s="16">
        <v>2596.6254999999996</v>
      </c>
      <c r="M1201" s="16">
        <v>1807.0234999999998</v>
      </c>
      <c r="N1201" s="16"/>
      <c r="O1201" s="16"/>
      <c r="P1201" s="16"/>
      <c r="Q1201" s="16">
        <f>SUM(Tabela1[[#This Row],[201805]:[201807]])</f>
        <v>4403.6489999999994</v>
      </c>
      <c r="R1201" s="16">
        <f>SUM(Tabela1[[#This Row],[201905]:[201906]])</f>
        <v>0</v>
      </c>
      <c r="S1201" s="16">
        <v>100000</v>
      </c>
      <c r="T1201" s="16">
        <f>Tabela1[[#This Row],[Total 2019]]-Tabela1[[#This Row],[Total 2018]]</f>
        <v>-4403.6489999999994</v>
      </c>
      <c r="U1201" s="40">
        <f>Tabela1[[#This Row],[Total 2019]]/Tabela1[[#This Row],[Meta]]</f>
        <v>0</v>
      </c>
      <c r="V1201" s="17">
        <f>IFERROR(Tabela1[[#This Row],[Total 2019]]/Tabela1[[#This Row],[Total 2018]]-1,0)</f>
        <v>-1</v>
      </c>
      <c r="W120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01" s="48"/>
      <c r="Y1201" s="19"/>
      <c r="Z1201" s="68"/>
    </row>
    <row r="1202" spans="3:26" x14ac:dyDescent="0.35">
      <c r="C1202" s="11" t="s">
        <v>2702</v>
      </c>
      <c r="D1202" s="12" t="s">
        <v>2700</v>
      </c>
      <c r="E1202" s="12">
        <v>1180</v>
      </c>
      <c r="F1202" s="13" t="s">
        <v>2627</v>
      </c>
      <c r="G1202" s="14">
        <v>1</v>
      </c>
      <c r="H1202" s="14" t="s">
        <v>413</v>
      </c>
      <c r="I1202" s="13">
        <v>45</v>
      </c>
      <c r="J1202" s="15" t="s">
        <v>1444</v>
      </c>
      <c r="K1202" s="15" t="s">
        <v>2711</v>
      </c>
      <c r="L1202" s="16">
        <v>2726.386</v>
      </c>
      <c r="M1202" s="16">
        <v>7094.6284999999998</v>
      </c>
      <c r="N1202" s="16"/>
      <c r="O1202" s="16"/>
      <c r="P1202" s="16"/>
      <c r="Q1202" s="16">
        <f>SUM(Tabela1[[#This Row],[201805]:[201807]])</f>
        <v>9821.0144999999993</v>
      </c>
      <c r="R1202" s="16">
        <f>SUM(Tabela1[[#This Row],[201905]:[201906]])</f>
        <v>0</v>
      </c>
      <c r="S1202" s="16">
        <v>100000</v>
      </c>
      <c r="T1202" s="16">
        <f>Tabela1[[#This Row],[Total 2019]]-Tabela1[[#This Row],[Total 2018]]</f>
        <v>-9821.0144999999993</v>
      </c>
      <c r="U1202" s="40">
        <f>Tabela1[[#This Row],[Total 2019]]/Tabela1[[#This Row],[Meta]]</f>
        <v>0</v>
      </c>
      <c r="V1202" s="17">
        <f>IFERROR(Tabela1[[#This Row],[Total 2019]]/Tabela1[[#This Row],[Total 2018]]-1,0)</f>
        <v>-1</v>
      </c>
      <c r="W120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02" s="48"/>
      <c r="Y1202" s="19"/>
      <c r="Z1202" s="68"/>
    </row>
    <row r="1203" spans="3:26" x14ac:dyDescent="0.35">
      <c r="C1203" s="11" t="s">
        <v>2704</v>
      </c>
      <c r="D1203" s="12" t="s">
        <v>2698</v>
      </c>
      <c r="E1203" s="12">
        <v>1181</v>
      </c>
      <c r="F1203" s="13" t="s">
        <v>2628</v>
      </c>
      <c r="G1203" s="14">
        <v>2</v>
      </c>
      <c r="H1203" s="14" t="s">
        <v>410</v>
      </c>
      <c r="I1203" s="13">
        <v>44</v>
      </c>
      <c r="J1203" s="15" t="s">
        <v>1443</v>
      </c>
      <c r="K1203" s="15" t="s">
        <v>2711</v>
      </c>
      <c r="L1203" s="16"/>
      <c r="M1203" s="16"/>
      <c r="N1203" s="16"/>
      <c r="O1203" s="16">
        <v>1194.8909999999998</v>
      </c>
      <c r="P1203" s="16">
        <v>5156.9610000000002</v>
      </c>
      <c r="Q1203" s="16">
        <f>SUM(Tabela1[[#This Row],[201805]:[201807]])</f>
        <v>0</v>
      </c>
      <c r="R1203" s="16">
        <f>SUM(Tabela1[[#This Row],[201905]:[201906]])</f>
        <v>6351.8519999999999</v>
      </c>
      <c r="S1203" s="16">
        <v>100000</v>
      </c>
      <c r="T1203" s="16">
        <f>Tabela1[[#This Row],[Total 2019]]-Tabela1[[#This Row],[Total 2018]]</f>
        <v>6351.8519999999999</v>
      </c>
      <c r="U1203" s="40">
        <f>Tabela1[[#This Row],[Total 2019]]/Tabela1[[#This Row],[Meta]]</f>
        <v>6.3518519999999995E-2</v>
      </c>
      <c r="V1203" s="17">
        <f>IFERROR(Tabela1[[#This Row],[Total 2019]]/Tabela1[[#This Row],[Total 2018]]-1,0)</f>
        <v>0</v>
      </c>
      <c r="W120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203" s="48"/>
      <c r="Y1203" s="19"/>
      <c r="Z1203" s="68"/>
    </row>
    <row r="1204" spans="3:26" x14ac:dyDescent="0.35">
      <c r="C1204" s="11" t="s">
        <v>2702</v>
      </c>
      <c r="D1204" s="12" t="s">
        <v>2700</v>
      </c>
      <c r="E1204" s="12">
        <v>1182</v>
      </c>
      <c r="F1204" s="13" t="s">
        <v>2629</v>
      </c>
      <c r="G1204" s="14">
        <v>1</v>
      </c>
      <c r="H1204" s="14" t="s">
        <v>413</v>
      </c>
      <c r="I1204" s="13">
        <v>45</v>
      </c>
      <c r="J1204" s="15" t="s">
        <v>1444</v>
      </c>
      <c r="K1204" s="15" t="s">
        <v>2711</v>
      </c>
      <c r="L1204" s="16"/>
      <c r="M1204" s="16">
        <v>5753.0765000000001</v>
      </c>
      <c r="N1204" s="16"/>
      <c r="O1204" s="16"/>
      <c r="P1204" s="16"/>
      <c r="Q1204" s="16">
        <f>SUM(Tabela1[[#This Row],[201805]:[201807]])</f>
        <v>5753.0765000000001</v>
      </c>
      <c r="R1204" s="16">
        <f>SUM(Tabela1[[#This Row],[201905]:[201906]])</f>
        <v>0</v>
      </c>
      <c r="S1204" s="16">
        <v>100000</v>
      </c>
      <c r="T1204" s="16">
        <f>Tabela1[[#This Row],[Total 2019]]-Tabela1[[#This Row],[Total 2018]]</f>
        <v>-5753.0765000000001</v>
      </c>
      <c r="U1204" s="40">
        <f>Tabela1[[#This Row],[Total 2019]]/Tabela1[[#This Row],[Meta]]</f>
        <v>0</v>
      </c>
      <c r="V1204" s="17">
        <f>IFERROR(Tabela1[[#This Row],[Total 2019]]/Tabela1[[#This Row],[Total 2018]]-1,0)</f>
        <v>-1</v>
      </c>
      <c r="W120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04" s="48"/>
      <c r="Y1204" s="19"/>
      <c r="Z1204" s="68"/>
    </row>
    <row r="1205" spans="3:26" x14ac:dyDescent="0.35">
      <c r="C1205" s="11" t="s">
        <v>2703</v>
      </c>
      <c r="D1205" s="12" t="s">
        <v>2700</v>
      </c>
      <c r="E1205" s="12">
        <v>1183</v>
      </c>
      <c r="F1205" s="13" t="s">
        <v>2630</v>
      </c>
      <c r="G1205" s="14">
        <v>1</v>
      </c>
      <c r="H1205" s="14" t="s">
        <v>408</v>
      </c>
      <c r="I1205" s="13">
        <v>38</v>
      </c>
      <c r="J1205" s="15" t="s">
        <v>1437</v>
      </c>
      <c r="K1205" s="15" t="s">
        <v>2711</v>
      </c>
      <c r="L1205" s="16">
        <v>946.33299999999997</v>
      </c>
      <c r="M1205" s="16">
        <v>3758.7604999999999</v>
      </c>
      <c r="N1205" s="16"/>
      <c r="O1205" s="16">
        <v>4301.8374999999996</v>
      </c>
      <c r="P1205" s="16">
        <v>2176.7729999999997</v>
      </c>
      <c r="Q1205" s="16">
        <f>SUM(Tabela1[[#This Row],[201805]:[201807]])</f>
        <v>4705.0934999999999</v>
      </c>
      <c r="R1205" s="16">
        <f>SUM(Tabela1[[#This Row],[201905]:[201906]])</f>
        <v>6478.6104999999989</v>
      </c>
      <c r="S1205" s="16">
        <v>100000</v>
      </c>
      <c r="T1205" s="16">
        <f>Tabela1[[#This Row],[Total 2019]]-Tabela1[[#This Row],[Total 2018]]</f>
        <v>1773.5169999999989</v>
      </c>
      <c r="U1205" s="40">
        <f>Tabela1[[#This Row],[Total 2019]]/Tabela1[[#This Row],[Meta]]</f>
        <v>6.4786104999999983E-2</v>
      </c>
      <c r="V1205" s="17">
        <f>IFERROR(Tabela1[[#This Row],[Total 2019]]/Tabela1[[#This Row],[Total 2018]]-1,0)</f>
        <v>0.37693554867719392</v>
      </c>
      <c r="W120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1205" s="48"/>
      <c r="Y1205" s="19"/>
      <c r="Z1205" s="68"/>
    </row>
    <row r="1206" spans="3:26" x14ac:dyDescent="0.35">
      <c r="C1206" s="11" t="s">
        <v>2704</v>
      </c>
      <c r="D1206" s="12" t="s">
        <v>2699</v>
      </c>
      <c r="E1206" s="12">
        <v>1184</v>
      </c>
      <c r="F1206" s="13" t="s">
        <v>2631</v>
      </c>
      <c r="G1206" s="14">
        <v>2</v>
      </c>
      <c r="H1206" s="14" t="s">
        <v>455</v>
      </c>
      <c r="I1206" s="13">
        <v>46</v>
      </c>
      <c r="J1206" s="15" t="s">
        <v>1445</v>
      </c>
      <c r="K1206" s="15" t="s">
        <v>2713</v>
      </c>
      <c r="L1206" s="16">
        <v>4346.7725</v>
      </c>
      <c r="M1206" s="16">
        <v>12224.048999999999</v>
      </c>
      <c r="N1206" s="16">
        <v>1379.134</v>
      </c>
      <c r="O1206" s="16"/>
      <c r="P1206" s="16"/>
      <c r="Q1206" s="16">
        <f>SUM(Tabela1[[#This Row],[201805]:[201807]])</f>
        <v>17949.955499999996</v>
      </c>
      <c r="R1206" s="16">
        <f>SUM(Tabela1[[#This Row],[201905]:[201906]])</f>
        <v>0</v>
      </c>
      <c r="S1206" s="16">
        <v>100000</v>
      </c>
      <c r="T1206" s="16">
        <f>Tabela1[[#This Row],[Total 2019]]-Tabela1[[#This Row],[Total 2018]]</f>
        <v>-17949.955499999996</v>
      </c>
      <c r="U1206" s="40">
        <f>Tabela1[[#This Row],[Total 2019]]/Tabela1[[#This Row],[Meta]]</f>
        <v>0</v>
      </c>
      <c r="V1206" s="17">
        <f>IFERROR(Tabela1[[#This Row],[Total 2019]]/Tabela1[[#This Row],[Total 2018]]-1,0)</f>
        <v>-1</v>
      </c>
      <c r="W120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06" s="48"/>
      <c r="Y1206" s="19"/>
      <c r="Z1206" s="68"/>
    </row>
    <row r="1207" spans="3:26" x14ac:dyDescent="0.35">
      <c r="C1207" s="11" t="s">
        <v>2702</v>
      </c>
      <c r="D1207" s="12" t="s">
        <v>2698</v>
      </c>
      <c r="E1207" s="12">
        <v>1185</v>
      </c>
      <c r="F1207" s="13" t="s">
        <v>2632</v>
      </c>
      <c r="G1207" s="14">
        <v>2</v>
      </c>
      <c r="H1207" s="14" t="s">
        <v>407</v>
      </c>
      <c r="I1207" s="13">
        <v>42</v>
      </c>
      <c r="J1207" s="15" t="s">
        <v>1441</v>
      </c>
      <c r="K1207" s="15" t="s">
        <v>2712</v>
      </c>
      <c r="L1207" s="16"/>
      <c r="M1207" s="16">
        <v>2520.616</v>
      </c>
      <c r="N1207" s="16"/>
      <c r="O1207" s="16"/>
      <c r="P1207" s="16"/>
      <c r="Q1207" s="16">
        <f>SUM(Tabela1[[#This Row],[201805]:[201807]])</f>
        <v>2520.616</v>
      </c>
      <c r="R1207" s="16">
        <f>SUM(Tabela1[[#This Row],[201905]:[201906]])</f>
        <v>0</v>
      </c>
      <c r="S1207" s="16">
        <v>100000</v>
      </c>
      <c r="T1207" s="16">
        <f>Tabela1[[#This Row],[Total 2019]]-Tabela1[[#This Row],[Total 2018]]</f>
        <v>-2520.616</v>
      </c>
      <c r="U1207" s="40">
        <f>Tabela1[[#This Row],[Total 2019]]/Tabela1[[#This Row],[Meta]]</f>
        <v>0</v>
      </c>
      <c r="V1207" s="17">
        <f>IFERROR(Tabela1[[#This Row],[Total 2019]]/Tabela1[[#This Row],[Total 2018]]-1,0)</f>
        <v>-1</v>
      </c>
      <c r="W120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07" s="48"/>
      <c r="Y1207" s="19"/>
      <c r="Z1207" s="68"/>
    </row>
    <row r="1208" spans="3:26" x14ac:dyDescent="0.35">
      <c r="C1208" s="11" t="s">
        <v>2702</v>
      </c>
      <c r="D1208" s="12" t="s">
        <v>2700</v>
      </c>
      <c r="E1208" s="12">
        <v>1186</v>
      </c>
      <c r="F1208" s="13" t="s">
        <v>2633</v>
      </c>
      <c r="G1208" s="14">
        <v>3</v>
      </c>
      <c r="H1208" s="14" t="s">
        <v>403</v>
      </c>
      <c r="I1208" s="13">
        <v>39</v>
      </c>
      <c r="J1208" s="15" t="s">
        <v>1438</v>
      </c>
      <c r="K1208" s="15" t="s">
        <v>2711</v>
      </c>
      <c r="L1208" s="16">
        <v>3775.5374999999999</v>
      </c>
      <c r="M1208" s="16">
        <v>1153.8985</v>
      </c>
      <c r="N1208" s="16"/>
      <c r="O1208" s="16"/>
      <c r="P1208" s="16"/>
      <c r="Q1208" s="16">
        <f>SUM(Tabela1[[#This Row],[201805]:[201807]])</f>
        <v>4929.4359999999997</v>
      </c>
      <c r="R1208" s="16">
        <f>SUM(Tabela1[[#This Row],[201905]:[201906]])</f>
        <v>0</v>
      </c>
      <c r="S1208" s="16">
        <v>100000</v>
      </c>
      <c r="T1208" s="16">
        <f>Tabela1[[#This Row],[Total 2019]]-Tabela1[[#This Row],[Total 2018]]</f>
        <v>-4929.4359999999997</v>
      </c>
      <c r="U1208" s="40">
        <f>Tabela1[[#This Row],[Total 2019]]/Tabela1[[#This Row],[Meta]]</f>
        <v>0</v>
      </c>
      <c r="V1208" s="17">
        <f>IFERROR(Tabela1[[#This Row],[Total 2019]]/Tabela1[[#This Row],[Total 2018]]-1,0)</f>
        <v>-1</v>
      </c>
      <c r="W120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08" s="48"/>
      <c r="Y1208" s="19"/>
      <c r="Z1208" s="68"/>
    </row>
    <row r="1209" spans="3:26" x14ac:dyDescent="0.35">
      <c r="C1209" s="11" t="s">
        <v>2702</v>
      </c>
      <c r="D1209" s="12" t="s">
        <v>2699</v>
      </c>
      <c r="E1209" s="12">
        <v>1187</v>
      </c>
      <c r="F1209" s="13" t="s">
        <v>2634</v>
      </c>
      <c r="G1209" s="14">
        <v>2</v>
      </c>
      <c r="H1209" s="14" t="s">
        <v>401</v>
      </c>
      <c r="I1209" s="13">
        <v>37</v>
      </c>
      <c r="J1209" s="15" t="s">
        <v>1436</v>
      </c>
      <c r="K1209" s="15" t="s">
        <v>2711</v>
      </c>
      <c r="L1209" s="16">
        <v>1420.7819999999999</v>
      </c>
      <c r="M1209" s="16">
        <v>2298.3634999999999</v>
      </c>
      <c r="N1209" s="16"/>
      <c r="O1209" s="16"/>
      <c r="P1209" s="16"/>
      <c r="Q1209" s="16">
        <f>SUM(Tabela1[[#This Row],[201805]:[201807]])</f>
        <v>3719.1454999999996</v>
      </c>
      <c r="R1209" s="16">
        <f>SUM(Tabela1[[#This Row],[201905]:[201906]])</f>
        <v>0</v>
      </c>
      <c r="S1209" s="16">
        <v>100000</v>
      </c>
      <c r="T1209" s="16">
        <f>Tabela1[[#This Row],[Total 2019]]-Tabela1[[#This Row],[Total 2018]]</f>
        <v>-3719.1454999999996</v>
      </c>
      <c r="U1209" s="40">
        <f>Tabela1[[#This Row],[Total 2019]]/Tabela1[[#This Row],[Meta]]</f>
        <v>0</v>
      </c>
      <c r="V1209" s="17">
        <f>IFERROR(Tabela1[[#This Row],[Total 2019]]/Tabela1[[#This Row],[Total 2018]]-1,0)</f>
        <v>-1</v>
      </c>
      <c r="W120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09" s="48"/>
      <c r="Y1209" s="19"/>
      <c r="Z1209" s="68"/>
    </row>
    <row r="1210" spans="3:26" x14ac:dyDescent="0.35">
      <c r="C1210" s="11" t="s">
        <v>2704</v>
      </c>
      <c r="D1210" s="12" t="s">
        <v>2700</v>
      </c>
      <c r="E1210" s="12">
        <v>1188</v>
      </c>
      <c r="F1210" s="13" t="s">
        <v>2635</v>
      </c>
      <c r="G1210" s="14">
        <v>1</v>
      </c>
      <c r="H1210" s="14" t="s">
        <v>407</v>
      </c>
      <c r="I1210" s="13">
        <v>42</v>
      </c>
      <c r="J1210" s="15" t="s">
        <v>1441</v>
      </c>
      <c r="K1210" s="15" t="s">
        <v>2712</v>
      </c>
      <c r="L1210" s="16">
        <v>1645.229</v>
      </c>
      <c r="M1210" s="16">
        <v>2361.9279999999994</v>
      </c>
      <c r="N1210" s="16"/>
      <c r="O1210" s="16"/>
      <c r="P1210" s="16"/>
      <c r="Q1210" s="16">
        <f>SUM(Tabela1[[#This Row],[201805]:[201807]])</f>
        <v>4007.1569999999992</v>
      </c>
      <c r="R1210" s="16">
        <f>SUM(Tabela1[[#This Row],[201905]:[201906]])</f>
        <v>0</v>
      </c>
      <c r="S1210" s="16">
        <v>100000</v>
      </c>
      <c r="T1210" s="16">
        <f>Tabela1[[#This Row],[Total 2019]]-Tabela1[[#This Row],[Total 2018]]</f>
        <v>-4007.1569999999992</v>
      </c>
      <c r="U1210" s="40">
        <f>Tabela1[[#This Row],[Total 2019]]/Tabela1[[#This Row],[Meta]]</f>
        <v>0</v>
      </c>
      <c r="V1210" s="17">
        <f>IFERROR(Tabela1[[#This Row],[Total 2019]]/Tabela1[[#This Row],[Total 2018]]-1,0)</f>
        <v>-1</v>
      </c>
      <c r="W121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10" s="48"/>
      <c r="Y1210" s="19"/>
      <c r="Z1210" s="68"/>
    </row>
    <row r="1211" spans="3:26" x14ac:dyDescent="0.35">
      <c r="C1211" s="11" t="s">
        <v>2702</v>
      </c>
      <c r="D1211" s="12" t="s">
        <v>2700</v>
      </c>
      <c r="E1211" s="12">
        <v>1189</v>
      </c>
      <c r="F1211" s="13" t="s">
        <v>2636</v>
      </c>
      <c r="G1211" s="14">
        <v>3</v>
      </c>
      <c r="H1211" s="14" t="s">
        <v>410</v>
      </c>
      <c r="I1211" s="13">
        <v>44</v>
      </c>
      <c r="J1211" s="15" t="s">
        <v>1443</v>
      </c>
      <c r="K1211" s="15" t="s">
        <v>2711</v>
      </c>
      <c r="L1211" s="16">
        <v>4159.7269999999999</v>
      </c>
      <c r="M1211" s="16">
        <v>3046.2509999999997</v>
      </c>
      <c r="N1211" s="16">
        <v>1072.2080000000001</v>
      </c>
      <c r="O1211" s="16">
        <v>5748.0224999999991</v>
      </c>
      <c r="P1211" s="16">
        <v>4033.5574999999999</v>
      </c>
      <c r="Q1211" s="16">
        <f>SUM(Tabela1[[#This Row],[201805]:[201807]])</f>
        <v>8278.1859999999997</v>
      </c>
      <c r="R1211" s="16">
        <f>SUM(Tabela1[[#This Row],[201905]:[201906]])</f>
        <v>9781.5799999999981</v>
      </c>
      <c r="S1211" s="16">
        <v>100000</v>
      </c>
      <c r="T1211" s="16">
        <f>Tabela1[[#This Row],[Total 2019]]-Tabela1[[#This Row],[Total 2018]]</f>
        <v>1503.3939999999984</v>
      </c>
      <c r="U1211" s="40">
        <f>Tabela1[[#This Row],[Total 2019]]/Tabela1[[#This Row],[Meta]]</f>
        <v>9.7815799999999981E-2</v>
      </c>
      <c r="V1211" s="17">
        <f>IFERROR(Tabela1[[#This Row],[Total 2019]]/Tabela1[[#This Row],[Total 2018]]-1,0)</f>
        <v>0.1816091109815603</v>
      </c>
      <c r="W121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1211" s="48"/>
      <c r="Y1211" s="19"/>
      <c r="Z1211" s="68"/>
    </row>
    <row r="1212" spans="3:26" x14ac:dyDescent="0.35">
      <c r="C1212" s="11" t="s">
        <v>2702</v>
      </c>
      <c r="D1212" s="12" t="s">
        <v>2699</v>
      </c>
      <c r="E1212" s="12">
        <v>1190</v>
      </c>
      <c r="F1212" s="13" t="s">
        <v>2637</v>
      </c>
      <c r="G1212" s="14">
        <v>2</v>
      </c>
      <c r="H1212" s="14" t="s">
        <v>407</v>
      </c>
      <c r="I1212" s="13">
        <v>42</v>
      </c>
      <c r="J1212" s="15" t="s">
        <v>1441</v>
      </c>
      <c r="K1212" s="15" t="s">
        <v>2712</v>
      </c>
      <c r="L1212" s="16"/>
      <c r="M1212" s="16"/>
      <c r="N1212" s="16">
        <v>1463.7029999999997</v>
      </c>
      <c r="O1212" s="16"/>
      <c r="P1212" s="16"/>
      <c r="Q1212" s="16">
        <f>SUM(Tabela1[[#This Row],[201805]:[201807]])</f>
        <v>1463.7029999999997</v>
      </c>
      <c r="R1212" s="16">
        <f>SUM(Tabela1[[#This Row],[201905]:[201906]])</f>
        <v>0</v>
      </c>
      <c r="S1212" s="16">
        <v>100000</v>
      </c>
      <c r="T1212" s="16">
        <f>Tabela1[[#This Row],[Total 2019]]-Tabela1[[#This Row],[Total 2018]]</f>
        <v>-1463.7029999999997</v>
      </c>
      <c r="U1212" s="40">
        <f>Tabela1[[#This Row],[Total 2019]]/Tabela1[[#This Row],[Meta]]</f>
        <v>0</v>
      </c>
      <c r="V1212" s="17">
        <f>IFERROR(Tabela1[[#This Row],[Total 2019]]/Tabela1[[#This Row],[Total 2018]]-1,0)</f>
        <v>-1</v>
      </c>
      <c r="W121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12" s="48"/>
      <c r="Y1212" s="19"/>
      <c r="Z1212" s="68"/>
    </row>
    <row r="1213" spans="3:26" x14ac:dyDescent="0.35">
      <c r="C1213" s="11" t="s">
        <v>2703</v>
      </c>
      <c r="D1213" s="12" t="s">
        <v>2700</v>
      </c>
      <c r="E1213" s="12">
        <v>1191</v>
      </c>
      <c r="F1213" s="13" t="s">
        <v>2638</v>
      </c>
      <c r="G1213" s="14">
        <v>3</v>
      </c>
      <c r="H1213" s="14" t="s">
        <v>416</v>
      </c>
      <c r="I1213" s="13">
        <v>38</v>
      </c>
      <c r="J1213" s="15" t="s">
        <v>1437</v>
      </c>
      <c r="K1213" s="15" t="s">
        <v>2711</v>
      </c>
      <c r="L1213" s="16">
        <v>8410.8250000000007</v>
      </c>
      <c r="M1213" s="16">
        <v>1761.87</v>
      </c>
      <c r="N1213" s="16"/>
      <c r="O1213" s="16"/>
      <c r="P1213" s="16"/>
      <c r="Q1213" s="16">
        <f>SUM(Tabela1[[#This Row],[201805]:[201807]])</f>
        <v>10172.695</v>
      </c>
      <c r="R1213" s="16">
        <f>SUM(Tabela1[[#This Row],[201905]:[201906]])</f>
        <v>0</v>
      </c>
      <c r="S1213" s="16">
        <v>100000</v>
      </c>
      <c r="T1213" s="16">
        <f>Tabela1[[#This Row],[Total 2019]]-Tabela1[[#This Row],[Total 2018]]</f>
        <v>-10172.695</v>
      </c>
      <c r="U1213" s="40">
        <f>Tabela1[[#This Row],[Total 2019]]/Tabela1[[#This Row],[Meta]]</f>
        <v>0</v>
      </c>
      <c r="V1213" s="17">
        <f>IFERROR(Tabela1[[#This Row],[Total 2019]]/Tabela1[[#This Row],[Total 2018]]-1,0)</f>
        <v>-1</v>
      </c>
      <c r="W121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13" s="48"/>
      <c r="Y1213" s="19"/>
      <c r="Z1213" s="68"/>
    </row>
    <row r="1214" spans="3:26" x14ac:dyDescent="0.35">
      <c r="C1214" s="11" t="s">
        <v>2703</v>
      </c>
      <c r="D1214" s="12" t="s">
        <v>2698</v>
      </c>
      <c r="E1214" s="12">
        <v>1192</v>
      </c>
      <c r="F1214" s="13" t="s">
        <v>2639</v>
      </c>
      <c r="G1214" s="14">
        <v>2</v>
      </c>
      <c r="H1214" s="14" t="s">
        <v>409</v>
      </c>
      <c r="I1214" s="13">
        <v>13</v>
      </c>
      <c r="J1214" s="15" t="s">
        <v>1412</v>
      </c>
      <c r="K1214" s="15" t="s">
        <v>2709</v>
      </c>
      <c r="L1214" s="16"/>
      <c r="M1214" s="16">
        <v>1139.2495000000001</v>
      </c>
      <c r="N1214" s="16">
        <v>954.51250000000005</v>
      </c>
      <c r="O1214" s="16"/>
      <c r="P1214" s="16"/>
      <c r="Q1214" s="16">
        <f>SUM(Tabela1[[#This Row],[201805]:[201807]])</f>
        <v>2093.7620000000002</v>
      </c>
      <c r="R1214" s="16">
        <f>SUM(Tabela1[[#This Row],[201905]:[201906]])</f>
        <v>0</v>
      </c>
      <c r="S1214" s="16">
        <v>100000</v>
      </c>
      <c r="T1214" s="16">
        <f>Tabela1[[#This Row],[Total 2019]]-Tabela1[[#This Row],[Total 2018]]</f>
        <v>-2093.7620000000002</v>
      </c>
      <c r="U1214" s="40">
        <f>Tabela1[[#This Row],[Total 2019]]/Tabela1[[#This Row],[Meta]]</f>
        <v>0</v>
      </c>
      <c r="V1214" s="17">
        <f>IFERROR(Tabela1[[#This Row],[Total 2019]]/Tabela1[[#This Row],[Total 2018]]-1,0)</f>
        <v>-1</v>
      </c>
      <c r="W121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14" s="48"/>
      <c r="Y1214" s="19"/>
      <c r="Z1214" s="68"/>
    </row>
    <row r="1215" spans="3:26" x14ac:dyDescent="0.35">
      <c r="C1215" s="11" t="s">
        <v>2703</v>
      </c>
      <c r="D1215" s="12" t="s">
        <v>2698</v>
      </c>
      <c r="E1215" s="12">
        <v>1193</v>
      </c>
      <c r="F1215" s="13" t="s">
        <v>2640</v>
      </c>
      <c r="G1215" s="14">
        <v>3</v>
      </c>
      <c r="H1215" s="14" t="s">
        <v>401</v>
      </c>
      <c r="I1215" s="13">
        <v>37</v>
      </c>
      <c r="J1215" s="15" t="s">
        <v>1436</v>
      </c>
      <c r="K1215" s="15" t="s">
        <v>2711</v>
      </c>
      <c r="L1215" s="16">
        <v>95.265999999999991</v>
      </c>
      <c r="M1215" s="16">
        <v>124.76350000000001</v>
      </c>
      <c r="N1215" s="16"/>
      <c r="O1215" s="16"/>
      <c r="P1215" s="16"/>
      <c r="Q1215" s="16">
        <f>SUM(Tabela1[[#This Row],[201805]:[201807]])</f>
        <v>220.02949999999998</v>
      </c>
      <c r="R1215" s="16">
        <f>SUM(Tabela1[[#This Row],[201905]:[201906]])</f>
        <v>0</v>
      </c>
      <c r="S1215" s="16">
        <v>100000</v>
      </c>
      <c r="T1215" s="16">
        <f>Tabela1[[#This Row],[Total 2019]]-Tabela1[[#This Row],[Total 2018]]</f>
        <v>-220.02949999999998</v>
      </c>
      <c r="U1215" s="40">
        <f>Tabela1[[#This Row],[Total 2019]]/Tabela1[[#This Row],[Meta]]</f>
        <v>0</v>
      </c>
      <c r="V1215" s="17">
        <f>IFERROR(Tabela1[[#This Row],[Total 2019]]/Tabela1[[#This Row],[Total 2018]]-1,0)</f>
        <v>-1</v>
      </c>
      <c r="W121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15" s="48"/>
      <c r="Y1215" s="19"/>
      <c r="Z1215" s="68"/>
    </row>
    <row r="1216" spans="3:26" x14ac:dyDescent="0.35">
      <c r="C1216" s="11" t="s">
        <v>2704</v>
      </c>
      <c r="D1216" s="12" t="s">
        <v>2699</v>
      </c>
      <c r="E1216" s="12">
        <v>1194</v>
      </c>
      <c r="F1216" s="13" t="s">
        <v>2641</v>
      </c>
      <c r="G1216" s="14">
        <v>1</v>
      </c>
      <c r="H1216" s="14" t="s">
        <v>416</v>
      </c>
      <c r="I1216" s="13">
        <v>38</v>
      </c>
      <c r="J1216" s="15" t="s">
        <v>1437</v>
      </c>
      <c r="K1216" s="15" t="s">
        <v>2711</v>
      </c>
      <c r="L1216" s="16"/>
      <c r="M1216" s="16">
        <v>5003.0990000000002</v>
      </c>
      <c r="N1216" s="16"/>
      <c r="O1216" s="16"/>
      <c r="P1216" s="16"/>
      <c r="Q1216" s="16">
        <f>SUM(Tabela1[[#This Row],[201805]:[201807]])</f>
        <v>5003.0990000000002</v>
      </c>
      <c r="R1216" s="16">
        <f>SUM(Tabela1[[#This Row],[201905]:[201906]])</f>
        <v>0</v>
      </c>
      <c r="S1216" s="16">
        <v>100000</v>
      </c>
      <c r="T1216" s="16">
        <f>Tabela1[[#This Row],[Total 2019]]-Tabela1[[#This Row],[Total 2018]]</f>
        <v>-5003.0990000000002</v>
      </c>
      <c r="U1216" s="40">
        <f>Tabela1[[#This Row],[Total 2019]]/Tabela1[[#This Row],[Meta]]</f>
        <v>0</v>
      </c>
      <c r="V1216" s="17">
        <f>IFERROR(Tabela1[[#This Row],[Total 2019]]/Tabela1[[#This Row],[Total 2018]]-1,0)</f>
        <v>-1</v>
      </c>
      <c r="W121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16" s="48"/>
      <c r="Y1216" s="19"/>
      <c r="Z1216" s="68"/>
    </row>
    <row r="1217" spans="3:26" x14ac:dyDescent="0.35">
      <c r="C1217" s="11" t="s">
        <v>2703</v>
      </c>
      <c r="D1217" s="12" t="s">
        <v>2699</v>
      </c>
      <c r="E1217" s="12">
        <v>1195</v>
      </c>
      <c r="F1217" s="13" t="s">
        <v>2642</v>
      </c>
      <c r="G1217" s="14">
        <v>2</v>
      </c>
      <c r="H1217" s="14" t="s">
        <v>416</v>
      </c>
      <c r="I1217" s="13">
        <v>38</v>
      </c>
      <c r="J1217" s="15" t="s">
        <v>1437</v>
      </c>
      <c r="K1217" s="15" t="s">
        <v>2711</v>
      </c>
      <c r="L1217" s="16">
        <v>1957.0284999999999</v>
      </c>
      <c r="M1217" s="16">
        <v>429.15300000000002</v>
      </c>
      <c r="N1217" s="16">
        <v>1111.424</v>
      </c>
      <c r="O1217" s="16"/>
      <c r="P1217" s="16"/>
      <c r="Q1217" s="16">
        <f>SUM(Tabela1[[#This Row],[201805]:[201807]])</f>
        <v>3497.6054999999997</v>
      </c>
      <c r="R1217" s="16">
        <f>SUM(Tabela1[[#This Row],[201905]:[201906]])</f>
        <v>0</v>
      </c>
      <c r="S1217" s="16">
        <v>100000</v>
      </c>
      <c r="T1217" s="16">
        <f>Tabela1[[#This Row],[Total 2019]]-Tabela1[[#This Row],[Total 2018]]</f>
        <v>-3497.6054999999997</v>
      </c>
      <c r="U1217" s="40">
        <f>Tabela1[[#This Row],[Total 2019]]/Tabela1[[#This Row],[Meta]]</f>
        <v>0</v>
      </c>
      <c r="V1217" s="17">
        <f>IFERROR(Tabela1[[#This Row],[Total 2019]]/Tabela1[[#This Row],[Total 2018]]-1,0)</f>
        <v>-1</v>
      </c>
      <c r="W121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17" s="48"/>
      <c r="Y1217" s="19"/>
      <c r="Z1217" s="68"/>
    </row>
    <row r="1218" spans="3:26" x14ac:dyDescent="0.35">
      <c r="C1218" s="11" t="s">
        <v>2703</v>
      </c>
      <c r="D1218" s="12" t="s">
        <v>2698</v>
      </c>
      <c r="E1218" s="12">
        <v>1196</v>
      </c>
      <c r="F1218" s="13" t="s">
        <v>2643</v>
      </c>
      <c r="G1218" s="14">
        <v>1</v>
      </c>
      <c r="H1218" s="14" t="s">
        <v>401</v>
      </c>
      <c r="I1218" s="13">
        <v>37</v>
      </c>
      <c r="J1218" s="15" t="s">
        <v>1436</v>
      </c>
      <c r="K1218" s="15" t="s">
        <v>2711</v>
      </c>
      <c r="L1218" s="16">
        <v>2923.1784999999995</v>
      </c>
      <c r="M1218" s="16">
        <v>1370.0235</v>
      </c>
      <c r="N1218" s="16"/>
      <c r="O1218" s="16"/>
      <c r="P1218" s="16"/>
      <c r="Q1218" s="16">
        <f>SUM(Tabela1[[#This Row],[201805]:[201807]])</f>
        <v>4293.2019999999993</v>
      </c>
      <c r="R1218" s="16">
        <f>SUM(Tabela1[[#This Row],[201905]:[201906]])</f>
        <v>0</v>
      </c>
      <c r="S1218" s="16">
        <v>100000</v>
      </c>
      <c r="T1218" s="16">
        <f>Tabela1[[#This Row],[Total 2019]]-Tabela1[[#This Row],[Total 2018]]</f>
        <v>-4293.2019999999993</v>
      </c>
      <c r="U1218" s="40">
        <f>Tabela1[[#This Row],[Total 2019]]/Tabela1[[#This Row],[Meta]]</f>
        <v>0</v>
      </c>
      <c r="V1218" s="17">
        <f>IFERROR(Tabela1[[#This Row],[Total 2019]]/Tabela1[[#This Row],[Total 2018]]-1,0)</f>
        <v>-1</v>
      </c>
      <c r="W121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18" s="48"/>
      <c r="Y1218" s="19"/>
      <c r="Z1218" s="68"/>
    </row>
    <row r="1219" spans="3:26" x14ac:dyDescent="0.35">
      <c r="C1219" s="11" t="s">
        <v>2703</v>
      </c>
      <c r="D1219" s="12" t="s">
        <v>2699</v>
      </c>
      <c r="E1219" s="12">
        <v>1197</v>
      </c>
      <c r="F1219" s="13" t="s">
        <v>2644</v>
      </c>
      <c r="G1219" s="14">
        <v>2</v>
      </c>
      <c r="H1219" s="14" t="s">
        <v>407</v>
      </c>
      <c r="I1219" s="13">
        <v>41</v>
      </c>
      <c r="J1219" s="15" t="s">
        <v>1440</v>
      </c>
      <c r="K1219" s="15" t="s">
        <v>2712</v>
      </c>
      <c r="L1219" s="16">
        <v>1332.0519999999999</v>
      </c>
      <c r="M1219" s="16">
        <v>3271.2775000000001</v>
      </c>
      <c r="N1219" s="16">
        <v>1307.2950000000001</v>
      </c>
      <c r="O1219" s="16"/>
      <c r="P1219" s="16"/>
      <c r="Q1219" s="16">
        <f>SUM(Tabela1[[#This Row],[201805]:[201807]])</f>
        <v>5910.6244999999999</v>
      </c>
      <c r="R1219" s="16">
        <f>SUM(Tabela1[[#This Row],[201905]:[201906]])</f>
        <v>0</v>
      </c>
      <c r="S1219" s="16">
        <v>100000</v>
      </c>
      <c r="T1219" s="16">
        <f>Tabela1[[#This Row],[Total 2019]]-Tabela1[[#This Row],[Total 2018]]</f>
        <v>-5910.6244999999999</v>
      </c>
      <c r="U1219" s="40">
        <f>Tabela1[[#This Row],[Total 2019]]/Tabela1[[#This Row],[Meta]]</f>
        <v>0</v>
      </c>
      <c r="V1219" s="17">
        <f>IFERROR(Tabela1[[#This Row],[Total 2019]]/Tabela1[[#This Row],[Total 2018]]-1,0)</f>
        <v>-1</v>
      </c>
      <c r="W121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19" s="48"/>
      <c r="Y1219" s="19"/>
      <c r="Z1219" s="68"/>
    </row>
    <row r="1220" spans="3:26" x14ac:dyDescent="0.35">
      <c r="C1220" s="11" t="s">
        <v>2704</v>
      </c>
      <c r="D1220" s="12" t="s">
        <v>2700</v>
      </c>
      <c r="E1220" s="12">
        <v>1198</v>
      </c>
      <c r="F1220" s="13" t="s">
        <v>2645</v>
      </c>
      <c r="G1220" s="14">
        <v>2</v>
      </c>
      <c r="H1220" s="14" t="s">
        <v>407</v>
      </c>
      <c r="I1220" s="13">
        <v>42</v>
      </c>
      <c r="J1220" s="15" t="s">
        <v>1441</v>
      </c>
      <c r="K1220" s="15" t="s">
        <v>2712</v>
      </c>
      <c r="L1220" s="16"/>
      <c r="M1220" s="16">
        <v>1798.635</v>
      </c>
      <c r="N1220" s="16"/>
      <c r="O1220" s="16">
        <v>1893.5874999999999</v>
      </c>
      <c r="P1220" s="16"/>
      <c r="Q1220" s="16">
        <f>SUM(Tabela1[[#This Row],[201805]:[201807]])</f>
        <v>1798.635</v>
      </c>
      <c r="R1220" s="16">
        <f>SUM(Tabela1[[#This Row],[201905]:[201906]])</f>
        <v>1893.5874999999999</v>
      </c>
      <c r="S1220" s="16">
        <v>100000</v>
      </c>
      <c r="T1220" s="16">
        <f>Tabela1[[#This Row],[Total 2019]]-Tabela1[[#This Row],[Total 2018]]</f>
        <v>94.952499999999873</v>
      </c>
      <c r="U1220" s="40">
        <f>Tabela1[[#This Row],[Total 2019]]/Tabela1[[#This Row],[Meta]]</f>
        <v>1.8935874999999998E-2</v>
      </c>
      <c r="V1220" s="17">
        <f>IFERROR(Tabela1[[#This Row],[Total 2019]]/Tabela1[[#This Row],[Total 2018]]-1,0)</f>
        <v>5.2791422384196762E-2</v>
      </c>
      <c r="W122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Positivo</v>
      </c>
      <c r="X1220" s="48"/>
      <c r="Y1220" s="19"/>
      <c r="Z1220" s="68"/>
    </row>
    <row r="1221" spans="3:26" x14ac:dyDescent="0.35">
      <c r="C1221" s="11" t="s">
        <v>2703</v>
      </c>
      <c r="D1221" s="12" t="s">
        <v>2700</v>
      </c>
      <c r="E1221" s="12">
        <v>1199</v>
      </c>
      <c r="F1221" s="13" t="s">
        <v>2646</v>
      </c>
      <c r="G1221" s="14">
        <v>1</v>
      </c>
      <c r="H1221" s="14" t="s">
        <v>401</v>
      </c>
      <c r="I1221" s="13">
        <v>37</v>
      </c>
      <c r="J1221" s="15" t="s">
        <v>1436</v>
      </c>
      <c r="K1221" s="15" t="s">
        <v>2711</v>
      </c>
      <c r="L1221" s="16">
        <v>3499.6954999999998</v>
      </c>
      <c r="M1221" s="16">
        <v>3056.7389999999996</v>
      </c>
      <c r="N1221" s="16"/>
      <c r="O1221" s="16"/>
      <c r="P1221" s="16"/>
      <c r="Q1221" s="16">
        <f>SUM(Tabela1[[#This Row],[201805]:[201807]])</f>
        <v>6556.4344999999994</v>
      </c>
      <c r="R1221" s="16">
        <f>SUM(Tabela1[[#This Row],[201905]:[201906]])</f>
        <v>0</v>
      </c>
      <c r="S1221" s="16">
        <v>100000</v>
      </c>
      <c r="T1221" s="16">
        <f>Tabela1[[#This Row],[Total 2019]]-Tabela1[[#This Row],[Total 2018]]</f>
        <v>-6556.4344999999994</v>
      </c>
      <c r="U1221" s="40">
        <f>Tabela1[[#This Row],[Total 2019]]/Tabela1[[#This Row],[Meta]]</f>
        <v>0</v>
      </c>
      <c r="V1221" s="17">
        <f>IFERROR(Tabela1[[#This Row],[Total 2019]]/Tabela1[[#This Row],[Total 2018]]-1,0)</f>
        <v>-1</v>
      </c>
      <c r="W122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21" s="48"/>
      <c r="Y1221" s="19"/>
      <c r="Z1221" s="68"/>
    </row>
    <row r="1222" spans="3:26" x14ac:dyDescent="0.35">
      <c r="C1222" s="11" t="s">
        <v>2703</v>
      </c>
      <c r="D1222" s="12" t="s">
        <v>2700</v>
      </c>
      <c r="E1222" s="12">
        <v>1200</v>
      </c>
      <c r="F1222" s="13" t="s">
        <v>2647</v>
      </c>
      <c r="G1222" s="14">
        <v>3</v>
      </c>
      <c r="H1222" s="14" t="s">
        <v>401</v>
      </c>
      <c r="I1222" s="13">
        <v>37</v>
      </c>
      <c r="J1222" s="15" t="s">
        <v>1436</v>
      </c>
      <c r="K1222" s="15" t="s">
        <v>2711</v>
      </c>
      <c r="L1222" s="16">
        <v>461.74749999999995</v>
      </c>
      <c r="M1222" s="16">
        <v>2113.2559999999999</v>
      </c>
      <c r="N1222" s="16"/>
      <c r="O1222" s="16"/>
      <c r="P1222" s="16"/>
      <c r="Q1222" s="16">
        <f>SUM(Tabela1[[#This Row],[201805]:[201807]])</f>
        <v>2575.0034999999998</v>
      </c>
      <c r="R1222" s="16">
        <f>SUM(Tabela1[[#This Row],[201905]:[201906]])</f>
        <v>0</v>
      </c>
      <c r="S1222" s="16">
        <v>100000</v>
      </c>
      <c r="T1222" s="16">
        <f>Tabela1[[#This Row],[Total 2019]]-Tabela1[[#This Row],[Total 2018]]</f>
        <v>-2575.0034999999998</v>
      </c>
      <c r="U1222" s="40">
        <f>Tabela1[[#This Row],[Total 2019]]/Tabela1[[#This Row],[Meta]]</f>
        <v>0</v>
      </c>
      <c r="V1222" s="17">
        <f>IFERROR(Tabela1[[#This Row],[Total 2019]]/Tabela1[[#This Row],[Total 2018]]-1,0)</f>
        <v>-1</v>
      </c>
      <c r="W122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22" s="48"/>
      <c r="Y1222" s="19"/>
      <c r="Z1222" s="68"/>
    </row>
    <row r="1223" spans="3:26" x14ac:dyDescent="0.35">
      <c r="C1223" s="11" t="s">
        <v>2703</v>
      </c>
      <c r="D1223" s="12" t="s">
        <v>2700</v>
      </c>
      <c r="E1223" s="12">
        <v>1201</v>
      </c>
      <c r="F1223" s="13" t="s">
        <v>2648</v>
      </c>
      <c r="G1223" s="14">
        <v>1</v>
      </c>
      <c r="H1223" s="14" t="s">
        <v>413</v>
      </c>
      <c r="I1223" s="13">
        <v>45</v>
      </c>
      <c r="J1223" s="15" t="s">
        <v>1444</v>
      </c>
      <c r="K1223" s="15" t="s">
        <v>2711</v>
      </c>
      <c r="L1223" s="16">
        <v>2976.8249999999998</v>
      </c>
      <c r="M1223" s="16">
        <v>2128.0095000000001</v>
      </c>
      <c r="N1223" s="16"/>
      <c r="O1223" s="16"/>
      <c r="P1223" s="16"/>
      <c r="Q1223" s="16">
        <f>SUM(Tabela1[[#This Row],[201805]:[201807]])</f>
        <v>5104.8344999999999</v>
      </c>
      <c r="R1223" s="16">
        <f>SUM(Tabela1[[#This Row],[201905]:[201906]])</f>
        <v>0</v>
      </c>
      <c r="S1223" s="16">
        <v>100000</v>
      </c>
      <c r="T1223" s="16">
        <f>Tabela1[[#This Row],[Total 2019]]-Tabela1[[#This Row],[Total 2018]]</f>
        <v>-5104.8344999999999</v>
      </c>
      <c r="U1223" s="40">
        <f>Tabela1[[#This Row],[Total 2019]]/Tabela1[[#This Row],[Meta]]</f>
        <v>0</v>
      </c>
      <c r="V1223" s="17">
        <f>IFERROR(Tabela1[[#This Row],[Total 2019]]/Tabela1[[#This Row],[Total 2018]]-1,0)</f>
        <v>-1</v>
      </c>
      <c r="W122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23" s="48"/>
      <c r="Y1223" s="19"/>
      <c r="Z1223" s="68"/>
    </row>
    <row r="1224" spans="3:26" x14ac:dyDescent="0.35">
      <c r="C1224" s="11" t="s">
        <v>2704</v>
      </c>
      <c r="D1224" s="12" t="s">
        <v>2699</v>
      </c>
      <c r="E1224" s="12">
        <v>1202</v>
      </c>
      <c r="F1224" s="13" t="s">
        <v>2649</v>
      </c>
      <c r="G1224" s="14">
        <v>3</v>
      </c>
      <c r="H1224" s="14" t="s">
        <v>410</v>
      </c>
      <c r="I1224" s="13">
        <v>44</v>
      </c>
      <c r="J1224" s="15" t="s">
        <v>1443</v>
      </c>
      <c r="K1224" s="15" t="s">
        <v>2711</v>
      </c>
      <c r="L1224" s="16"/>
      <c r="M1224" s="16"/>
      <c r="N1224" s="16"/>
      <c r="O1224" s="16">
        <v>1253.8954999999999</v>
      </c>
      <c r="P1224" s="16">
        <v>1632.3849999999998</v>
      </c>
      <c r="Q1224" s="16">
        <f>SUM(Tabela1[[#This Row],[201805]:[201807]])</f>
        <v>0</v>
      </c>
      <c r="R1224" s="16">
        <f>SUM(Tabela1[[#This Row],[201905]:[201906]])</f>
        <v>2886.2804999999998</v>
      </c>
      <c r="S1224" s="16">
        <v>100000</v>
      </c>
      <c r="T1224" s="16">
        <f>Tabela1[[#This Row],[Total 2019]]-Tabela1[[#This Row],[Total 2018]]</f>
        <v>2886.2804999999998</v>
      </c>
      <c r="U1224" s="40">
        <f>Tabela1[[#This Row],[Total 2019]]/Tabela1[[#This Row],[Meta]]</f>
        <v>2.8862804999999998E-2</v>
      </c>
      <c r="V1224" s="17">
        <f>IFERROR(Tabela1[[#This Row],[Total 2019]]/Tabela1[[#This Row],[Total 2018]]-1,0)</f>
        <v>0</v>
      </c>
      <c r="W122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224" s="48"/>
      <c r="Y1224" s="19"/>
      <c r="Z1224" s="68"/>
    </row>
    <row r="1225" spans="3:26" x14ac:dyDescent="0.35">
      <c r="C1225" s="11" t="s">
        <v>2703</v>
      </c>
      <c r="D1225" s="12" t="s">
        <v>2699</v>
      </c>
      <c r="E1225" s="12">
        <v>1203</v>
      </c>
      <c r="F1225" s="13" t="s">
        <v>2650</v>
      </c>
      <c r="G1225" s="14">
        <v>3</v>
      </c>
      <c r="H1225" s="14" t="s">
        <v>407</v>
      </c>
      <c r="I1225" s="13">
        <v>43</v>
      </c>
      <c r="J1225" s="15" t="s">
        <v>1442</v>
      </c>
      <c r="K1225" s="15" t="s">
        <v>2712</v>
      </c>
      <c r="L1225" s="16">
        <v>1500.8289999999997</v>
      </c>
      <c r="M1225" s="16">
        <v>2760.1584999999995</v>
      </c>
      <c r="N1225" s="16">
        <v>3180.7804999999998</v>
      </c>
      <c r="O1225" s="16"/>
      <c r="P1225" s="16"/>
      <c r="Q1225" s="16">
        <f>SUM(Tabela1[[#This Row],[201805]:[201807]])</f>
        <v>7441.7679999999991</v>
      </c>
      <c r="R1225" s="16">
        <f>SUM(Tabela1[[#This Row],[201905]:[201906]])</f>
        <v>0</v>
      </c>
      <c r="S1225" s="16">
        <v>100000</v>
      </c>
      <c r="T1225" s="16">
        <f>Tabela1[[#This Row],[Total 2019]]-Tabela1[[#This Row],[Total 2018]]</f>
        <v>-7441.7679999999991</v>
      </c>
      <c r="U1225" s="40">
        <f>Tabela1[[#This Row],[Total 2019]]/Tabela1[[#This Row],[Meta]]</f>
        <v>0</v>
      </c>
      <c r="V1225" s="17">
        <f>IFERROR(Tabela1[[#This Row],[Total 2019]]/Tabela1[[#This Row],[Total 2018]]-1,0)</f>
        <v>-1</v>
      </c>
      <c r="W122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25" s="48"/>
      <c r="Y1225" s="19"/>
      <c r="Z1225" s="68"/>
    </row>
    <row r="1226" spans="3:26" x14ac:dyDescent="0.35">
      <c r="C1226" s="11" t="s">
        <v>2702</v>
      </c>
      <c r="D1226" s="12" t="s">
        <v>2698</v>
      </c>
      <c r="E1226" s="12">
        <v>1204</v>
      </c>
      <c r="F1226" s="13" t="s">
        <v>2651</v>
      </c>
      <c r="G1226" s="14">
        <v>2</v>
      </c>
      <c r="H1226" s="14" t="s">
        <v>410</v>
      </c>
      <c r="I1226" s="13">
        <v>44</v>
      </c>
      <c r="J1226" s="15" t="s">
        <v>1443</v>
      </c>
      <c r="K1226" s="15" t="s">
        <v>2711</v>
      </c>
      <c r="L1226" s="16"/>
      <c r="M1226" s="16">
        <v>3184.4759999999997</v>
      </c>
      <c r="N1226" s="16"/>
      <c r="O1226" s="16"/>
      <c r="P1226" s="16"/>
      <c r="Q1226" s="16">
        <f>SUM(Tabela1[[#This Row],[201805]:[201807]])</f>
        <v>3184.4759999999997</v>
      </c>
      <c r="R1226" s="16">
        <f>SUM(Tabela1[[#This Row],[201905]:[201906]])</f>
        <v>0</v>
      </c>
      <c r="S1226" s="16">
        <v>100000</v>
      </c>
      <c r="T1226" s="16">
        <f>Tabela1[[#This Row],[Total 2019]]-Tabela1[[#This Row],[Total 2018]]</f>
        <v>-3184.4759999999997</v>
      </c>
      <c r="U1226" s="40">
        <f>Tabela1[[#This Row],[Total 2019]]/Tabela1[[#This Row],[Meta]]</f>
        <v>0</v>
      </c>
      <c r="V1226" s="17">
        <f>IFERROR(Tabela1[[#This Row],[Total 2019]]/Tabela1[[#This Row],[Total 2018]]-1,0)</f>
        <v>-1</v>
      </c>
      <c r="W122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26" s="48"/>
      <c r="Y1226" s="19"/>
      <c r="Z1226" s="68"/>
    </row>
    <row r="1227" spans="3:26" x14ac:dyDescent="0.35">
      <c r="C1227" s="11" t="s">
        <v>2703</v>
      </c>
      <c r="D1227" s="12" t="s">
        <v>2700</v>
      </c>
      <c r="E1227" s="12">
        <v>1205</v>
      </c>
      <c r="F1227" s="13" t="s">
        <v>2652</v>
      </c>
      <c r="G1227" s="14">
        <v>1</v>
      </c>
      <c r="H1227" s="14" t="s">
        <v>413</v>
      </c>
      <c r="I1227" s="13">
        <v>45</v>
      </c>
      <c r="J1227" s="15" t="s">
        <v>1444</v>
      </c>
      <c r="K1227" s="15" t="s">
        <v>2711</v>
      </c>
      <c r="L1227" s="16">
        <v>2832.2824999999998</v>
      </c>
      <c r="M1227" s="16">
        <v>4755.1109999999999</v>
      </c>
      <c r="N1227" s="16"/>
      <c r="O1227" s="16"/>
      <c r="P1227" s="16"/>
      <c r="Q1227" s="16">
        <f>SUM(Tabela1[[#This Row],[201805]:[201807]])</f>
        <v>7587.3935000000001</v>
      </c>
      <c r="R1227" s="16">
        <f>SUM(Tabela1[[#This Row],[201905]:[201906]])</f>
        <v>0</v>
      </c>
      <c r="S1227" s="16">
        <v>100000</v>
      </c>
      <c r="T1227" s="16">
        <f>Tabela1[[#This Row],[Total 2019]]-Tabela1[[#This Row],[Total 2018]]</f>
        <v>-7587.3935000000001</v>
      </c>
      <c r="U1227" s="40">
        <f>Tabela1[[#This Row],[Total 2019]]/Tabela1[[#This Row],[Meta]]</f>
        <v>0</v>
      </c>
      <c r="V1227" s="17">
        <f>IFERROR(Tabela1[[#This Row],[Total 2019]]/Tabela1[[#This Row],[Total 2018]]-1,0)</f>
        <v>-1</v>
      </c>
      <c r="W122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27" s="48"/>
      <c r="Y1227" s="19"/>
      <c r="Z1227" s="68"/>
    </row>
    <row r="1228" spans="3:26" x14ac:dyDescent="0.35">
      <c r="C1228" s="11" t="s">
        <v>2704</v>
      </c>
      <c r="D1228" s="12" t="s">
        <v>2698</v>
      </c>
      <c r="E1228" s="12">
        <v>1206</v>
      </c>
      <c r="F1228" s="13" t="s">
        <v>2653</v>
      </c>
      <c r="G1228" s="14">
        <v>3</v>
      </c>
      <c r="H1228" s="14" t="s">
        <v>410</v>
      </c>
      <c r="I1228" s="13">
        <v>44</v>
      </c>
      <c r="J1228" s="15" t="s">
        <v>1443</v>
      </c>
      <c r="K1228" s="15" t="s">
        <v>2711</v>
      </c>
      <c r="L1228" s="16"/>
      <c r="M1228" s="16">
        <v>3266.4895000000001</v>
      </c>
      <c r="N1228" s="16"/>
      <c r="O1228" s="16"/>
      <c r="P1228" s="16"/>
      <c r="Q1228" s="16">
        <f>SUM(Tabela1[[#This Row],[201805]:[201807]])</f>
        <v>3266.4895000000001</v>
      </c>
      <c r="R1228" s="16">
        <f>SUM(Tabela1[[#This Row],[201905]:[201906]])</f>
        <v>0</v>
      </c>
      <c r="S1228" s="16">
        <v>100000</v>
      </c>
      <c r="T1228" s="16">
        <f>Tabela1[[#This Row],[Total 2019]]-Tabela1[[#This Row],[Total 2018]]</f>
        <v>-3266.4895000000001</v>
      </c>
      <c r="U1228" s="40">
        <f>Tabela1[[#This Row],[Total 2019]]/Tabela1[[#This Row],[Meta]]</f>
        <v>0</v>
      </c>
      <c r="V1228" s="17">
        <f>IFERROR(Tabela1[[#This Row],[Total 2019]]/Tabela1[[#This Row],[Total 2018]]-1,0)</f>
        <v>-1</v>
      </c>
      <c r="W122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28" s="48"/>
      <c r="Y1228" s="19"/>
      <c r="Z1228" s="68"/>
    </row>
    <row r="1229" spans="3:26" x14ac:dyDescent="0.35">
      <c r="C1229" s="11" t="s">
        <v>2703</v>
      </c>
      <c r="D1229" s="12" t="s">
        <v>2699</v>
      </c>
      <c r="E1229" s="12">
        <v>1207</v>
      </c>
      <c r="F1229" s="13" t="s">
        <v>2654</v>
      </c>
      <c r="G1229" s="14">
        <v>2</v>
      </c>
      <c r="H1229" s="14" t="s">
        <v>408</v>
      </c>
      <c r="I1229" s="13">
        <v>38</v>
      </c>
      <c r="J1229" s="15" t="s">
        <v>1437</v>
      </c>
      <c r="K1229" s="15" t="s">
        <v>2711</v>
      </c>
      <c r="L1229" s="16">
        <v>1274.596</v>
      </c>
      <c r="M1229" s="16">
        <v>1825.8619999999999</v>
      </c>
      <c r="N1229" s="16"/>
      <c r="O1229" s="16"/>
      <c r="P1229" s="16"/>
      <c r="Q1229" s="16">
        <f>SUM(Tabela1[[#This Row],[201805]:[201807]])</f>
        <v>3100.4579999999996</v>
      </c>
      <c r="R1229" s="16">
        <f>SUM(Tabela1[[#This Row],[201905]:[201906]])</f>
        <v>0</v>
      </c>
      <c r="S1229" s="16">
        <v>100000</v>
      </c>
      <c r="T1229" s="16">
        <f>Tabela1[[#This Row],[Total 2019]]-Tabela1[[#This Row],[Total 2018]]</f>
        <v>-3100.4579999999996</v>
      </c>
      <c r="U1229" s="40">
        <f>Tabela1[[#This Row],[Total 2019]]/Tabela1[[#This Row],[Meta]]</f>
        <v>0</v>
      </c>
      <c r="V1229" s="17">
        <f>IFERROR(Tabela1[[#This Row],[Total 2019]]/Tabela1[[#This Row],[Total 2018]]-1,0)</f>
        <v>-1</v>
      </c>
      <c r="W122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29" s="48"/>
      <c r="Y1229" s="19"/>
      <c r="Z1229" s="68"/>
    </row>
    <row r="1230" spans="3:26" x14ac:dyDescent="0.35">
      <c r="C1230" s="11" t="s">
        <v>2702</v>
      </c>
      <c r="D1230" s="12" t="s">
        <v>2700</v>
      </c>
      <c r="E1230" s="12">
        <v>1208</v>
      </c>
      <c r="F1230" s="13" t="s">
        <v>2655</v>
      </c>
      <c r="G1230" s="14">
        <v>2</v>
      </c>
      <c r="H1230" s="14" t="s">
        <v>410</v>
      </c>
      <c r="I1230" s="13">
        <v>44</v>
      </c>
      <c r="J1230" s="15" t="s">
        <v>1443</v>
      </c>
      <c r="K1230" s="15" t="s">
        <v>2711</v>
      </c>
      <c r="L1230" s="16"/>
      <c r="M1230" s="16">
        <v>6089.1864999999998</v>
      </c>
      <c r="N1230" s="16"/>
      <c r="O1230" s="16"/>
      <c r="P1230" s="16"/>
      <c r="Q1230" s="16">
        <f>SUM(Tabela1[[#This Row],[201805]:[201807]])</f>
        <v>6089.1864999999998</v>
      </c>
      <c r="R1230" s="16">
        <f>SUM(Tabela1[[#This Row],[201905]:[201906]])</f>
        <v>0</v>
      </c>
      <c r="S1230" s="16">
        <v>100000</v>
      </c>
      <c r="T1230" s="16">
        <f>Tabela1[[#This Row],[Total 2019]]-Tabela1[[#This Row],[Total 2018]]</f>
        <v>-6089.1864999999998</v>
      </c>
      <c r="U1230" s="40">
        <f>Tabela1[[#This Row],[Total 2019]]/Tabela1[[#This Row],[Meta]]</f>
        <v>0</v>
      </c>
      <c r="V1230" s="17">
        <f>IFERROR(Tabela1[[#This Row],[Total 2019]]/Tabela1[[#This Row],[Total 2018]]-1,0)</f>
        <v>-1</v>
      </c>
      <c r="W123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30" s="48"/>
      <c r="Y1230" s="19"/>
      <c r="Z1230" s="68"/>
    </row>
    <row r="1231" spans="3:26" x14ac:dyDescent="0.35">
      <c r="C1231" s="11" t="s">
        <v>2703</v>
      </c>
      <c r="D1231" s="12" t="s">
        <v>2698</v>
      </c>
      <c r="E1231" s="12">
        <v>1209</v>
      </c>
      <c r="F1231" s="13" t="s">
        <v>2656</v>
      </c>
      <c r="G1231" s="14">
        <v>3</v>
      </c>
      <c r="H1231" s="14" t="s">
        <v>401</v>
      </c>
      <c r="I1231" s="13">
        <v>37</v>
      </c>
      <c r="J1231" s="15" t="s">
        <v>1436</v>
      </c>
      <c r="K1231" s="15" t="s">
        <v>2711</v>
      </c>
      <c r="L1231" s="16">
        <v>1989.11</v>
      </c>
      <c r="M1231" s="16"/>
      <c r="N1231" s="16"/>
      <c r="O1231" s="16"/>
      <c r="P1231" s="16"/>
      <c r="Q1231" s="16">
        <f>SUM(Tabela1[[#This Row],[201805]:[201807]])</f>
        <v>1989.11</v>
      </c>
      <c r="R1231" s="16">
        <f>SUM(Tabela1[[#This Row],[201905]:[201906]])</f>
        <v>0</v>
      </c>
      <c r="S1231" s="16">
        <v>100000</v>
      </c>
      <c r="T1231" s="16">
        <f>Tabela1[[#This Row],[Total 2019]]-Tabela1[[#This Row],[Total 2018]]</f>
        <v>-1989.11</v>
      </c>
      <c r="U1231" s="40">
        <f>Tabela1[[#This Row],[Total 2019]]/Tabela1[[#This Row],[Meta]]</f>
        <v>0</v>
      </c>
      <c r="V1231" s="17">
        <f>IFERROR(Tabela1[[#This Row],[Total 2019]]/Tabela1[[#This Row],[Total 2018]]-1,0)</f>
        <v>-1</v>
      </c>
      <c r="W123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31" s="48"/>
      <c r="Y1231" s="19"/>
      <c r="Z1231" s="68"/>
    </row>
    <row r="1232" spans="3:26" x14ac:dyDescent="0.35">
      <c r="C1232" s="11" t="s">
        <v>2704</v>
      </c>
      <c r="D1232" s="12" t="s">
        <v>2699</v>
      </c>
      <c r="E1232" s="12">
        <v>1210</v>
      </c>
      <c r="F1232" s="13" t="s">
        <v>2657</v>
      </c>
      <c r="G1232" s="14">
        <v>3</v>
      </c>
      <c r="H1232" s="14" t="s">
        <v>407</v>
      </c>
      <c r="I1232" s="13">
        <v>42</v>
      </c>
      <c r="J1232" s="15" t="s">
        <v>1441</v>
      </c>
      <c r="K1232" s="15" t="s">
        <v>2712</v>
      </c>
      <c r="L1232" s="16"/>
      <c r="M1232" s="16">
        <v>2944.0025000000001</v>
      </c>
      <c r="N1232" s="16"/>
      <c r="O1232" s="16"/>
      <c r="P1232" s="16"/>
      <c r="Q1232" s="16">
        <f>SUM(Tabela1[[#This Row],[201805]:[201807]])</f>
        <v>2944.0025000000001</v>
      </c>
      <c r="R1232" s="16">
        <f>SUM(Tabela1[[#This Row],[201905]:[201906]])</f>
        <v>0</v>
      </c>
      <c r="S1232" s="16">
        <v>100000</v>
      </c>
      <c r="T1232" s="16">
        <f>Tabela1[[#This Row],[Total 2019]]-Tabela1[[#This Row],[Total 2018]]</f>
        <v>-2944.0025000000001</v>
      </c>
      <c r="U1232" s="40">
        <f>Tabela1[[#This Row],[Total 2019]]/Tabela1[[#This Row],[Meta]]</f>
        <v>0</v>
      </c>
      <c r="V1232" s="17">
        <f>IFERROR(Tabela1[[#This Row],[Total 2019]]/Tabela1[[#This Row],[Total 2018]]-1,0)</f>
        <v>-1</v>
      </c>
      <c r="W123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32" s="48"/>
      <c r="Y1232" s="19"/>
      <c r="Z1232" s="68"/>
    </row>
    <row r="1233" spans="3:26" x14ac:dyDescent="0.35">
      <c r="C1233" s="11" t="s">
        <v>2702</v>
      </c>
      <c r="D1233" s="12" t="s">
        <v>2698</v>
      </c>
      <c r="E1233" s="12">
        <v>1211</v>
      </c>
      <c r="F1233" s="13" t="s">
        <v>2658</v>
      </c>
      <c r="G1233" s="14">
        <v>1</v>
      </c>
      <c r="H1233" s="14" t="s">
        <v>400</v>
      </c>
      <c r="I1233" s="13">
        <v>37</v>
      </c>
      <c r="J1233" s="15" t="s">
        <v>1436</v>
      </c>
      <c r="K1233" s="15" t="s">
        <v>2711</v>
      </c>
      <c r="L1233" s="16"/>
      <c r="M1233" s="16">
        <v>5213.0205000000005</v>
      </c>
      <c r="N1233" s="16"/>
      <c r="O1233" s="16"/>
      <c r="P1233" s="16"/>
      <c r="Q1233" s="16">
        <f>SUM(Tabela1[[#This Row],[201805]:[201807]])</f>
        <v>5213.0205000000005</v>
      </c>
      <c r="R1233" s="16">
        <f>SUM(Tabela1[[#This Row],[201905]:[201906]])</f>
        <v>0</v>
      </c>
      <c r="S1233" s="16">
        <v>100000</v>
      </c>
      <c r="T1233" s="16">
        <f>Tabela1[[#This Row],[Total 2019]]-Tabela1[[#This Row],[Total 2018]]</f>
        <v>-5213.0205000000005</v>
      </c>
      <c r="U1233" s="40">
        <f>Tabela1[[#This Row],[Total 2019]]/Tabela1[[#This Row],[Meta]]</f>
        <v>0</v>
      </c>
      <c r="V1233" s="17">
        <f>IFERROR(Tabela1[[#This Row],[Total 2019]]/Tabela1[[#This Row],[Total 2018]]-1,0)</f>
        <v>-1</v>
      </c>
      <c r="W123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33" s="48"/>
      <c r="Y1233" s="19"/>
      <c r="Z1233" s="68"/>
    </row>
    <row r="1234" spans="3:26" x14ac:dyDescent="0.35">
      <c r="C1234" s="11" t="s">
        <v>2703</v>
      </c>
      <c r="D1234" s="12" t="s">
        <v>2698</v>
      </c>
      <c r="E1234" s="12">
        <v>1212</v>
      </c>
      <c r="F1234" s="13" t="s">
        <v>2659</v>
      </c>
      <c r="G1234" s="14">
        <v>2</v>
      </c>
      <c r="H1234" s="14" t="s">
        <v>416</v>
      </c>
      <c r="I1234" s="13">
        <v>38</v>
      </c>
      <c r="J1234" s="15" t="s">
        <v>1437</v>
      </c>
      <c r="K1234" s="15" t="s">
        <v>2711</v>
      </c>
      <c r="L1234" s="16">
        <v>1496.2975000000001</v>
      </c>
      <c r="M1234" s="16">
        <v>500.30799999999994</v>
      </c>
      <c r="N1234" s="16"/>
      <c r="O1234" s="16"/>
      <c r="P1234" s="16"/>
      <c r="Q1234" s="16">
        <f>SUM(Tabela1[[#This Row],[201805]:[201807]])</f>
        <v>1996.6055000000001</v>
      </c>
      <c r="R1234" s="16">
        <f>SUM(Tabela1[[#This Row],[201905]:[201906]])</f>
        <v>0</v>
      </c>
      <c r="S1234" s="16">
        <v>100000</v>
      </c>
      <c r="T1234" s="16">
        <f>Tabela1[[#This Row],[Total 2019]]-Tabela1[[#This Row],[Total 2018]]</f>
        <v>-1996.6055000000001</v>
      </c>
      <c r="U1234" s="40">
        <f>Tabela1[[#This Row],[Total 2019]]/Tabela1[[#This Row],[Meta]]</f>
        <v>0</v>
      </c>
      <c r="V1234" s="17">
        <f>IFERROR(Tabela1[[#This Row],[Total 2019]]/Tabela1[[#This Row],[Total 2018]]-1,0)</f>
        <v>-1</v>
      </c>
      <c r="W123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34" s="48"/>
      <c r="Y1234" s="19"/>
      <c r="Z1234" s="68"/>
    </row>
    <row r="1235" spans="3:26" x14ac:dyDescent="0.35">
      <c r="C1235" s="11" t="s">
        <v>2702</v>
      </c>
      <c r="D1235" s="12" t="s">
        <v>2700</v>
      </c>
      <c r="E1235" s="12">
        <v>1213</v>
      </c>
      <c r="F1235" s="13" t="s">
        <v>2660</v>
      </c>
      <c r="G1235" s="14">
        <v>2</v>
      </c>
      <c r="H1235" s="14" t="s">
        <v>407</v>
      </c>
      <c r="I1235" s="13">
        <v>41</v>
      </c>
      <c r="J1235" s="15" t="s">
        <v>1440</v>
      </c>
      <c r="K1235" s="15" t="s">
        <v>2712</v>
      </c>
      <c r="L1235" s="16">
        <v>5070.6819999999998</v>
      </c>
      <c r="M1235" s="16">
        <v>7797.1059999999998</v>
      </c>
      <c r="N1235" s="16">
        <v>3542.5499999999997</v>
      </c>
      <c r="O1235" s="16"/>
      <c r="P1235" s="16"/>
      <c r="Q1235" s="16">
        <f>SUM(Tabela1[[#This Row],[201805]:[201807]])</f>
        <v>16410.338</v>
      </c>
      <c r="R1235" s="16">
        <f>SUM(Tabela1[[#This Row],[201905]:[201906]])</f>
        <v>0</v>
      </c>
      <c r="S1235" s="16">
        <v>100000</v>
      </c>
      <c r="T1235" s="16">
        <f>Tabela1[[#This Row],[Total 2019]]-Tabela1[[#This Row],[Total 2018]]</f>
        <v>-16410.338</v>
      </c>
      <c r="U1235" s="40">
        <f>Tabela1[[#This Row],[Total 2019]]/Tabela1[[#This Row],[Meta]]</f>
        <v>0</v>
      </c>
      <c r="V1235" s="17">
        <f>IFERROR(Tabela1[[#This Row],[Total 2019]]/Tabela1[[#This Row],[Total 2018]]-1,0)</f>
        <v>-1</v>
      </c>
      <c r="W123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35" s="48"/>
      <c r="Y1235" s="19"/>
      <c r="Z1235" s="68"/>
    </row>
    <row r="1236" spans="3:26" x14ac:dyDescent="0.35">
      <c r="C1236" s="11" t="s">
        <v>2704</v>
      </c>
      <c r="D1236" s="12" t="s">
        <v>2700</v>
      </c>
      <c r="E1236" s="12">
        <v>1214</v>
      </c>
      <c r="F1236" s="13" t="s">
        <v>2661</v>
      </c>
      <c r="G1236" s="14">
        <v>1</v>
      </c>
      <c r="H1236" s="14" t="s">
        <v>407</v>
      </c>
      <c r="I1236" s="13">
        <v>41</v>
      </c>
      <c r="J1236" s="15" t="s">
        <v>1440</v>
      </c>
      <c r="K1236" s="15" t="s">
        <v>2712</v>
      </c>
      <c r="L1236" s="16">
        <v>5383.384</v>
      </c>
      <c r="M1236" s="16">
        <v>1182.3604999999998</v>
      </c>
      <c r="N1236" s="16"/>
      <c r="O1236" s="16"/>
      <c r="P1236" s="16"/>
      <c r="Q1236" s="16">
        <f>SUM(Tabela1[[#This Row],[201805]:[201807]])</f>
        <v>6565.7444999999998</v>
      </c>
      <c r="R1236" s="16">
        <f>SUM(Tabela1[[#This Row],[201905]:[201906]])</f>
        <v>0</v>
      </c>
      <c r="S1236" s="16">
        <v>100000</v>
      </c>
      <c r="T1236" s="16">
        <f>Tabela1[[#This Row],[Total 2019]]-Tabela1[[#This Row],[Total 2018]]</f>
        <v>-6565.7444999999998</v>
      </c>
      <c r="U1236" s="40">
        <f>Tabela1[[#This Row],[Total 2019]]/Tabela1[[#This Row],[Meta]]</f>
        <v>0</v>
      </c>
      <c r="V1236" s="17">
        <f>IFERROR(Tabela1[[#This Row],[Total 2019]]/Tabela1[[#This Row],[Total 2018]]-1,0)</f>
        <v>-1</v>
      </c>
      <c r="W123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36" s="48"/>
      <c r="Y1236" s="19"/>
      <c r="Z1236" s="68"/>
    </row>
    <row r="1237" spans="3:26" x14ac:dyDescent="0.35">
      <c r="C1237" s="11" t="s">
        <v>2704</v>
      </c>
      <c r="D1237" s="12" t="s">
        <v>2699</v>
      </c>
      <c r="E1237" s="12">
        <v>1215</v>
      </c>
      <c r="F1237" s="13" t="s">
        <v>2662</v>
      </c>
      <c r="G1237" s="14">
        <v>1</v>
      </c>
      <c r="H1237" s="14" t="s">
        <v>1301</v>
      </c>
      <c r="I1237" s="13">
        <v>46</v>
      </c>
      <c r="J1237" s="15" t="s">
        <v>1445</v>
      </c>
      <c r="K1237" s="15" t="s">
        <v>2713</v>
      </c>
      <c r="L1237" s="16">
        <v>4309.7794999999996</v>
      </c>
      <c r="M1237" s="16">
        <v>5049.8294999999998</v>
      </c>
      <c r="N1237" s="16"/>
      <c r="O1237" s="16"/>
      <c r="P1237" s="16"/>
      <c r="Q1237" s="16">
        <f>SUM(Tabela1[[#This Row],[201805]:[201807]])</f>
        <v>9359.6090000000004</v>
      </c>
      <c r="R1237" s="16">
        <f>SUM(Tabela1[[#This Row],[201905]:[201906]])</f>
        <v>0</v>
      </c>
      <c r="S1237" s="16">
        <v>100000</v>
      </c>
      <c r="T1237" s="16">
        <f>Tabela1[[#This Row],[Total 2019]]-Tabela1[[#This Row],[Total 2018]]</f>
        <v>-9359.6090000000004</v>
      </c>
      <c r="U1237" s="40">
        <f>Tabela1[[#This Row],[Total 2019]]/Tabela1[[#This Row],[Meta]]</f>
        <v>0</v>
      </c>
      <c r="V1237" s="17">
        <f>IFERROR(Tabela1[[#This Row],[Total 2019]]/Tabela1[[#This Row],[Total 2018]]-1,0)</f>
        <v>-1</v>
      </c>
      <c r="W123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37" s="48"/>
      <c r="Y1237" s="19"/>
      <c r="Z1237" s="68"/>
    </row>
    <row r="1238" spans="3:26" x14ac:dyDescent="0.35">
      <c r="C1238" s="11" t="s">
        <v>2704</v>
      </c>
      <c r="D1238" s="12" t="s">
        <v>2700</v>
      </c>
      <c r="E1238" s="12">
        <v>1216</v>
      </c>
      <c r="F1238" s="13" t="s">
        <v>2663</v>
      </c>
      <c r="G1238" s="14">
        <v>2</v>
      </c>
      <c r="H1238" s="14" t="s">
        <v>399</v>
      </c>
      <c r="I1238" s="13">
        <v>37</v>
      </c>
      <c r="J1238" s="15" t="s">
        <v>1436</v>
      </c>
      <c r="K1238" s="15" t="s">
        <v>2711</v>
      </c>
      <c r="L1238" s="16"/>
      <c r="M1238" s="16">
        <v>1888.942</v>
      </c>
      <c r="N1238" s="16"/>
      <c r="O1238" s="16"/>
      <c r="P1238" s="16"/>
      <c r="Q1238" s="16">
        <f>SUM(Tabela1[[#This Row],[201805]:[201807]])</f>
        <v>1888.942</v>
      </c>
      <c r="R1238" s="16">
        <f>SUM(Tabela1[[#This Row],[201905]:[201906]])</f>
        <v>0</v>
      </c>
      <c r="S1238" s="16">
        <v>100000</v>
      </c>
      <c r="T1238" s="16">
        <f>Tabela1[[#This Row],[Total 2019]]-Tabela1[[#This Row],[Total 2018]]</f>
        <v>-1888.942</v>
      </c>
      <c r="U1238" s="40">
        <f>Tabela1[[#This Row],[Total 2019]]/Tabela1[[#This Row],[Meta]]</f>
        <v>0</v>
      </c>
      <c r="V1238" s="17">
        <f>IFERROR(Tabela1[[#This Row],[Total 2019]]/Tabela1[[#This Row],[Total 2018]]-1,0)</f>
        <v>-1</v>
      </c>
      <c r="W123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38" s="48"/>
      <c r="Y1238" s="19"/>
      <c r="Z1238" s="68"/>
    </row>
    <row r="1239" spans="3:26" x14ac:dyDescent="0.35">
      <c r="C1239" s="11" t="s">
        <v>2702</v>
      </c>
      <c r="D1239" s="12" t="s">
        <v>2699</v>
      </c>
      <c r="E1239" s="12">
        <v>1217</v>
      </c>
      <c r="F1239" s="13" t="s">
        <v>2664</v>
      </c>
      <c r="G1239" s="14">
        <v>3</v>
      </c>
      <c r="H1239" s="14" t="s">
        <v>410</v>
      </c>
      <c r="I1239" s="13">
        <v>44</v>
      </c>
      <c r="J1239" s="15" t="s">
        <v>1443</v>
      </c>
      <c r="K1239" s="15" t="s">
        <v>2711</v>
      </c>
      <c r="L1239" s="16"/>
      <c r="M1239" s="16">
        <v>4567.9324999999999</v>
      </c>
      <c r="N1239" s="16">
        <v>3376.3285000000001</v>
      </c>
      <c r="O1239" s="16"/>
      <c r="P1239" s="16"/>
      <c r="Q1239" s="16">
        <f>SUM(Tabela1[[#This Row],[201805]:[201807]])</f>
        <v>7944.2610000000004</v>
      </c>
      <c r="R1239" s="16">
        <f>SUM(Tabela1[[#This Row],[201905]:[201906]])</f>
        <v>0</v>
      </c>
      <c r="S1239" s="16">
        <v>100000</v>
      </c>
      <c r="T1239" s="16">
        <f>Tabela1[[#This Row],[Total 2019]]-Tabela1[[#This Row],[Total 2018]]</f>
        <v>-7944.2610000000004</v>
      </c>
      <c r="U1239" s="40">
        <f>Tabela1[[#This Row],[Total 2019]]/Tabela1[[#This Row],[Meta]]</f>
        <v>0</v>
      </c>
      <c r="V1239" s="17">
        <f>IFERROR(Tabela1[[#This Row],[Total 2019]]/Tabela1[[#This Row],[Total 2018]]-1,0)</f>
        <v>-1</v>
      </c>
      <c r="W123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39" s="48"/>
      <c r="Y1239" s="19"/>
      <c r="Z1239" s="68"/>
    </row>
    <row r="1240" spans="3:26" x14ac:dyDescent="0.35">
      <c r="C1240" s="11" t="s">
        <v>2702</v>
      </c>
      <c r="D1240" s="12" t="s">
        <v>2699</v>
      </c>
      <c r="E1240" s="12">
        <v>1218</v>
      </c>
      <c r="F1240" s="13" t="s">
        <v>2665</v>
      </c>
      <c r="G1240" s="14">
        <v>2</v>
      </c>
      <c r="H1240" s="14" t="s">
        <v>410</v>
      </c>
      <c r="I1240" s="13">
        <v>44</v>
      </c>
      <c r="J1240" s="15" t="s">
        <v>1443</v>
      </c>
      <c r="K1240" s="15" t="s">
        <v>2711</v>
      </c>
      <c r="L1240" s="16"/>
      <c r="M1240" s="16">
        <v>3988.4229999999993</v>
      </c>
      <c r="N1240" s="16"/>
      <c r="O1240" s="16"/>
      <c r="P1240" s="16"/>
      <c r="Q1240" s="16">
        <f>SUM(Tabela1[[#This Row],[201805]:[201807]])</f>
        <v>3988.4229999999993</v>
      </c>
      <c r="R1240" s="16">
        <f>SUM(Tabela1[[#This Row],[201905]:[201906]])</f>
        <v>0</v>
      </c>
      <c r="S1240" s="16">
        <v>100000</v>
      </c>
      <c r="T1240" s="16">
        <f>Tabela1[[#This Row],[Total 2019]]-Tabela1[[#This Row],[Total 2018]]</f>
        <v>-3988.4229999999993</v>
      </c>
      <c r="U1240" s="40">
        <f>Tabela1[[#This Row],[Total 2019]]/Tabela1[[#This Row],[Meta]]</f>
        <v>0</v>
      </c>
      <c r="V1240" s="17">
        <f>IFERROR(Tabela1[[#This Row],[Total 2019]]/Tabela1[[#This Row],[Total 2018]]-1,0)</f>
        <v>-1</v>
      </c>
      <c r="W124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40" s="48"/>
      <c r="Y1240" s="19"/>
      <c r="Z1240" s="68"/>
    </row>
    <row r="1241" spans="3:26" x14ac:dyDescent="0.35">
      <c r="C1241" s="11" t="s">
        <v>2703</v>
      </c>
      <c r="D1241" s="12" t="s">
        <v>2698</v>
      </c>
      <c r="E1241" s="12">
        <v>1219</v>
      </c>
      <c r="F1241" s="13" t="s">
        <v>2666</v>
      </c>
      <c r="G1241" s="14">
        <v>2</v>
      </c>
      <c r="H1241" s="14" t="s">
        <v>403</v>
      </c>
      <c r="I1241" s="13">
        <v>39</v>
      </c>
      <c r="J1241" s="15" t="s">
        <v>1438</v>
      </c>
      <c r="K1241" s="15" t="s">
        <v>2711</v>
      </c>
      <c r="L1241" s="16">
        <v>1485.819</v>
      </c>
      <c r="M1241" s="16">
        <v>1817.0174999999999</v>
      </c>
      <c r="N1241" s="16"/>
      <c r="O1241" s="16"/>
      <c r="P1241" s="16"/>
      <c r="Q1241" s="16">
        <f>SUM(Tabela1[[#This Row],[201805]:[201807]])</f>
        <v>3302.8364999999999</v>
      </c>
      <c r="R1241" s="16">
        <f>SUM(Tabela1[[#This Row],[201905]:[201906]])</f>
        <v>0</v>
      </c>
      <c r="S1241" s="16">
        <v>100000</v>
      </c>
      <c r="T1241" s="16">
        <f>Tabela1[[#This Row],[Total 2019]]-Tabela1[[#This Row],[Total 2018]]</f>
        <v>-3302.8364999999999</v>
      </c>
      <c r="U1241" s="40">
        <f>Tabela1[[#This Row],[Total 2019]]/Tabela1[[#This Row],[Meta]]</f>
        <v>0</v>
      </c>
      <c r="V1241" s="17">
        <f>IFERROR(Tabela1[[#This Row],[Total 2019]]/Tabela1[[#This Row],[Total 2018]]-1,0)</f>
        <v>-1</v>
      </c>
      <c r="W124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41" s="48"/>
      <c r="Y1241" s="19"/>
      <c r="Z1241" s="68"/>
    </row>
    <row r="1242" spans="3:26" x14ac:dyDescent="0.35">
      <c r="C1242" s="11" t="s">
        <v>2704</v>
      </c>
      <c r="D1242" s="12" t="s">
        <v>2699</v>
      </c>
      <c r="E1242" s="12">
        <v>1220</v>
      </c>
      <c r="F1242" s="13" t="s">
        <v>2667</v>
      </c>
      <c r="G1242" s="14">
        <v>2</v>
      </c>
      <c r="H1242" s="14" t="s">
        <v>407</v>
      </c>
      <c r="I1242" s="13">
        <v>42</v>
      </c>
      <c r="J1242" s="15" t="s">
        <v>1441</v>
      </c>
      <c r="K1242" s="15" t="s">
        <v>2712</v>
      </c>
      <c r="L1242" s="16">
        <v>589.66499999999996</v>
      </c>
      <c r="M1242" s="16">
        <v>9841.5724999999984</v>
      </c>
      <c r="N1242" s="16"/>
      <c r="O1242" s="16"/>
      <c r="P1242" s="16"/>
      <c r="Q1242" s="16">
        <f>SUM(Tabela1[[#This Row],[201805]:[201807]])</f>
        <v>10431.237499999999</v>
      </c>
      <c r="R1242" s="16">
        <f>SUM(Tabela1[[#This Row],[201905]:[201906]])</f>
        <v>0</v>
      </c>
      <c r="S1242" s="16">
        <v>100000</v>
      </c>
      <c r="T1242" s="16">
        <f>Tabela1[[#This Row],[Total 2019]]-Tabela1[[#This Row],[Total 2018]]</f>
        <v>-10431.237499999999</v>
      </c>
      <c r="U1242" s="40">
        <f>Tabela1[[#This Row],[Total 2019]]/Tabela1[[#This Row],[Meta]]</f>
        <v>0</v>
      </c>
      <c r="V1242" s="17">
        <f>IFERROR(Tabela1[[#This Row],[Total 2019]]/Tabela1[[#This Row],[Total 2018]]-1,0)</f>
        <v>-1</v>
      </c>
      <c r="W124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42" s="48"/>
      <c r="Y1242" s="19"/>
      <c r="Z1242" s="68"/>
    </row>
    <row r="1243" spans="3:26" x14ac:dyDescent="0.35">
      <c r="C1243" s="11" t="s">
        <v>2704</v>
      </c>
      <c r="D1243" s="12" t="s">
        <v>2698</v>
      </c>
      <c r="E1243" s="12">
        <v>1221</v>
      </c>
      <c r="F1243" s="13" t="s">
        <v>2668</v>
      </c>
      <c r="G1243" s="14">
        <v>2</v>
      </c>
      <c r="H1243" s="14" t="s">
        <v>407</v>
      </c>
      <c r="I1243" s="13">
        <v>42</v>
      </c>
      <c r="J1243" s="15" t="s">
        <v>1441</v>
      </c>
      <c r="K1243" s="15" t="s">
        <v>2712</v>
      </c>
      <c r="L1243" s="16">
        <v>2343.46</v>
      </c>
      <c r="M1243" s="16">
        <v>1545.9634999999998</v>
      </c>
      <c r="N1243" s="16"/>
      <c r="O1243" s="16"/>
      <c r="P1243" s="16"/>
      <c r="Q1243" s="16">
        <f>SUM(Tabela1[[#This Row],[201805]:[201807]])</f>
        <v>3889.4234999999999</v>
      </c>
      <c r="R1243" s="16">
        <f>SUM(Tabela1[[#This Row],[201905]:[201906]])</f>
        <v>0</v>
      </c>
      <c r="S1243" s="16">
        <v>100000</v>
      </c>
      <c r="T1243" s="16">
        <f>Tabela1[[#This Row],[Total 2019]]-Tabela1[[#This Row],[Total 2018]]</f>
        <v>-3889.4234999999999</v>
      </c>
      <c r="U1243" s="40">
        <f>Tabela1[[#This Row],[Total 2019]]/Tabela1[[#This Row],[Meta]]</f>
        <v>0</v>
      </c>
      <c r="V1243" s="17">
        <f>IFERROR(Tabela1[[#This Row],[Total 2019]]/Tabela1[[#This Row],[Total 2018]]-1,0)</f>
        <v>-1</v>
      </c>
      <c r="W124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43" s="48"/>
      <c r="Y1243" s="19"/>
      <c r="Z1243" s="68"/>
    </row>
    <row r="1244" spans="3:26" x14ac:dyDescent="0.35">
      <c r="C1244" s="11" t="s">
        <v>2704</v>
      </c>
      <c r="D1244" s="12" t="s">
        <v>2698</v>
      </c>
      <c r="E1244" s="12">
        <v>1222</v>
      </c>
      <c r="F1244" s="13" t="s">
        <v>2669</v>
      </c>
      <c r="G1244" s="14">
        <v>2</v>
      </c>
      <c r="H1244" s="14" t="s">
        <v>403</v>
      </c>
      <c r="I1244" s="13">
        <v>39</v>
      </c>
      <c r="J1244" s="15" t="s">
        <v>1438</v>
      </c>
      <c r="K1244" s="15" t="s">
        <v>2711</v>
      </c>
      <c r="L1244" s="16">
        <v>6310.8309999999992</v>
      </c>
      <c r="M1244" s="16">
        <v>8850.1809999999987</v>
      </c>
      <c r="N1244" s="16">
        <v>1921.7834999999998</v>
      </c>
      <c r="O1244" s="16">
        <v>1377.8894999999998</v>
      </c>
      <c r="P1244" s="16">
        <v>7491.7284999999993</v>
      </c>
      <c r="Q1244" s="16">
        <f>SUM(Tabela1[[#This Row],[201805]:[201807]])</f>
        <v>17082.7955</v>
      </c>
      <c r="R1244" s="16">
        <f>SUM(Tabela1[[#This Row],[201905]:[201906]])</f>
        <v>8869.6179999999986</v>
      </c>
      <c r="S1244" s="16">
        <v>100000</v>
      </c>
      <c r="T1244" s="16">
        <f>Tabela1[[#This Row],[Total 2019]]-Tabela1[[#This Row],[Total 2018]]</f>
        <v>-8213.1775000000016</v>
      </c>
      <c r="U1244" s="40">
        <f>Tabela1[[#This Row],[Total 2019]]/Tabela1[[#This Row],[Meta]]</f>
        <v>8.8696179999999986E-2</v>
      </c>
      <c r="V1244" s="17">
        <f>IFERROR(Tabela1[[#This Row],[Total 2019]]/Tabela1[[#This Row],[Total 2018]]-1,0)</f>
        <v>-0.48078650241993481</v>
      </c>
      <c r="W124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SSS Negativo</v>
      </c>
      <c r="X1244" s="48"/>
      <c r="Y1244" s="19"/>
      <c r="Z1244" s="68"/>
    </row>
    <row r="1245" spans="3:26" x14ac:dyDescent="0.35">
      <c r="C1245" s="11" t="s">
        <v>2702</v>
      </c>
      <c r="D1245" s="12" t="s">
        <v>2698</v>
      </c>
      <c r="E1245" s="12">
        <v>1223</v>
      </c>
      <c r="F1245" s="13" t="s">
        <v>2670</v>
      </c>
      <c r="G1245" s="14">
        <v>3</v>
      </c>
      <c r="H1245" s="14" t="s">
        <v>401</v>
      </c>
      <c r="I1245" s="13">
        <v>37</v>
      </c>
      <c r="J1245" s="15" t="s">
        <v>1436</v>
      </c>
      <c r="K1245" s="15" t="s">
        <v>2711</v>
      </c>
      <c r="L1245" s="16">
        <v>6475.7224999999999</v>
      </c>
      <c r="M1245" s="16">
        <v>4849.5409999999993</v>
      </c>
      <c r="N1245" s="16"/>
      <c r="O1245" s="16"/>
      <c r="P1245" s="16"/>
      <c r="Q1245" s="16">
        <f>SUM(Tabela1[[#This Row],[201805]:[201807]])</f>
        <v>11325.263499999999</v>
      </c>
      <c r="R1245" s="16">
        <f>SUM(Tabela1[[#This Row],[201905]:[201906]])</f>
        <v>0</v>
      </c>
      <c r="S1245" s="16">
        <v>100000</v>
      </c>
      <c r="T1245" s="16">
        <f>Tabela1[[#This Row],[Total 2019]]-Tabela1[[#This Row],[Total 2018]]</f>
        <v>-11325.263499999999</v>
      </c>
      <c r="U1245" s="40">
        <f>Tabela1[[#This Row],[Total 2019]]/Tabela1[[#This Row],[Meta]]</f>
        <v>0</v>
      </c>
      <c r="V1245" s="17">
        <f>IFERROR(Tabela1[[#This Row],[Total 2019]]/Tabela1[[#This Row],[Total 2018]]-1,0)</f>
        <v>-1</v>
      </c>
      <c r="W124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45" s="48"/>
      <c r="Y1245" s="19"/>
      <c r="Z1245" s="68"/>
    </row>
    <row r="1246" spans="3:26" x14ac:dyDescent="0.35">
      <c r="C1246" s="11" t="s">
        <v>2703</v>
      </c>
      <c r="D1246" s="12" t="s">
        <v>2700</v>
      </c>
      <c r="E1246" s="12">
        <v>1224</v>
      </c>
      <c r="F1246" s="13" t="s">
        <v>2671</v>
      </c>
      <c r="G1246" s="14">
        <v>3</v>
      </c>
      <c r="H1246" s="14" t="s">
        <v>401</v>
      </c>
      <c r="I1246" s="13">
        <v>37</v>
      </c>
      <c r="J1246" s="15" t="s">
        <v>1436</v>
      </c>
      <c r="K1246" s="15" t="s">
        <v>2711</v>
      </c>
      <c r="L1246" s="16">
        <v>1137.5014999999999</v>
      </c>
      <c r="M1246" s="16"/>
      <c r="N1246" s="16"/>
      <c r="O1246" s="16"/>
      <c r="P1246" s="16"/>
      <c r="Q1246" s="16">
        <f>SUM(Tabela1[[#This Row],[201805]:[201807]])</f>
        <v>1137.5014999999999</v>
      </c>
      <c r="R1246" s="16">
        <f>SUM(Tabela1[[#This Row],[201905]:[201906]])</f>
        <v>0</v>
      </c>
      <c r="S1246" s="16">
        <v>100000</v>
      </c>
      <c r="T1246" s="16">
        <f>Tabela1[[#This Row],[Total 2019]]-Tabela1[[#This Row],[Total 2018]]</f>
        <v>-1137.5014999999999</v>
      </c>
      <c r="U1246" s="40">
        <f>Tabela1[[#This Row],[Total 2019]]/Tabela1[[#This Row],[Meta]]</f>
        <v>0</v>
      </c>
      <c r="V1246" s="17">
        <f>IFERROR(Tabela1[[#This Row],[Total 2019]]/Tabela1[[#This Row],[Total 2018]]-1,0)</f>
        <v>-1</v>
      </c>
      <c r="W124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46" s="48"/>
      <c r="Y1246" s="19"/>
      <c r="Z1246" s="68"/>
    </row>
    <row r="1247" spans="3:26" x14ac:dyDescent="0.35">
      <c r="C1247" s="11" t="s">
        <v>2702</v>
      </c>
      <c r="D1247" s="12" t="s">
        <v>2698</v>
      </c>
      <c r="E1247" s="12">
        <v>1225</v>
      </c>
      <c r="F1247" s="13" t="s">
        <v>2672</v>
      </c>
      <c r="G1247" s="14">
        <v>1</v>
      </c>
      <c r="H1247" s="14" t="s">
        <v>401</v>
      </c>
      <c r="I1247" s="13">
        <v>37</v>
      </c>
      <c r="J1247" s="15" t="s">
        <v>1436</v>
      </c>
      <c r="K1247" s="15" t="s">
        <v>2711</v>
      </c>
      <c r="L1247" s="16">
        <v>6554.0120000000006</v>
      </c>
      <c r="M1247" s="16">
        <v>2372.7864999999997</v>
      </c>
      <c r="N1247" s="16"/>
      <c r="O1247" s="16"/>
      <c r="P1247" s="16"/>
      <c r="Q1247" s="16">
        <f>SUM(Tabela1[[#This Row],[201805]:[201807]])</f>
        <v>8926.7985000000008</v>
      </c>
      <c r="R1247" s="16">
        <f>SUM(Tabela1[[#This Row],[201905]:[201906]])</f>
        <v>0</v>
      </c>
      <c r="S1247" s="16">
        <v>100000</v>
      </c>
      <c r="T1247" s="16">
        <f>Tabela1[[#This Row],[Total 2019]]-Tabela1[[#This Row],[Total 2018]]</f>
        <v>-8926.7985000000008</v>
      </c>
      <c r="U1247" s="40">
        <f>Tabela1[[#This Row],[Total 2019]]/Tabela1[[#This Row],[Meta]]</f>
        <v>0</v>
      </c>
      <c r="V1247" s="17">
        <f>IFERROR(Tabela1[[#This Row],[Total 2019]]/Tabela1[[#This Row],[Total 2018]]-1,0)</f>
        <v>-1</v>
      </c>
      <c r="W124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47" s="48"/>
      <c r="Y1247" s="19"/>
      <c r="Z1247" s="68"/>
    </row>
    <row r="1248" spans="3:26" x14ac:dyDescent="0.35">
      <c r="C1248" s="11" t="s">
        <v>2702</v>
      </c>
      <c r="D1248" s="12" t="s">
        <v>2700</v>
      </c>
      <c r="E1248" s="12">
        <v>1226</v>
      </c>
      <c r="F1248" s="13" t="s">
        <v>2673</v>
      </c>
      <c r="G1248" s="14">
        <v>1</v>
      </c>
      <c r="H1248" s="14" t="s">
        <v>401</v>
      </c>
      <c r="I1248" s="13">
        <v>37</v>
      </c>
      <c r="J1248" s="15" t="s">
        <v>1436</v>
      </c>
      <c r="K1248" s="15" t="s">
        <v>2711</v>
      </c>
      <c r="L1248" s="16">
        <v>3078.4845</v>
      </c>
      <c r="M1248" s="16">
        <v>1584.5239999999999</v>
      </c>
      <c r="N1248" s="16"/>
      <c r="O1248" s="16"/>
      <c r="P1248" s="16"/>
      <c r="Q1248" s="16">
        <f>SUM(Tabela1[[#This Row],[201805]:[201807]])</f>
        <v>4663.0084999999999</v>
      </c>
      <c r="R1248" s="16">
        <f>SUM(Tabela1[[#This Row],[201905]:[201906]])</f>
        <v>0</v>
      </c>
      <c r="S1248" s="16">
        <v>100000</v>
      </c>
      <c r="T1248" s="16">
        <f>Tabela1[[#This Row],[Total 2019]]-Tabela1[[#This Row],[Total 2018]]</f>
        <v>-4663.0084999999999</v>
      </c>
      <c r="U1248" s="40">
        <f>Tabela1[[#This Row],[Total 2019]]/Tabela1[[#This Row],[Meta]]</f>
        <v>0</v>
      </c>
      <c r="V1248" s="17">
        <f>IFERROR(Tabela1[[#This Row],[Total 2019]]/Tabela1[[#This Row],[Total 2018]]-1,0)</f>
        <v>-1</v>
      </c>
      <c r="W124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48" s="48"/>
      <c r="Y1248" s="19"/>
      <c r="Z1248" s="68"/>
    </row>
    <row r="1249" spans="3:26" x14ac:dyDescent="0.35">
      <c r="C1249" s="11" t="s">
        <v>2704</v>
      </c>
      <c r="D1249" s="12" t="s">
        <v>2698</v>
      </c>
      <c r="E1249" s="12">
        <v>1227</v>
      </c>
      <c r="F1249" s="13" t="s">
        <v>2674</v>
      </c>
      <c r="G1249" s="14">
        <v>3</v>
      </c>
      <c r="H1249" s="14" t="s">
        <v>1244</v>
      </c>
      <c r="I1249" s="13">
        <v>45</v>
      </c>
      <c r="J1249" s="15" t="s">
        <v>1444</v>
      </c>
      <c r="K1249" s="15" t="s">
        <v>2711</v>
      </c>
      <c r="L1249" s="16">
        <v>8676.4639999999981</v>
      </c>
      <c r="M1249" s="16">
        <v>15324.848999999998</v>
      </c>
      <c r="N1249" s="16">
        <v>6753.5594999999994</v>
      </c>
      <c r="O1249" s="16"/>
      <c r="P1249" s="16"/>
      <c r="Q1249" s="16">
        <f>SUM(Tabela1[[#This Row],[201805]:[201807]])</f>
        <v>30754.872499999994</v>
      </c>
      <c r="R1249" s="16">
        <f>SUM(Tabela1[[#This Row],[201905]:[201906]])</f>
        <v>0</v>
      </c>
      <c r="S1249" s="16">
        <v>100000</v>
      </c>
      <c r="T1249" s="16">
        <f>Tabela1[[#This Row],[Total 2019]]-Tabela1[[#This Row],[Total 2018]]</f>
        <v>-30754.872499999994</v>
      </c>
      <c r="U1249" s="40">
        <f>Tabela1[[#This Row],[Total 2019]]/Tabela1[[#This Row],[Meta]]</f>
        <v>0</v>
      </c>
      <c r="V1249" s="17">
        <f>IFERROR(Tabela1[[#This Row],[Total 2019]]/Tabela1[[#This Row],[Total 2018]]-1,0)</f>
        <v>-1</v>
      </c>
      <c r="W124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49" s="48"/>
      <c r="Y1249" s="19"/>
      <c r="Z1249" s="68"/>
    </row>
    <row r="1250" spans="3:26" x14ac:dyDescent="0.35">
      <c r="C1250" s="11" t="s">
        <v>2704</v>
      </c>
      <c r="D1250" s="12" t="s">
        <v>2700</v>
      </c>
      <c r="E1250" s="12">
        <v>1228</v>
      </c>
      <c r="F1250" s="13" t="s">
        <v>2675</v>
      </c>
      <c r="G1250" s="14">
        <v>3</v>
      </c>
      <c r="H1250" s="14" t="s">
        <v>407</v>
      </c>
      <c r="I1250" s="13">
        <v>42</v>
      </c>
      <c r="J1250" s="15" t="s">
        <v>1441</v>
      </c>
      <c r="K1250" s="15" t="s">
        <v>2712</v>
      </c>
      <c r="L1250" s="16">
        <v>1437.0650000000001</v>
      </c>
      <c r="M1250" s="16">
        <v>1763.6179999999999</v>
      </c>
      <c r="N1250" s="16"/>
      <c r="O1250" s="16"/>
      <c r="P1250" s="16"/>
      <c r="Q1250" s="16">
        <f>SUM(Tabela1[[#This Row],[201805]:[201807]])</f>
        <v>3200.683</v>
      </c>
      <c r="R1250" s="16">
        <f>SUM(Tabela1[[#This Row],[201905]:[201906]])</f>
        <v>0</v>
      </c>
      <c r="S1250" s="16">
        <v>100000</v>
      </c>
      <c r="T1250" s="16">
        <f>Tabela1[[#This Row],[Total 2019]]-Tabela1[[#This Row],[Total 2018]]</f>
        <v>-3200.683</v>
      </c>
      <c r="U1250" s="40">
        <f>Tabela1[[#This Row],[Total 2019]]/Tabela1[[#This Row],[Meta]]</f>
        <v>0</v>
      </c>
      <c r="V1250" s="17">
        <f>IFERROR(Tabela1[[#This Row],[Total 2019]]/Tabela1[[#This Row],[Total 2018]]-1,0)</f>
        <v>-1</v>
      </c>
      <c r="W125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50" s="48"/>
      <c r="Y1250" s="19"/>
      <c r="Z1250" s="68"/>
    </row>
    <row r="1251" spans="3:26" x14ac:dyDescent="0.35">
      <c r="C1251" s="11" t="s">
        <v>2703</v>
      </c>
      <c r="D1251" s="12" t="s">
        <v>2700</v>
      </c>
      <c r="E1251" s="12">
        <v>1229</v>
      </c>
      <c r="F1251" s="13" t="s">
        <v>2676</v>
      </c>
      <c r="G1251" s="14">
        <v>3</v>
      </c>
      <c r="H1251" s="14" t="s">
        <v>401</v>
      </c>
      <c r="I1251" s="13">
        <v>37</v>
      </c>
      <c r="J1251" s="15" t="s">
        <v>1436</v>
      </c>
      <c r="K1251" s="15" t="s">
        <v>2711</v>
      </c>
      <c r="L1251" s="16">
        <v>2129.9285</v>
      </c>
      <c r="M1251" s="16">
        <v>1532.8249999999998</v>
      </c>
      <c r="N1251" s="16"/>
      <c r="O1251" s="16"/>
      <c r="P1251" s="16"/>
      <c r="Q1251" s="16">
        <f>SUM(Tabela1[[#This Row],[201805]:[201807]])</f>
        <v>3662.7534999999998</v>
      </c>
      <c r="R1251" s="16">
        <f>SUM(Tabela1[[#This Row],[201905]:[201906]])</f>
        <v>0</v>
      </c>
      <c r="S1251" s="16">
        <v>100000</v>
      </c>
      <c r="T1251" s="16">
        <f>Tabela1[[#This Row],[Total 2019]]-Tabela1[[#This Row],[Total 2018]]</f>
        <v>-3662.7534999999998</v>
      </c>
      <c r="U1251" s="40">
        <f>Tabela1[[#This Row],[Total 2019]]/Tabela1[[#This Row],[Meta]]</f>
        <v>0</v>
      </c>
      <c r="V1251" s="17">
        <f>IFERROR(Tabela1[[#This Row],[Total 2019]]/Tabela1[[#This Row],[Total 2018]]-1,0)</f>
        <v>-1</v>
      </c>
      <c r="W125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51" s="48"/>
      <c r="Y1251" s="19"/>
      <c r="Z1251" s="68"/>
    </row>
    <row r="1252" spans="3:26" x14ac:dyDescent="0.35">
      <c r="C1252" s="11" t="s">
        <v>2703</v>
      </c>
      <c r="D1252" s="12" t="s">
        <v>2698</v>
      </c>
      <c r="E1252" s="12">
        <v>1230</v>
      </c>
      <c r="F1252" s="13" t="s">
        <v>2677</v>
      </c>
      <c r="G1252" s="14">
        <v>3</v>
      </c>
      <c r="H1252" s="14" t="s">
        <v>407</v>
      </c>
      <c r="I1252" s="13">
        <v>42</v>
      </c>
      <c r="J1252" s="15" t="s">
        <v>1441</v>
      </c>
      <c r="K1252" s="15" t="s">
        <v>2712</v>
      </c>
      <c r="L1252" s="16"/>
      <c r="M1252" s="16">
        <v>4789.5200000000004</v>
      </c>
      <c r="N1252" s="16">
        <v>1834.0225</v>
      </c>
      <c r="O1252" s="16"/>
      <c r="P1252" s="16"/>
      <c r="Q1252" s="16">
        <f>SUM(Tabela1[[#This Row],[201805]:[201807]])</f>
        <v>6623.5425000000005</v>
      </c>
      <c r="R1252" s="16">
        <f>SUM(Tabela1[[#This Row],[201905]:[201906]])</f>
        <v>0</v>
      </c>
      <c r="S1252" s="16">
        <v>100000</v>
      </c>
      <c r="T1252" s="16">
        <f>Tabela1[[#This Row],[Total 2019]]-Tabela1[[#This Row],[Total 2018]]</f>
        <v>-6623.5425000000005</v>
      </c>
      <c r="U1252" s="40">
        <f>Tabela1[[#This Row],[Total 2019]]/Tabela1[[#This Row],[Meta]]</f>
        <v>0</v>
      </c>
      <c r="V1252" s="17">
        <f>IFERROR(Tabela1[[#This Row],[Total 2019]]/Tabela1[[#This Row],[Total 2018]]-1,0)</f>
        <v>-1</v>
      </c>
      <c r="W125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52" s="48"/>
      <c r="Y1252" s="19"/>
      <c r="Z1252" s="68"/>
    </row>
    <row r="1253" spans="3:26" x14ac:dyDescent="0.35">
      <c r="C1253" s="11" t="s">
        <v>2703</v>
      </c>
      <c r="D1253" s="12" t="s">
        <v>2700</v>
      </c>
      <c r="E1253" s="12">
        <v>1231</v>
      </c>
      <c r="F1253" s="13" t="s">
        <v>2678</v>
      </c>
      <c r="G1253" s="14">
        <v>1</v>
      </c>
      <c r="H1253" s="14" t="s">
        <v>399</v>
      </c>
      <c r="I1253" s="13">
        <v>37</v>
      </c>
      <c r="J1253" s="15" t="s">
        <v>1436</v>
      </c>
      <c r="K1253" s="15" t="s">
        <v>2711</v>
      </c>
      <c r="L1253" s="16"/>
      <c r="M1253" s="16">
        <v>1632.2994999999999</v>
      </c>
      <c r="N1253" s="16">
        <v>500.83050000000003</v>
      </c>
      <c r="O1253" s="16"/>
      <c r="P1253" s="16"/>
      <c r="Q1253" s="16">
        <f>SUM(Tabela1[[#This Row],[201805]:[201807]])</f>
        <v>2133.13</v>
      </c>
      <c r="R1253" s="16">
        <f>SUM(Tabela1[[#This Row],[201905]:[201906]])</f>
        <v>0</v>
      </c>
      <c r="S1253" s="16">
        <v>100000</v>
      </c>
      <c r="T1253" s="16">
        <f>Tabela1[[#This Row],[Total 2019]]-Tabela1[[#This Row],[Total 2018]]</f>
        <v>-2133.13</v>
      </c>
      <c r="U1253" s="40">
        <f>Tabela1[[#This Row],[Total 2019]]/Tabela1[[#This Row],[Meta]]</f>
        <v>0</v>
      </c>
      <c r="V1253" s="17">
        <f>IFERROR(Tabela1[[#This Row],[Total 2019]]/Tabela1[[#This Row],[Total 2018]]-1,0)</f>
        <v>-1</v>
      </c>
      <c r="W125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53" s="48"/>
      <c r="Y1253" s="19"/>
      <c r="Z1253" s="68"/>
    </row>
    <row r="1254" spans="3:26" x14ac:dyDescent="0.35">
      <c r="C1254" s="11" t="s">
        <v>2704</v>
      </c>
      <c r="D1254" s="12" t="s">
        <v>2699</v>
      </c>
      <c r="E1254" s="12">
        <v>1232</v>
      </c>
      <c r="F1254" s="13" t="s">
        <v>2679</v>
      </c>
      <c r="G1254" s="14">
        <v>3</v>
      </c>
      <c r="H1254" s="14" t="s">
        <v>403</v>
      </c>
      <c r="I1254" s="13">
        <v>39</v>
      </c>
      <c r="J1254" s="15" t="s">
        <v>1438</v>
      </c>
      <c r="K1254" s="15" t="s">
        <v>2711</v>
      </c>
      <c r="L1254" s="16">
        <v>3611.1589999999997</v>
      </c>
      <c r="M1254" s="16">
        <v>2132.9684999999999</v>
      </c>
      <c r="N1254" s="16"/>
      <c r="O1254" s="16"/>
      <c r="P1254" s="16"/>
      <c r="Q1254" s="16">
        <f>SUM(Tabela1[[#This Row],[201805]:[201807]])</f>
        <v>5744.1274999999996</v>
      </c>
      <c r="R1254" s="16">
        <f>SUM(Tabela1[[#This Row],[201905]:[201906]])</f>
        <v>0</v>
      </c>
      <c r="S1254" s="16">
        <v>100000</v>
      </c>
      <c r="T1254" s="16">
        <f>Tabela1[[#This Row],[Total 2019]]-Tabela1[[#This Row],[Total 2018]]</f>
        <v>-5744.1274999999996</v>
      </c>
      <c r="U1254" s="40">
        <f>Tabela1[[#This Row],[Total 2019]]/Tabela1[[#This Row],[Meta]]</f>
        <v>0</v>
      </c>
      <c r="V1254" s="17">
        <f>IFERROR(Tabela1[[#This Row],[Total 2019]]/Tabela1[[#This Row],[Total 2018]]-1,0)</f>
        <v>-1</v>
      </c>
      <c r="W125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54" s="48"/>
      <c r="Y1254" s="19"/>
      <c r="Z1254" s="68"/>
    </row>
    <row r="1255" spans="3:26" x14ac:dyDescent="0.35">
      <c r="C1255" s="11" t="s">
        <v>2702</v>
      </c>
      <c r="D1255" s="12" t="s">
        <v>2699</v>
      </c>
      <c r="E1255" s="12">
        <v>1233</v>
      </c>
      <c r="F1255" s="13" t="s">
        <v>2680</v>
      </c>
      <c r="G1255" s="14">
        <v>1</v>
      </c>
      <c r="H1255" s="14" t="s">
        <v>401</v>
      </c>
      <c r="I1255" s="13">
        <v>37</v>
      </c>
      <c r="J1255" s="15" t="s">
        <v>1436</v>
      </c>
      <c r="K1255" s="15" t="s">
        <v>2711</v>
      </c>
      <c r="L1255" s="16">
        <v>2120.8084999999996</v>
      </c>
      <c r="M1255" s="16"/>
      <c r="N1255" s="16"/>
      <c r="O1255" s="16"/>
      <c r="P1255" s="16"/>
      <c r="Q1255" s="16">
        <f>SUM(Tabela1[[#This Row],[201805]:[201807]])</f>
        <v>2120.8084999999996</v>
      </c>
      <c r="R1255" s="16">
        <f>SUM(Tabela1[[#This Row],[201905]:[201906]])</f>
        <v>0</v>
      </c>
      <c r="S1255" s="16">
        <v>100000</v>
      </c>
      <c r="T1255" s="16">
        <f>Tabela1[[#This Row],[Total 2019]]-Tabela1[[#This Row],[Total 2018]]</f>
        <v>-2120.8084999999996</v>
      </c>
      <c r="U1255" s="40">
        <f>Tabela1[[#This Row],[Total 2019]]/Tabela1[[#This Row],[Meta]]</f>
        <v>0</v>
      </c>
      <c r="V1255" s="17">
        <f>IFERROR(Tabela1[[#This Row],[Total 2019]]/Tabela1[[#This Row],[Total 2018]]-1,0)</f>
        <v>-1</v>
      </c>
      <c r="W125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55" s="48"/>
      <c r="Y1255" s="19"/>
      <c r="Z1255" s="68"/>
    </row>
    <row r="1256" spans="3:26" x14ac:dyDescent="0.35">
      <c r="C1256" s="11" t="s">
        <v>2702</v>
      </c>
      <c r="D1256" s="12" t="s">
        <v>2699</v>
      </c>
      <c r="E1256" s="12">
        <v>1234</v>
      </c>
      <c r="F1256" s="13" t="s">
        <v>2681</v>
      </c>
      <c r="G1256" s="14">
        <v>1</v>
      </c>
      <c r="H1256" s="14" t="s">
        <v>413</v>
      </c>
      <c r="I1256" s="13">
        <v>45</v>
      </c>
      <c r="J1256" s="15" t="s">
        <v>1444</v>
      </c>
      <c r="K1256" s="15" t="s">
        <v>2711</v>
      </c>
      <c r="L1256" s="16">
        <v>2197.2835</v>
      </c>
      <c r="M1256" s="16">
        <v>1299.4955000000002</v>
      </c>
      <c r="N1256" s="16"/>
      <c r="O1256" s="16"/>
      <c r="P1256" s="16"/>
      <c r="Q1256" s="16">
        <f>SUM(Tabela1[[#This Row],[201805]:[201807]])</f>
        <v>3496.7790000000005</v>
      </c>
      <c r="R1256" s="16">
        <f>SUM(Tabela1[[#This Row],[201905]:[201906]])</f>
        <v>0</v>
      </c>
      <c r="S1256" s="16">
        <v>100000</v>
      </c>
      <c r="T1256" s="16">
        <f>Tabela1[[#This Row],[Total 2019]]-Tabela1[[#This Row],[Total 2018]]</f>
        <v>-3496.7790000000005</v>
      </c>
      <c r="U1256" s="40">
        <f>Tabela1[[#This Row],[Total 2019]]/Tabela1[[#This Row],[Meta]]</f>
        <v>0</v>
      </c>
      <c r="V1256" s="17">
        <f>IFERROR(Tabela1[[#This Row],[Total 2019]]/Tabela1[[#This Row],[Total 2018]]-1,0)</f>
        <v>-1</v>
      </c>
      <c r="W125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56" s="48"/>
      <c r="Y1256" s="19"/>
      <c r="Z1256" s="68"/>
    </row>
    <row r="1257" spans="3:26" x14ac:dyDescent="0.35">
      <c r="C1257" s="11" t="s">
        <v>2704</v>
      </c>
      <c r="D1257" s="12" t="s">
        <v>2699</v>
      </c>
      <c r="E1257" s="12">
        <v>1235</v>
      </c>
      <c r="F1257" s="13" t="s">
        <v>2682</v>
      </c>
      <c r="G1257" s="14">
        <v>2</v>
      </c>
      <c r="H1257" s="14" t="s">
        <v>401</v>
      </c>
      <c r="I1257" s="13">
        <v>37</v>
      </c>
      <c r="J1257" s="15" t="s">
        <v>1436</v>
      </c>
      <c r="K1257" s="15" t="s">
        <v>2711</v>
      </c>
      <c r="L1257" s="16"/>
      <c r="M1257" s="16">
        <v>2687.018</v>
      </c>
      <c r="N1257" s="16"/>
      <c r="O1257" s="16"/>
      <c r="P1257" s="16"/>
      <c r="Q1257" s="16">
        <f>SUM(Tabela1[[#This Row],[201805]:[201807]])</f>
        <v>2687.018</v>
      </c>
      <c r="R1257" s="16">
        <f>SUM(Tabela1[[#This Row],[201905]:[201906]])</f>
        <v>0</v>
      </c>
      <c r="S1257" s="16">
        <v>100000</v>
      </c>
      <c r="T1257" s="16">
        <f>Tabela1[[#This Row],[Total 2019]]-Tabela1[[#This Row],[Total 2018]]</f>
        <v>-2687.018</v>
      </c>
      <c r="U1257" s="40">
        <f>Tabela1[[#This Row],[Total 2019]]/Tabela1[[#This Row],[Meta]]</f>
        <v>0</v>
      </c>
      <c r="V1257" s="17">
        <f>IFERROR(Tabela1[[#This Row],[Total 2019]]/Tabela1[[#This Row],[Total 2018]]-1,0)</f>
        <v>-1</v>
      </c>
      <c r="W125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57" s="48"/>
      <c r="Y1257" s="19"/>
      <c r="Z1257" s="68"/>
    </row>
    <row r="1258" spans="3:26" x14ac:dyDescent="0.35">
      <c r="C1258" s="11" t="s">
        <v>2704</v>
      </c>
      <c r="D1258" s="12" t="s">
        <v>2699</v>
      </c>
      <c r="E1258" s="12">
        <v>1236</v>
      </c>
      <c r="F1258" s="13" t="s">
        <v>2683</v>
      </c>
      <c r="G1258" s="14">
        <v>3</v>
      </c>
      <c r="H1258" s="14" t="s">
        <v>401</v>
      </c>
      <c r="I1258" s="13">
        <v>37</v>
      </c>
      <c r="J1258" s="15" t="s">
        <v>1436</v>
      </c>
      <c r="K1258" s="15" t="s">
        <v>2711</v>
      </c>
      <c r="L1258" s="16">
        <v>4651.3804999999993</v>
      </c>
      <c r="M1258" s="16">
        <v>2157.3644999999997</v>
      </c>
      <c r="N1258" s="16"/>
      <c r="O1258" s="16"/>
      <c r="P1258" s="16"/>
      <c r="Q1258" s="16">
        <f>SUM(Tabela1[[#This Row],[201805]:[201807]])</f>
        <v>6808.744999999999</v>
      </c>
      <c r="R1258" s="16">
        <f>SUM(Tabela1[[#This Row],[201905]:[201906]])</f>
        <v>0</v>
      </c>
      <c r="S1258" s="16">
        <v>100000</v>
      </c>
      <c r="T1258" s="16">
        <f>Tabela1[[#This Row],[Total 2019]]-Tabela1[[#This Row],[Total 2018]]</f>
        <v>-6808.744999999999</v>
      </c>
      <c r="U1258" s="40">
        <f>Tabela1[[#This Row],[Total 2019]]/Tabela1[[#This Row],[Meta]]</f>
        <v>0</v>
      </c>
      <c r="V1258" s="17">
        <f>IFERROR(Tabela1[[#This Row],[Total 2019]]/Tabela1[[#This Row],[Total 2018]]-1,0)</f>
        <v>-1</v>
      </c>
      <c r="W125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58" s="48"/>
      <c r="Y1258" s="19"/>
      <c r="Z1258" s="68"/>
    </row>
    <row r="1259" spans="3:26" x14ac:dyDescent="0.35">
      <c r="C1259" s="11" t="s">
        <v>2702</v>
      </c>
      <c r="D1259" s="12" t="s">
        <v>2698</v>
      </c>
      <c r="E1259" s="12">
        <v>1237</v>
      </c>
      <c r="F1259" s="13" t="s">
        <v>2684</v>
      </c>
      <c r="G1259" s="14">
        <v>1</v>
      </c>
      <c r="H1259" s="14" t="s">
        <v>407</v>
      </c>
      <c r="I1259" s="13">
        <v>40</v>
      </c>
      <c r="J1259" s="15" t="s">
        <v>1439</v>
      </c>
      <c r="K1259" s="15" t="s">
        <v>2712</v>
      </c>
      <c r="L1259" s="16"/>
      <c r="M1259" s="16">
        <v>1295.192</v>
      </c>
      <c r="N1259" s="16">
        <v>1083.4559999999999</v>
      </c>
      <c r="O1259" s="16"/>
      <c r="P1259" s="16"/>
      <c r="Q1259" s="16">
        <f>SUM(Tabela1[[#This Row],[201805]:[201807]])</f>
        <v>2378.6480000000001</v>
      </c>
      <c r="R1259" s="16">
        <f>SUM(Tabela1[[#This Row],[201905]:[201906]])</f>
        <v>0</v>
      </c>
      <c r="S1259" s="16">
        <v>100000</v>
      </c>
      <c r="T1259" s="16">
        <f>Tabela1[[#This Row],[Total 2019]]-Tabela1[[#This Row],[Total 2018]]</f>
        <v>-2378.6480000000001</v>
      </c>
      <c r="U1259" s="40">
        <f>Tabela1[[#This Row],[Total 2019]]/Tabela1[[#This Row],[Meta]]</f>
        <v>0</v>
      </c>
      <c r="V1259" s="17">
        <f>IFERROR(Tabela1[[#This Row],[Total 2019]]/Tabela1[[#This Row],[Total 2018]]-1,0)</f>
        <v>-1</v>
      </c>
      <c r="W125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59" s="48"/>
      <c r="Y1259" s="19"/>
      <c r="Z1259" s="68"/>
    </row>
    <row r="1260" spans="3:26" x14ac:dyDescent="0.35">
      <c r="C1260" s="11" t="s">
        <v>2703</v>
      </c>
      <c r="D1260" s="12" t="s">
        <v>2699</v>
      </c>
      <c r="E1260" s="12">
        <v>1238</v>
      </c>
      <c r="F1260" s="13" t="s">
        <v>2685</v>
      </c>
      <c r="G1260" s="14">
        <v>1</v>
      </c>
      <c r="H1260" s="14" t="s">
        <v>407</v>
      </c>
      <c r="I1260" s="13">
        <v>41</v>
      </c>
      <c r="J1260" s="15" t="s">
        <v>1440</v>
      </c>
      <c r="K1260" s="15" t="s">
        <v>2712</v>
      </c>
      <c r="L1260" s="16">
        <v>798.65549999999996</v>
      </c>
      <c r="M1260" s="16">
        <v>2837.4124999999999</v>
      </c>
      <c r="N1260" s="16"/>
      <c r="O1260" s="16"/>
      <c r="P1260" s="16"/>
      <c r="Q1260" s="16">
        <f>SUM(Tabela1[[#This Row],[201805]:[201807]])</f>
        <v>3636.0679999999998</v>
      </c>
      <c r="R1260" s="16">
        <f>SUM(Tabela1[[#This Row],[201905]:[201906]])</f>
        <v>0</v>
      </c>
      <c r="S1260" s="16">
        <v>100000</v>
      </c>
      <c r="T1260" s="16">
        <f>Tabela1[[#This Row],[Total 2019]]-Tabela1[[#This Row],[Total 2018]]</f>
        <v>-3636.0679999999998</v>
      </c>
      <c r="U1260" s="40">
        <f>Tabela1[[#This Row],[Total 2019]]/Tabela1[[#This Row],[Meta]]</f>
        <v>0</v>
      </c>
      <c r="V1260" s="17">
        <f>IFERROR(Tabela1[[#This Row],[Total 2019]]/Tabela1[[#This Row],[Total 2018]]-1,0)</f>
        <v>-1</v>
      </c>
      <c r="W126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60" s="48"/>
      <c r="Y1260" s="19"/>
      <c r="Z1260" s="68"/>
    </row>
    <row r="1261" spans="3:26" x14ac:dyDescent="0.35">
      <c r="C1261" s="11" t="s">
        <v>2704</v>
      </c>
      <c r="D1261" s="12" t="s">
        <v>2700</v>
      </c>
      <c r="E1261" s="12">
        <v>1239</v>
      </c>
      <c r="F1261" s="13" t="s">
        <v>2686</v>
      </c>
      <c r="G1261" s="14">
        <v>1</v>
      </c>
      <c r="H1261" s="14" t="s">
        <v>401</v>
      </c>
      <c r="I1261" s="13">
        <v>37</v>
      </c>
      <c r="J1261" s="15" t="s">
        <v>1436</v>
      </c>
      <c r="K1261" s="15" t="s">
        <v>2711</v>
      </c>
      <c r="L1261" s="16"/>
      <c r="M1261" s="16">
        <v>700.47299999999996</v>
      </c>
      <c r="N1261" s="16"/>
      <c r="O1261" s="16"/>
      <c r="P1261" s="16"/>
      <c r="Q1261" s="16">
        <f>SUM(Tabela1[[#This Row],[201805]:[201807]])</f>
        <v>700.47299999999996</v>
      </c>
      <c r="R1261" s="16">
        <f>SUM(Tabela1[[#This Row],[201905]:[201906]])</f>
        <v>0</v>
      </c>
      <c r="S1261" s="16">
        <v>100000</v>
      </c>
      <c r="T1261" s="16">
        <f>Tabela1[[#This Row],[Total 2019]]-Tabela1[[#This Row],[Total 2018]]</f>
        <v>-700.47299999999996</v>
      </c>
      <c r="U1261" s="40">
        <f>Tabela1[[#This Row],[Total 2019]]/Tabela1[[#This Row],[Meta]]</f>
        <v>0</v>
      </c>
      <c r="V1261" s="17">
        <f>IFERROR(Tabela1[[#This Row],[Total 2019]]/Tabela1[[#This Row],[Total 2018]]-1,0)</f>
        <v>-1</v>
      </c>
      <c r="W126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61" s="48"/>
      <c r="Y1261" s="19"/>
      <c r="Z1261" s="68"/>
    </row>
    <row r="1262" spans="3:26" x14ac:dyDescent="0.35">
      <c r="C1262" s="11" t="s">
        <v>2702</v>
      </c>
      <c r="D1262" s="12" t="s">
        <v>2699</v>
      </c>
      <c r="E1262" s="12">
        <v>1240</v>
      </c>
      <c r="F1262" s="13" t="s">
        <v>2687</v>
      </c>
      <c r="G1262" s="14">
        <v>3</v>
      </c>
      <c r="H1262" s="14" t="s">
        <v>401</v>
      </c>
      <c r="I1262" s="13">
        <v>37</v>
      </c>
      <c r="J1262" s="15" t="s">
        <v>1436</v>
      </c>
      <c r="K1262" s="15" t="s">
        <v>2711</v>
      </c>
      <c r="L1262" s="16">
        <v>1813.1889999999999</v>
      </c>
      <c r="M1262" s="16">
        <v>1807.7929999999997</v>
      </c>
      <c r="N1262" s="16"/>
      <c r="O1262" s="16"/>
      <c r="P1262" s="16"/>
      <c r="Q1262" s="16">
        <f>SUM(Tabela1[[#This Row],[201805]:[201807]])</f>
        <v>3620.9819999999995</v>
      </c>
      <c r="R1262" s="16">
        <f>SUM(Tabela1[[#This Row],[201905]:[201906]])</f>
        <v>0</v>
      </c>
      <c r="S1262" s="16">
        <v>100000</v>
      </c>
      <c r="T1262" s="16">
        <f>Tabela1[[#This Row],[Total 2019]]-Tabela1[[#This Row],[Total 2018]]</f>
        <v>-3620.9819999999995</v>
      </c>
      <c r="U1262" s="40">
        <f>Tabela1[[#This Row],[Total 2019]]/Tabela1[[#This Row],[Meta]]</f>
        <v>0</v>
      </c>
      <c r="V1262" s="17">
        <f>IFERROR(Tabela1[[#This Row],[Total 2019]]/Tabela1[[#This Row],[Total 2018]]-1,0)</f>
        <v>-1</v>
      </c>
      <c r="W1262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62" s="48"/>
      <c r="Y1262" s="19"/>
      <c r="Z1262" s="68"/>
    </row>
    <row r="1263" spans="3:26" x14ac:dyDescent="0.35">
      <c r="C1263" s="11" t="s">
        <v>2704</v>
      </c>
      <c r="D1263" s="12" t="s">
        <v>2699</v>
      </c>
      <c r="E1263" s="12">
        <v>1241</v>
      </c>
      <c r="F1263" s="13" t="s">
        <v>2688</v>
      </c>
      <c r="G1263" s="14">
        <v>2</v>
      </c>
      <c r="H1263" s="14" t="s">
        <v>410</v>
      </c>
      <c r="I1263" s="13">
        <v>44</v>
      </c>
      <c r="J1263" s="15" t="s">
        <v>1443</v>
      </c>
      <c r="K1263" s="15" t="s">
        <v>2711</v>
      </c>
      <c r="L1263" s="16"/>
      <c r="M1263" s="16">
        <v>2027.6324999999999</v>
      </c>
      <c r="N1263" s="16"/>
      <c r="O1263" s="16"/>
      <c r="P1263" s="16"/>
      <c r="Q1263" s="16">
        <f>SUM(Tabela1[[#This Row],[201805]:[201807]])</f>
        <v>2027.6324999999999</v>
      </c>
      <c r="R1263" s="16">
        <f>SUM(Tabela1[[#This Row],[201905]:[201906]])</f>
        <v>0</v>
      </c>
      <c r="S1263" s="16">
        <v>100000</v>
      </c>
      <c r="T1263" s="16">
        <f>Tabela1[[#This Row],[Total 2019]]-Tabela1[[#This Row],[Total 2018]]</f>
        <v>-2027.6324999999999</v>
      </c>
      <c r="U1263" s="40">
        <f>Tabela1[[#This Row],[Total 2019]]/Tabela1[[#This Row],[Meta]]</f>
        <v>0</v>
      </c>
      <c r="V1263" s="17">
        <f>IFERROR(Tabela1[[#This Row],[Total 2019]]/Tabela1[[#This Row],[Total 2018]]-1,0)</f>
        <v>-1</v>
      </c>
      <c r="W1263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Sem Compra</v>
      </c>
      <c r="X1263" s="48"/>
      <c r="Y1263" s="19"/>
      <c r="Z1263" s="68"/>
    </row>
    <row r="1264" spans="3:26" x14ac:dyDescent="0.35">
      <c r="C1264" s="11" t="s">
        <v>2703</v>
      </c>
      <c r="D1264" s="12" t="s">
        <v>2698</v>
      </c>
      <c r="E1264" s="12">
        <v>1242</v>
      </c>
      <c r="F1264" s="13" t="s">
        <v>2689</v>
      </c>
      <c r="G1264" s="14">
        <v>3</v>
      </c>
      <c r="H1264" s="14" t="s">
        <v>407</v>
      </c>
      <c r="I1264" s="13">
        <v>40</v>
      </c>
      <c r="J1264" s="15" t="s">
        <v>1439</v>
      </c>
      <c r="K1264" s="15" t="s">
        <v>2712</v>
      </c>
      <c r="L1264" s="16"/>
      <c r="M1264" s="16"/>
      <c r="N1264" s="16"/>
      <c r="O1264" s="16">
        <v>2242.893</v>
      </c>
      <c r="P1264" s="16"/>
      <c r="Q1264" s="16">
        <f>SUM(Tabela1[[#This Row],[201805]:[201807]])</f>
        <v>0</v>
      </c>
      <c r="R1264" s="16">
        <f>SUM(Tabela1[[#This Row],[201905]:[201906]])</f>
        <v>2242.893</v>
      </c>
      <c r="S1264" s="16">
        <v>100000</v>
      </c>
      <c r="T1264" s="16">
        <f>Tabela1[[#This Row],[Total 2019]]-Tabela1[[#This Row],[Total 2018]]</f>
        <v>2242.893</v>
      </c>
      <c r="U1264" s="40">
        <f>Tabela1[[#This Row],[Total 2019]]/Tabela1[[#This Row],[Meta]]</f>
        <v>2.242893E-2</v>
      </c>
      <c r="V1264" s="17">
        <f>IFERROR(Tabela1[[#This Row],[Total 2019]]/Tabela1[[#This Row],[Total 2018]]-1,0)</f>
        <v>0</v>
      </c>
      <c r="W1264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264" s="48"/>
      <c r="Y1264" s="19"/>
      <c r="Z1264" s="68"/>
    </row>
    <row r="1265" spans="3:26" x14ac:dyDescent="0.35">
      <c r="C1265" s="11" t="s">
        <v>2704</v>
      </c>
      <c r="D1265" s="12" t="s">
        <v>2700</v>
      </c>
      <c r="E1265" s="12">
        <v>1243</v>
      </c>
      <c r="F1265" s="13" t="s">
        <v>2690</v>
      </c>
      <c r="G1265" s="14">
        <v>2</v>
      </c>
      <c r="H1265" s="14" t="s">
        <v>413</v>
      </c>
      <c r="I1265" s="13">
        <v>45</v>
      </c>
      <c r="J1265" s="15" t="s">
        <v>1444</v>
      </c>
      <c r="K1265" s="15" t="s">
        <v>2711</v>
      </c>
      <c r="L1265" s="16"/>
      <c r="M1265" s="16"/>
      <c r="N1265" s="16"/>
      <c r="O1265" s="16">
        <v>8260.5824999999986</v>
      </c>
      <c r="P1265" s="16">
        <v>4140.9929999999995</v>
      </c>
      <c r="Q1265" s="16">
        <f>SUM(Tabela1[[#This Row],[201805]:[201807]])</f>
        <v>0</v>
      </c>
      <c r="R1265" s="16">
        <f>SUM(Tabela1[[#This Row],[201905]:[201906]])</f>
        <v>12401.575499999999</v>
      </c>
      <c r="S1265" s="16">
        <v>100000</v>
      </c>
      <c r="T1265" s="16">
        <f>Tabela1[[#This Row],[Total 2019]]-Tabela1[[#This Row],[Total 2018]]</f>
        <v>12401.575499999999</v>
      </c>
      <c r="U1265" s="40">
        <f>Tabela1[[#This Row],[Total 2019]]/Tabela1[[#This Row],[Meta]]</f>
        <v>0.12401575499999999</v>
      </c>
      <c r="V1265" s="17">
        <f>IFERROR(Tabela1[[#This Row],[Total 2019]]/Tabela1[[#This Row],[Total 2018]]-1,0)</f>
        <v>0</v>
      </c>
      <c r="W1265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265" s="48"/>
      <c r="Y1265" s="19"/>
      <c r="Z1265" s="68"/>
    </row>
    <row r="1266" spans="3:26" x14ac:dyDescent="0.35">
      <c r="C1266" s="11" t="s">
        <v>2704</v>
      </c>
      <c r="D1266" s="12" t="s">
        <v>2699</v>
      </c>
      <c r="E1266" s="12">
        <v>1244</v>
      </c>
      <c r="F1266" s="13" t="s">
        <v>2691</v>
      </c>
      <c r="G1266" s="14">
        <v>2</v>
      </c>
      <c r="H1266" s="14" t="s">
        <v>407</v>
      </c>
      <c r="I1266" s="13">
        <v>41</v>
      </c>
      <c r="J1266" s="15" t="s">
        <v>1440</v>
      </c>
      <c r="K1266" s="15" t="s">
        <v>2712</v>
      </c>
      <c r="L1266" s="16"/>
      <c r="M1266" s="16"/>
      <c r="N1266" s="16"/>
      <c r="O1266" s="16">
        <v>1236.1399999999999</v>
      </c>
      <c r="P1266" s="16">
        <v>2836.377</v>
      </c>
      <c r="Q1266" s="16">
        <f>SUM(Tabela1[[#This Row],[201805]:[201807]])</f>
        <v>0</v>
      </c>
      <c r="R1266" s="16">
        <f>SUM(Tabela1[[#This Row],[201905]:[201906]])</f>
        <v>4072.5169999999998</v>
      </c>
      <c r="S1266" s="16">
        <v>100000</v>
      </c>
      <c r="T1266" s="16">
        <f>Tabela1[[#This Row],[Total 2019]]-Tabela1[[#This Row],[Total 2018]]</f>
        <v>4072.5169999999998</v>
      </c>
      <c r="U1266" s="40">
        <f>Tabela1[[#This Row],[Total 2019]]/Tabela1[[#This Row],[Meta]]</f>
        <v>4.0725169999999998E-2</v>
      </c>
      <c r="V1266" s="17">
        <f>IFERROR(Tabela1[[#This Row],[Total 2019]]/Tabela1[[#This Row],[Total 2018]]-1,0)</f>
        <v>0</v>
      </c>
      <c r="W1266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266" s="48"/>
      <c r="Y1266" s="19"/>
      <c r="Z1266" s="68"/>
    </row>
    <row r="1267" spans="3:26" x14ac:dyDescent="0.35">
      <c r="C1267" s="11" t="s">
        <v>2703</v>
      </c>
      <c r="D1267" s="12" t="s">
        <v>2698</v>
      </c>
      <c r="E1267" s="12">
        <v>1245</v>
      </c>
      <c r="F1267" s="13" t="s">
        <v>2692</v>
      </c>
      <c r="G1267" s="14">
        <v>2</v>
      </c>
      <c r="H1267" s="14" t="s">
        <v>399</v>
      </c>
      <c r="I1267" s="13">
        <v>37</v>
      </c>
      <c r="J1267" s="15" t="s">
        <v>1436</v>
      </c>
      <c r="K1267" s="15" t="s">
        <v>2711</v>
      </c>
      <c r="L1267" s="16"/>
      <c r="M1267" s="16"/>
      <c r="N1267" s="16"/>
      <c r="O1267" s="16">
        <v>6022.4679999999998</v>
      </c>
      <c r="P1267" s="16"/>
      <c r="Q1267" s="16">
        <f>SUM(Tabela1[[#This Row],[201805]:[201807]])</f>
        <v>0</v>
      </c>
      <c r="R1267" s="16">
        <f>SUM(Tabela1[[#This Row],[201905]:[201906]])</f>
        <v>6022.4679999999998</v>
      </c>
      <c r="S1267" s="16">
        <v>100000</v>
      </c>
      <c r="T1267" s="16">
        <f>Tabela1[[#This Row],[Total 2019]]-Tabela1[[#This Row],[Total 2018]]</f>
        <v>6022.4679999999998</v>
      </c>
      <c r="U1267" s="40">
        <f>Tabela1[[#This Row],[Total 2019]]/Tabela1[[#This Row],[Meta]]</f>
        <v>6.0224679999999996E-2</v>
      </c>
      <c r="V1267" s="17">
        <f>IFERROR(Tabela1[[#This Row],[Total 2019]]/Tabela1[[#This Row],[Total 2018]]-1,0)</f>
        <v>0</v>
      </c>
      <c r="W1267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267" s="48"/>
      <c r="Y1267" s="19"/>
      <c r="Z1267" s="68"/>
    </row>
    <row r="1268" spans="3:26" x14ac:dyDescent="0.35">
      <c r="C1268" s="11" t="s">
        <v>2703</v>
      </c>
      <c r="D1268" s="12" t="s">
        <v>2700</v>
      </c>
      <c r="E1268" s="12">
        <v>1246</v>
      </c>
      <c r="F1268" s="13" t="s">
        <v>2693</v>
      </c>
      <c r="G1268" s="14">
        <v>2</v>
      </c>
      <c r="H1268" s="14" t="s">
        <v>407</v>
      </c>
      <c r="I1268" s="13">
        <v>42</v>
      </c>
      <c r="J1268" s="15" t="s">
        <v>1441</v>
      </c>
      <c r="K1268" s="15" t="s">
        <v>2712</v>
      </c>
      <c r="L1268" s="16"/>
      <c r="M1268" s="16"/>
      <c r="N1268" s="16"/>
      <c r="O1268" s="16">
        <v>3792.0674999999997</v>
      </c>
      <c r="P1268" s="16"/>
      <c r="Q1268" s="16">
        <f>SUM(Tabela1[[#This Row],[201805]:[201807]])</f>
        <v>0</v>
      </c>
      <c r="R1268" s="16">
        <f>SUM(Tabela1[[#This Row],[201905]:[201906]])</f>
        <v>3792.0674999999997</v>
      </c>
      <c r="S1268" s="16">
        <v>100000</v>
      </c>
      <c r="T1268" s="16">
        <f>Tabela1[[#This Row],[Total 2019]]-Tabela1[[#This Row],[Total 2018]]</f>
        <v>3792.0674999999997</v>
      </c>
      <c r="U1268" s="40">
        <f>Tabela1[[#This Row],[Total 2019]]/Tabela1[[#This Row],[Meta]]</f>
        <v>3.7920674999999994E-2</v>
      </c>
      <c r="V1268" s="17">
        <f>IFERROR(Tabela1[[#This Row],[Total 2019]]/Tabela1[[#This Row],[Total 2018]]-1,0)</f>
        <v>0</v>
      </c>
      <c r="W1268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268" s="48"/>
      <c r="Y1268" s="19"/>
      <c r="Z1268" s="68"/>
    </row>
    <row r="1269" spans="3:26" x14ac:dyDescent="0.35">
      <c r="C1269" s="11" t="s">
        <v>2703</v>
      </c>
      <c r="D1269" s="12" t="s">
        <v>2700</v>
      </c>
      <c r="E1269" s="12">
        <v>1247</v>
      </c>
      <c r="F1269" s="13" t="s">
        <v>2694</v>
      </c>
      <c r="G1269" s="14">
        <v>2</v>
      </c>
      <c r="H1269" s="14" t="s">
        <v>410</v>
      </c>
      <c r="I1269" s="13">
        <v>44</v>
      </c>
      <c r="J1269" s="15" t="s">
        <v>1443</v>
      </c>
      <c r="K1269" s="15" t="s">
        <v>2711</v>
      </c>
      <c r="L1269" s="16"/>
      <c r="M1269" s="16"/>
      <c r="N1269" s="16"/>
      <c r="O1269" s="16">
        <v>754.33799999999997</v>
      </c>
      <c r="P1269" s="16">
        <v>2526.0309999999999</v>
      </c>
      <c r="Q1269" s="16">
        <f>SUM(Tabela1[[#This Row],[201805]:[201807]])</f>
        <v>0</v>
      </c>
      <c r="R1269" s="16">
        <f>SUM(Tabela1[[#This Row],[201905]:[201906]])</f>
        <v>3280.3689999999997</v>
      </c>
      <c r="S1269" s="16">
        <v>100000</v>
      </c>
      <c r="T1269" s="16">
        <f>Tabela1[[#This Row],[Total 2019]]-Tabela1[[#This Row],[Total 2018]]</f>
        <v>3280.3689999999997</v>
      </c>
      <c r="U1269" s="40">
        <f>Tabela1[[#This Row],[Total 2019]]/Tabela1[[#This Row],[Meta]]</f>
        <v>3.2803689999999996E-2</v>
      </c>
      <c r="V1269" s="17">
        <f>IFERROR(Tabela1[[#This Row],[Total 2019]]/Tabela1[[#This Row],[Total 2018]]-1,0)</f>
        <v>0</v>
      </c>
      <c r="W1269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269" s="48"/>
      <c r="Y1269" s="19"/>
      <c r="Z1269" s="68"/>
    </row>
    <row r="1270" spans="3:26" x14ac:dyDescent="0.35">
      <c r="C1270" s="11" t="s">
        <v>2702</v>
      </c>
      <c r="D1270" s="12" t="s">
        <v>2699</v>
      </c>
      <c r="E1270" s="12">
        <v>1248</v>
      </c>
      <c r="F1270" s="13" t="s">
        <v>2695</v>
      </c>
      <c r="G1270" s="14">
        <v>1</v>
      </c>
      <c r="H1270" s="14" t="s">
        <v>413</v>
      </c>
      <c r="I1270" s="13">
        <v>45</v>
      </c>
      <c r="J1270" s="15" t="s">
        <v>1444</v>
      </c>
      <c r="K1270" s="15" t="s">
        <v>2711</v>
      </c>
      <c r="L1270" s="16"/>
      <c r="M1270" s="16"/>
      <c r="N1270" s="16"/>
      <c r="O1270" s="16">
        <v>4225.942</v>
      </c>
      <c r="P1270" s="16">
        <v>4048.3394999999996</v>
      </c>
      <c r="Q1270" s="16">
        <f>SUM(Tabela1[[#This Row],[201805]:[201807]])</f>
        <v>0</v>
      </c>
      <c r="R1270" s="16">
        <f>SUM(Tabela1[[#This Row],[201905]:[201906]])</f>
        <v>8274.2814999999991</v>
      </c>
      <c r="S1270" s="16">
        <v>100000</v>
      </c>
      <c r="T1270" s="16">
        <f>Tabela1[[#This Row],[Total 2019]]-Tabela1[[#This Row],[Total 2018]]</f>
        <v>8274.2814999999991</v>
      </c>
      <c r="U1270" s="40">
        <f>Tabela1[[#This Row],[Total 2019]]/Tabela1[[#This Row],[Meta]]</f>
        <v>8.2742814999999997E-2</v>
      </c>
      <c r="V1270" s="17">
        <f>IFERROR(Tabela1[[#This Row],[Total 2019]]/Tabela1[[#This Row],[Total 2018]]-1,0)</f>
        <v>0</v>
      </c>
      <c r="W1270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270" s="48"/>
      <c r="Y1270" s="19"/>
      <c r="Z1270" s="68"/>
    </row>
    <row r="1271" spans="3:26" x14ac:dyDescent="0.35">
      <c r="C1271" s="11" t="s">
        <v>2704</v>
      </c>
      <c r="D1271" s="12" t="s">
        <v>2698</v>
      </c>
      <c r="E1271" s="12">
        <v>1249</v>
      </c>
      <c r="F1271" s="13" t="s">
        <v>2696</v>
      </c>
      <c r="G1271" s="14">
        <v>2</v>
      </c>
      <c r="H1271" s="14" t="s">
        <v>413</v>
      </c>
      <c r="I1271" s="13">
        <v>45</v>
      </c>
      <c r="J1271" s="15" t="s">
        <v>1444</v>
      </c>
      <c r="K1271" s="15" t="s">
        <v>2711</v>
      </c>
      <c r="L1271" s="16"/>
      <c r="M1271" s="16"/>
      <c r="N1271" s="16"/>
      <c r="O1271" s="16">
        <v>4655.9120000000003</v>
      </c>
      <c r="P1271" s="16">
        <v>3078.6080000000002</v>
      </c>
      <c r="Q1271" s="16">
        <f>SUM(Tabela1[[#This Row],[201805]:[201807]])</f>
        <v>0</v>
      </c>
      <c r="R1271" s="16">
        <f>SUM(Tabela1[[#This Row],[201905]:[201906]])</f>
        <v>7734.52</v>
      </c>
      <c r="S1271" s="16">
        <v>100000</v>
      </c>
      <c r="T1271" s="16">
        <f>Tabela1[[#This Row],[Total 2019]]-Tabela1[[#This Row],[Total 2018]]</f>
        <v>7734.52</v>
      </c>
      <c r="U1271" s="40">
        <f>Tabela1[[#This Row],[Total 2019]]/Tabela1[[#This Row],[Meta]]</f>
        <v>7.7345200000000003E-2</v>
      </c>
      <c r="V1271" s="17">
        <f>IFERROR(Tabela1[[#This Row],[Total 2019]]/Tabela1[[#This Row],[Total 2018]]-1,0)</f>
        <v>0</v>
      </c>
      <c r="W1271" s="62" t="str">
        <f>IF(Tabela1[[#This Row],[Total 2019]]=0,"Sem Compra",IF(Tabela1[[#This Row],[Total 2018]]=0,"Novo",IF(Tabela1[[#This Row],[Total 2019]]&lt;Tabela1[[#This Row],[Total 2018]],"SSS Negativo",IF(Tabela1[[#This Row],[Total 2019]]&gt;Tabela1[[#This Row],[Total 2018]],"SSS Positivo","-"))))</f>
        <v>Novo</v>
      </c>
      <c r="X1271" s="48"/>
      <c r="Y1271" s="19"/>
      <c r="Z1271" s="68"/>
    </row>
    <row r="1048576" spans="2:2" x14ac:dyDescent="0.35">
      <c r="B1048576"/>
    </row>
  </sheetData>
  <mergeCells count="2">
    <mergeCell ref="C5:F6"/>
    <mergeCell ref="I5:I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nfiguralista">
                <anchor moveWithCells="1" sizeWithCells="1">
                  <from>
                    <xdr:col>19</xdr:col>
                    <xdr:colOff>88900</xdr:colOff>
                    <xdr:row>1</xdr:row>
                    <xdr:rowOff>19050</xdr:rowOff>
                  </from>
                  <to>
                    <xdr:col>20</xdr:col>
                    <xdr:colOff>241300</xdr:colOff>
                    <xdr:row>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mostrarformulario">
                <anchor moveWithCells="1" sizeWithCells="1">
                  <from>
                    <xdr:col>19</xdr:col>
                    <xdr:colOff>88900</xdr:colOff>
                    <xdr:row>2</xdr:row>
                    <xdr:rowOff>120650</xdr:rowOff>
                  </from>
                  <to>
                    <xdr:col>20</xdr:col>
                    <xdr:colOff>241300</xdr:colOff>
                    <xdr:row>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Check Box 9">
              <controlPr defaultSize="0" autoFill="0" autoLine="0" autoPict="0">
                <anchor moveWithCells="1">
                  <from>
                    <xdr:col>16</xdr:col>
                    <xdr:colOff>381000</xdr:colOff>
                    <xdr:row>1</xdr:row>
                    <xdr:rowOff>127000</xdr:rowOff>
                  </from>
                  <to>
                    <xdr:col>18</xdr:col>
                    <xdr:colOff>374650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mostrarsegundoformulario">
                <anchor moveWithCells="1" sizeWithCells="1">
                  <from>
                    <xdr:col>20</xdr:col>
                    <xdr:colOff>336550</xdr:colOff>
                    <xdr:row>2</xdr:row>
                    <xdr:rowOff>120650</xdr:rowOff>
                  </from>
                  <to>
                    <xdr:col>21</xdr:col>
                    <xdr:colOff>488950</xdr:colOff>
                    <xdr:row>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mostrarenderecoemail">
                <anchor moveWithCells="1" sizeWithCells="1">
                  <from>
                    <xdr:col>20</xdr:col>
                    <xdr:colOff>336550</xdr:colOff>
                    <xdr:row>1</xdr:row>
                    <xdr:rowOff>12700</xdr:rowOff>
                  </from>
                  <to>
                    <xdr:col>21</xdr:col>
                    <xdr:colOff>488950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E73F1-0FAF-4359-8F25-D6C6AEF9F14D}">
  <sheetPr codeName="Planilha2"/>
  <dimension ref="A1:O1250"/>
  <sheetViews>
    <sheetView topLeftCell="B1" workbookViewId="0">
      <selection activeCell="N5" sqref="N5"/>
    </sheetView>
  </sheetViews>
  <sheetFormatPr defaultRowHeight="14.5" x14ac:dyDescent="0.35"/>
  <cols>
    <col min="1" max="2" width="21.1796875" bestFit="1" customWidth="1"/>
    <col min="8" max="8" width="14.90625" bestFit="1" customWidth="1"/>
    <col min="13" max="13" width="29.81640625" bestFit="1" customWidth="1"/>
  </cols>
  <sheetData>
    <row r="1" spans="1:15" x14ac:dyDescent="0.35">
      <c r="A1" t="s">
        <v>1397</v>
      </c>
      <c r="B1" t="s">
        <v>1398</v>
      </c>
      <c r="C1" t="s">
        <v>1397</v>
      </c>
      <c r="D1" t="s">
        <v>1399</v>
      </c>
      <c r="H1" t="s">
        <v>2</v>
      </c>
      <c r="I1" t="s">
        <v>1447</v>
      </c>
      <c r="J1" t="s">
        <v>1398</v>
      </c>
      <c r="M1" s="15" t="s">
        <v>682</v>
      </c>
      <c r="N1">
        <v>1</v>
      </c>
      <c r="O1" t="s">
        <v>2706</v>
      </c>
    </row>
    <row r="2" spans="1:15" x14ac:dyDescent="0.35">
      <c r="A2" t="s">
        <v>683</v>
      </c>
      <c r="B2" t="s">
        <v>681</v>
      </c>
      <c r="C2">
        <v>1</v>
      </c>
      <c r="D2" t="s">
        <v>1400</v>
      </c>
      <c r="H2" t="s">
        <v>55</v>
      </c>
      <c r="I2">
        <v>1</v>
      </c>
      <c r="J2" t="s">
        <v>1448</v>
      </c>
      <c r="M2" s="15" t="s">
        <v>691</v>
      </c>
      <c r="N2">
        <v>2</v>
      </c>
      <c r="O2" t="s">
        <v>2707</v>
      </c>
    </row>
    <row r="3" spans="1:15" x14ac:dyDescent="0.35">
      <c r="A3" t="s">
        <v>683</v>
      </c>
      <c r="B3" t="s">
        <v>684</v>
      </c>
      <c r="C3">
        <v>2</v>
      </c>
      <c r="D3" t="s">
        <v>1401</v>
      </c>
      <c r="H3" t="s">
        <v>56</v>
      </c>
      <c r="I3">
        <v>2</v>
      </c>
      <c r="J3" t="s">
        <v>1449</v>
      </c>
      <c r="M3" s="15" t="s">
        <v>697</v>
      </c>
      <c r="N3">
        <v>3</v>
      </c>
      <c r="O3" t="s">
        <v>2708</v>
      </c>
    </row>
    <row r="4" spans="1:15" x14ac:dyDescent="0.35">
      <c r="A4" t="s">
        <v>686</v>
      </c>
      <c r="B4" t="s">
        <v>687</v>
      </c>
      <c r="C4">
        <v>3</v>
      </c>
      <c r="D4" t="s">
        <v>1402</v>
      </c>
      <c r="H4" t="s">
        <v>685</v>
      </c>
      <c r="I4">
        <v>3</v>
      </c>
      <c r="J4" t="s">
        <v>1450</v>
      </c>
      <c r="M4" s="15" t="s">
        <v>660</v>
      </c>
      <c r="N4">
        <v>4</v>
      </c>
      <c r="O4" t="s">
        <v>2709</v>
      </c>
    </row>
    <row r="5" spans="1:15" x14ac:dyDescent="0.35">
      <c r="A5" t="s">
        <v>689</v>
      </c>
      <c r="B5" t="s">
        <v>690</v>
      </c>
      <c r="C5">
        <v>4</v>
      </c>
      <c r="D5" t="s">
        <v>1403</v>
      </c>
      <c r="H5" t="s">
        <v>688</v>
      </c>
      <c r="I5">
        <v>4</v>
      </c>
      <c r="J5" t="s">
        <v>1451</v>
      </c>
      <c r="M5" s="15" t="s">
        <v>763</v>
      </c>
      <c r="N5">
        <v>5</v>
      </c>
      <c r="O5" t="s">
        <v>2710</v>
      </c>
    </row>
    <row r="6" spans="1:15" x14ac:dyDescent="0.35">
      <c r="A6" t="s">
        <v>693</v>
      </c>
      <c r="B6" t="s">
        <v>694</v>
      </c>
      <c r="C6">
        <v>5</v>
      </c>
      <c r="D6" t="s">
        <v>1404</v>
      </c>
      <c r="H6" t="s">
        <v>692</v>
      </c>
      <c r="I6">
        <v>5</v>
      </c>
      <c r="J6" t="s">
        <v>1452</v>
      </c>
      <c r="M6" s="15" t="s">
        <v>1162</v>
      </c>
      <c r="N6">
        <v>6</v>
      </c>
      <c r="O6" t="s">
        <v>2711</v>
      </c>
    </row>
    <row r="7" spans="1:15" x14ac:dyDescent="0.35">
      <c r="A7" t="s">
        <v>695</v>
      </c>
      <c r="B7" t="s">
        <v>696</v>
      </c>
      <c r="C7">
        <v>6</v>
      </c>
      <c r="D7" t="s">
        <v>1405</v>
      </c>
      <c r="H7" t="s">
        <v>319</v>
      </c>
      <c r="I7">
        <v>6</v>
      </c>
      <c r="J7" t="s">
        <v>1453</v>
      </c>
      <c r="M7" s="15" t="s">
        <v>661</v>
      </c>
      <c r="N7">
        <v>7</v>
      </c>
      <c r="O7" t="s">
        <v>2712</v>
      </c>
    </row>
    <row r="8" spans="1:15" x14ac:dyDescent="0.35">
      <c r="A8" t="s">
        <v>698</v>
      </c>
      <c r="B8" t="s">
        <v>699</v>
      </c>
      <c r="C8">
        <v>7</v>
      </c>
      <c r="D8" t="s">
        <v>1406</v>
      </c>
      <c r="H8" t="s">
        <v>171</v>
      </c>
      <c r="I8">
        <v>7</v>
      </c>
      <c r="J8" t="s">
        <v>1454</v>
      </c>
      <c r="M8" s="15" t="s">
        <v>662</v>
      </c>
      <c r="N8">
        <v>8</v>
      </c>
      <c r="O8" t="s">
        <v>2713</v>
      </c>
    </row>
    <row r="9" spans="1:15" x14ac:dyDescent="0.35">
      <c r="A9" t="s">
        <v>700</v>
      </c>
      <c r="B9" t="s">
        <v>701</v>
      </c>
      <c r="C9">
        <v>8</v>
      </c>
      <c r="D9" t="s">
        <v>1407</v>
      </c>
      <c r="H9" t="s">
        <v>320</v>
      </c>
      <c r="I9">
        <v>8</v>
      </c>
      <c r="J9" t="s">
        <v>1455</v>
      </c>
    </row>
    <row r="10" spans="1:15" x14ac:dyDescent="0.35">
      <c r="A10" t="s">
        <v>720</v>
      </c>
      <c r="B10" t="s">
        <v>721</v>
      </c>
      <c r="C10">
        <v>9</v>
      </c>
      <c r="D10" t="s">
        <v>1408</v>
      </c>
      <c r="H10" t="s">
        <v>57</v>
      </c>
      <c r="I10">
        <v>9</v>
      </c>
      <c r="J10" t="s">
        <v>1456</v>
      </c>
    </row>
    <row r="11" spans="1:15" x14ac:dyDescent="0.35">
      <c r="A11" t="s">
        <v>703</v>
      </c>
      <c r="B11" t="s">
        <v>704</v>
      </c>
      <c r="C11">
        <v>10</v>
      </c>
      <c r="D11" t="s">
        <v>1409</v>
      </c>
      <c r="H11" t="s">
        <v>58</v>
      </c>
      <c r="I11">
        <v>10</v>
      </c>
      <c r="J11" t="s">
        <v>1457</v>
      </c>
    </row>
    <row r="12" spans="1:15" x14ac:dyDescent="0.35">
      <c r="A12" t="s">
        <v>680</v>
      </c>
      <c r="B12" t="s">
        <v>681</v>
      </c>
      <c r="C12">
        <v>11</v>
      </c>
      <c r="D12" t="s">
        <v>1410</v>
      </c>
      <c r="H12" t="s">
        <v>1292</v>
      </c>
      <c r="I12">
        <v>11</v>
      </c>
      <c r="J12" t="s">
        <v>1458</v>
      </c>
    </row>
    <row r="13" spans="1:15" x14ac:dyDescent="0.35">
      <c r="A13" t="s">
        <v>706</v>
      </c>
      <c r="B13" t="s">
        <v>707</v>
      </c>
      <c r="C13">
        <v>12</v>
      </c>
      <c r="D13" t="s">
        <v>1411</v>
      </c>
      <c r="H13" t="s">
        <v>702</v>
      </c>
      <c r="I13">
        <v>12</v>
      </c>
      <c r="J13" t="s">
        <v>1459</v>
      </c>
    </row>
    <row r="14" spans="1:15" x14ac:dyDescent="0.35">
      <c r="A14" t="s">
        <v>54</v>
      </c>
      <c r="B14" t="s">
        <v>54</v>
      </c>
      <c r="C14">
        <v>13</v>
      </c>
      <c r="D14" t="s">
        <v>1412</v>
      </c>
      <c r="H14" t="s">
        <v>172</v>
      </c>
      <c r="I14">
        <v>13</v>
      </c>
      <c r="J14" t="s">
        <v>1460</v>
      </c>
    </row>
    <row r="15" spans="1:15" x14ac:dyDescent="0.35">
      <c r="A15" t="s">
        <v>709</v>
      </c>
      <c r="B15" t="s">
        <v>710</v>
      </c>
      <c r="C15">
        <v>14</v>
      </c>
      <c r="D15" t="s">
        <v>1413</v>
      </c>
      <c r="H15" t="s">
        <v>705</v>
      </c>
      <c r="I15">
        <v>14</v>
      </c>
      <c r="J15" t="s">
        <v>1461</v>
      </c>
    </row>
    <row r="16" spans="1:15" x14ac:dyDescent="0.35">
      <c r="A16" t="s">
        <v>712</v>
      </c>
      <c r="B16" t="s">
        <v>713</v>
      </c>
      <c r="C16">
        <v>15</v>
      </c>
      <c r="D16" t="s">
        <v>1414</v>
      </c>
      <c r="H16" t="s">
        <v>173</v>
      </c>
      <c r="I16">
        <v>15</v>
      </c>
      <c r="J16" t="s">
        <v>1462</v>
      </c>
    </row>
    <row r="17" spans="1:10" x14ac:dyDescent="0.35">
      <c r="A17" t="s">
        <v>716</v>
      </c>
      <c r="B17" t="s">
        <v>717</v>
      </c>
      <c r="C17">
        <v>16</v>
      </c>
      <c r="D17" t="s">
        <v>1415</v>
      </c>
      <c r="H17" t="s">
        <v>708</v>
      </c>
      <c r="I17">
        <v>16</v>
      </c>
      <c r="J17" t="s">
        <v>1463</v>
      </c>
    </row>
    <row r="18" spans="1:10" x14ac:dyDescent="0.35">
      <c r="A18" t="s">
        <v>718</v>
      </c>
      <c r="B18" t="s">
        <v>719</v>
      </c>
      <c r="C18">
        <v>17</v>
      </c>
      <c r="D18" t="s">
        <v>1416</v>
      </c>
      <c r="H18" t="s">
        <v>711</v>
      </c>
      <c r="I18">
        <v>17</v>
      </c>
      <c r="J18" t="s">
        <v>1464</v>
      </c>
    </row>
    <row r="19" spans="1:10" x14ac:dyDescent="0.35">
      <c r="A19" t="s">
        <v>722</v>
      </c>
      <c r="B19" t="s">
        <v>723</v>
      </c>
      <c r="C19">
        <v>18</v>
      </c>
      <c r="D19" t="s">
        <v>1417</v>
      </c>
      <c r="H19" t="s">
        <v>714</v>
      </c>
      <c r="I19">
        <v>18</v>
      </c>
      <c r="J19" t="s">
        <v>1465</v>
      </c>
    </row>
    <row r="20" spans="1:10" x14ac:dyDescent="0.35">
      <c r="A20" t="s">
        <v>726</v>
      </c>
      <c r="B20" t="s">
        <v>727</v>
      </c>
      <c r="C20">
        <v>19</v>
      </c>
      <c r="D20" t="s">
        <v>1418</v>
      </c>
      <c r="H20" t="s">
        <v>59</v>
      </c>
      <c r="I20">
        <v>19</v>
      </c>
      <c r="J20" t="s">
        <v>1466</v>
      </c>
    </row>
    <row r="21" spans="1:10" x14ac:dyDescent="0.35">
      <c r="A21" t="s">
        <v>728</v>
      </c>
      <c r="B21" t="s">
        <v>729</v>
      </c>
      <c r="C21">
        <v>20</v>
      </c>
      <c r="D21" t="s">
        <v>1419</v>
      </c>
      <c r="H21" t="s">
        <v>715</v>
      </c>
      <c r="I21">
        <v>20</v>
      </c>
      <c r="J21" t="s">
        <v>1467</v>
      </c>
    </row>
    <row r="22" spans="1:10" x14ac:dyDescent="0.35">
      <c r="A22" t="s">
        <v>731</v>
      </c>
      <c r="B22" t="s">
        <v>732</v>
      </c>
      <c r="C22">
        <v>21</v>
      </c>
      <c r="D22" t="s">
        <v>1420</v>
      </c>
      <c r="H22" t="s">
        <v>3</v>
      </c>
      <c r="I22">
        <v>21</v>
      </c>
      <c r="J22" t="s">
        <v>1468</v>
      </c>
    </row>
    <row r="23" spans="1:10" x14ac:dyDescent="0.35">
      <c r="A23" t="s">
        <v>734</v>
      </c>
      <c r="B23" t="s">
        <v>735</v>
      </c>
      <c r="C23">
        <v>22</v>
      </c>
      <c r="D23" t="s">
        <v>1421</v>
      </c>
      <c r="H23" t="s">
        <v>494</v>
      </c>
      <c r="I23">
        <v>22</v>
      </c>
      <c r="J23" t="s">
        <v>1469</v>
      </c>
    </row>
    <row r="24" spans="1:10" x14ac:dyDescent="0.35">
      <c r="A24" t="s">
        <v>738</v>
      </c>
      <c r="B24" t="s">
        <v>739</v>
      </c>
      <c r="C24">
        <v>23</v>
      </c>
      <c r="D24" t="s">
        <v>1422</v>
      </c>
      <c r="H24" t="s">
        <v>174</v>
      </c>
      <c r="I24">
        <v>23</v>
      </c>
      <c r="J24" t="s">
        <v>1470</v>
      </c>
    </row>
    <row r="25" spans="1:10" x14ac:dyDescent="0.35">
      <c r="A25" t="s">
        <v>742</v>
      </c>
      <c r="B25" t="s">
        <v>743</v>
      </c>
      <c r="C25">
        <v>24</v>
      </c>
      <c r="D25" t="s">
        <v>1423</v>
      </c>
      <c r="H25" t="s">
        <v>60</v>
      </c>
      <c r="I25">
        <v>24</v>
      </c>
      <c r="J25" t="s">
        <v>1471</v>
      </c>
    </row>
    <row r="26" spans="1:10" x14ac:dyDescent="0.35">
      <c r="A26" t="s">
        <v>744</v>
      </c>
      <c r="B26" t="s">
        <v>745</v>
      </c>
      <c r="C26">
        <v>25</v>
      </c>
      <c r="D26" t="s">
        <v>1424</v>
      </c>
      <c r="H26" t="s">
        <v>321</v>
      </c>
      <c r="I26">
        <v>25</v>
      </c>
      <c r="J26" t="s">
        <v>1472</v>
      </c>
    </row>
    <row r="27" spans="1:10" x14ac:dyDescent="0.35">
      <c r="A27" t="s">
        <v>754</v>
      </c>
      <c r="B27" t="s">
        <v>587</v>
      </c>
      <c r="C27">
        <v>26</v>
      </c>
      <c r="D27" t="s">
        <v>1425</v>
      </c>
      <c r="H27" t="s">
        <v>61</v>
      </c>
      <c r="I27">
        <v>26</v>
      </c>
      <c r="J27" t="s">
        <v>1473</v>
      </c>
    </row>
    <row r="28" spans="1:10" x14ac:dyDescent="0.35">
      <c r="A28" t="s">
        <v>756</v>
      </c>
      <c r="B28" t="s">
        <v>757</v>
      </c>
      <c r="C28">
        <v>27</v>
      </c>
      <c r="D28" t="s">
        <v>1426</v>
      </c>
      <c r="H28" t="s">
        <v>4</v>
      </c>
      <c r="I28">
        <v>27</v>
      </c>
      <c r="J28" t="s">
        <v>1474</v>
      </c>
    </row>
    <row r="29" spans="1:10" x14ac:dyDescent="0.35">
      <c r="A29" t="s">
        <v>761</v>
      </c>
      <c r="B29" t="s">
        <v>762</v>
      </c>
      <c r="C29">
        <v>28</v>
      </c>
      <c r="D29" t="s">
        <v>1427</v>
      </c>
      <c r="H29" t="s">
        <v>62</v>
      </c>
      <c r="I29">
        <v>28</v>
      </c>
      <c r="J29" t="s">
        <v>1475</v>
      </c>
    </row>
    <row r="30" spans="1:10" x14ac:dyDescent="0.35">
      <c r="A30" t="s">
        <v>767</v>
      </c>
      <c r="B30" t="s">
        <v>768</v>
      </c>
      <c r="C30">
        <v>29</v>
      </c>
      <c r="D30" t="s">
        <v>1428</v>
      </c>
      <c r="H30" t="s">
        <v>162</v>
      </c>
      <c r="I30">
        <v>29</v>
      </c>
      <c r="J30" t="s">
        <v>1476</v>
      </c>
    </row>
    <row r="31" spans="1:10" x14ac:dyDescent="0.35">
      <c r="A31" t="s">
        <v>770</v>
      </c>
      <c r="B31" t="s">
        <v>771</v>
      </c>
      <c r="C31">
        <v>30</v>
      </c>
      <c r="D31" t="s">
        <v>1429</v>
      </c>
      <c r="H31" t="s">
        <v>724</v>
      </c>
      <c r="I31">
        <v>30</v>
      </c>
      <c r="J31" t="s">
        <v>1477</v>
      </c>
    </row>
    <row r="32" spans="1:10" x14ac:dyDescent="0.35">
      <c r="A32" t="s">
        <v>776</v>
      </c>
      <c r="B32" t="s">
        <v>777</v>
      </c>
      <c r="C32">
        <v>31</v>
      </c>
      <c r="D32" t="s">
        <v>1430</v>
      </c>
      <c r="H32" t="s">
        <v>725</v>
      </c>
      <c r="I32">
        <v>31</v>
      </c>
      <c r="J32" t="s">
        <v>1478</v>
      </c>
    </row>
    <row r="33" spans="1:10" x14ac:dyDescent="0.35">
      <c r="A33" t="s">
        <v>802</v>
      </c>
      <c r="B33" t="s">
        <v>803</v>
      </c>
      <c r="C33">
        <v>32</v>
      </c>
      <c r="D33" t="s">
        <v>1431</v>
      </c>
      <c r="H33" t="s">
        <v>175</v>
      </c>
      <c r="I33">
        <v>32</v>
      </c>
      <c r="J33" t="s">
        <v>1479</v>
      </c>
    </row>
    <row r="34" spans="1:10" x14ac:dyDescent="0.35">
      <c r="A34" t="s">
        <v>808</v>
      </c>
      <c r="B34" t="s">
        <v>809</v>
      </c>
      <c r="C34">
        <v>33</v>
      </c>
      <c r="D34" t="s">
        <v>1432</v>
      </c>
      <c r="H34" t="s">
        <v>176</v>
      </c>
      <c r="I34">
        <v>33</v>
      </c>
      <c r="J34" t="s">
        <v>1480</v>
      </c>
    </row>
    <row r="35" spans="1:10" x14ac:dyDescent="0.35">
      <c r="A35" t="s">
        <v>810</v>
      </c>
      <c r="B35" t="s">
        <v>811</v>
      </c>
      <c r="C35">
        <v>34</v>
      </c>
      <c r="D35" t="s">
        <v>1433</v>
      </c>
      <c r="H35" t="s">
        <v>170</v>
      </c>
      <c r="I35">
        <v>34</v>
      </c>
      <c r="J35" t="s">
        <v>1481</v>
      </c>
    </row>
    <row r="36" spans="1:10" x14ac:dyDescent="0.35">
      <c r="A36" t="s">
        <v>344</v>
      </c>
      <c r="B36" t="s">
        <v>588</v>
      </c>
      <c r="C36">
        <v>35</v>
      </c>
      <c r="D36" t="s">
        <v>1434</v>
      </c>
      <c r="H36" t="s">
        <v>730</v>
      </c>
      <c r="I36">
        <v>35</v>
      </c>
      <c r="J36" t="s">
        <v>1482</v>
      </c>
    </row>
    <row r="37" spans="1:10" x14ac:dyDescent="0.35">
      <c r="A37" t="s">
        <v>1376</v>
      </c>
      <c r="B37" t="s">
        <v>1377</v>
      </c>
      <c r="C37">
        <v>36</v>
      </c>
      <c r="D37" t="s">
        <v>1435</v>
      </c>
      <c r="H37" t="s">
        <v>63</v>
      </c>
      <c r="I37">
        <v>36</v>
      </c>
      <c r="J37" t="s">
        <v>1483</v>
      </c>
    </row>
    <row r="38" spans="1:10" x14ac:dyDescent="0.35">
      <c r="A38" t="s">
        <v>1160</v>
      </c>
      <c r="B38" t="s">
        <v>1161</v>
      </c>
      <c r="C38">
        <v>37</v>
      </c>
      <c r="D38" t="s">
        <v>1436</v>
      </c>
      <c r="H38" t="s">
        <v>349</v>
      </c>
      <c r="I38">
        <v>37</v>
      </c>
      <c r="J38" t="s">
        <v>1484</v>
      </c>
    </row>
    <row r="39" spans="1:10" x14ac:dyDescent="0.35">
      <c r="A39" t="s">
        <v>1163</v>
      </c>
      <c r="B39" t="s">
        <v>1164</v>
      </c>
      <c r="C39">
        <v>38</v>
      </c>
      <c r="D39" t="s">
        <v>1437</v>
      </c>
      <c r="H39" t="s">
        <v>177</v>
      </c>
      <c r="I39">
        <v>38</v>
      </c>
      <c r="J39" t="s">
        <v>1485</v>
      </c>
    </row>
    <row r="40" spans="1:10" x14ac:dyDescent="0.35">
      <c r="A40" t="s">
        <v>404</v>
      </c>
      <c r="B40" t="s">
        <v>405</v>
      </c>
      <c r="C40">
        <v>39</v>
      </c>
      <c r="D40" t="s">
        <v>1438</v>
      </c>
      <c r="H40" t="s">
        <v>733</v>
      </c>
      <c r="I40">
        <v>39</v>
      </c>
      <c r="J40" t="s">
        <v>1486</v>
      </c>
    </row>
    <row r="41" spans="1:10" x14ac:dyDescent="0.35">
      <c r="A41" t="s">
        <v>1168</v>
      </c>
      <c r="B41" t="s">
        <v>1169</v>
      </c>
      <c r="C41">
        <v>40</v>
      </c>
      <c r="D41" t="s">
        <v>1439</v>
      </c>
      <c r="H41" t="s">
        <v>736</v>
      </c>
      <c r="I41">
        <v>40</v>
      </c>
      <c r="J41" t="s">
        <v>1487</v>
      </c>
    </row>
    <row r="42" spans="1:10" x14ac:dyDescent="0.35">
      <c r="A42" t="s">
        <v>1170</v>
      </c>
      <c r="B42" t="s">
        <v>1171</v>
      </c>
      <c r="C42">
        <v>41</v>
      </c>
      <c r="D42" t="s">
        <v>1440</v>
      </c>
      <c r="H42" t="s">
        <v>737</v>
      </c>
      <c r="I42">
        <v>41</v>
      </c>
      <c r="J42" t="s">
        <v>1488</v>
      </c>
    </row>
    <row r="43" spans="1:10" x14ac:dyDescent="0.35">
      <c r="A43" t="s">
        <v>1192</v>
      </c>
      <c r="B43" t="s">
        <v>1193</v>
      </c>
      <c r="C43">
        <v>42</v>
      </c>
      <c r="D43" t="s">
        <v>1441</v>
      </c>
      <c r="H43" t="s">
        <v>178</v>
      </c>
      <c r="I43">
        <v>42</v>
      </c>
      <c r="J43" t="s">
        <v>1489</v>
      </c>
    </row>
    <row r="44" spans="1:10" x14ac:dyDescent="0.35">
      <c r="A44" t="s">
        <v>1173</v>
      </c>
      <c r="B44" t="s">
        <v>1174</v>
      </c>
      <c r="C44">
        <v>43</v>
      </c>
      <c r="D44" t="s">
        <v>1442</v>
      </c>
      <c r="H44" t="s">
        <v>64</v>
      </c>
      <c r="I44">
        <v>43</v>
      </c>
      <c r="J44" t="s">
        <v>1490</v>
      </c>
    </row>
    <row r="45" spans="1:10" x14ac:dyDescent="0.35">
      <c r="A45" t="s">
        <v>411</v>
      </c>
      <c r="B45" t="s">
        <v>589</v>
      </c>
      <c r="C45">
        <v>44</v>
      </c>
      <c r="D45" t="s">
        <v>1443</v>
      </c>
      <c r="H45" t="s">
        <v>179</v>
      </c>
      <c r="I45">
        <v>44</v>
      </c>
      <c r="J45" t="s">
        <v>1491</v>
      </c>
    </row>
    <row r="46" spans="1:10" x14ac:dyDescent="0.35">
      <c r="A46" t="s">
        <v>1179</v>
      </c>
      <c r="B46" t="s">
        <v>1180</v>
      </c>
      <c r="C46">
        <v>45</v>
      </c>
      <c r="D46" t="s">
        <v>1444</v>
      </c>
      <c r="H46" t="s">
        <v>740</v>
      </c>
      <c r="I46">
        <v>45</v>
      </c>
      <c r="J46" t="s">
        <v>1492</v>
      </c>
    </row>
    <row r="47" spans="1:10" x14ac:dyDescent="0.35">
      <c r="A47" t="s">
        <v>442</v>
      </c>
      <c r="B47" t="s">
        <v>590</v>
      </c>
      <c r="C47">
        <v>46</v>
      </c>
      <c r="D47" t="s">
        <v>1445</v>
      </c>
      <c r="H47" t="s">
        <v>65</v>
      </c>
      <c r="I47">
        <v>46</v>
      </c>
      <c r="J47" t="s">
        <v>1493</v>
      </c>
    </row>
    <row r="48" spans="1:10" x14ac:dyDescent="0.35">
      <c r="H48" t="s">
        <v>567</v>
      </c>
      <c r="I48">
        <v>47</v>
      </c>
      <c r="J48" t="s">
        <v>1494</v>
      </c>
    </row>
    <row r="49" spans="8:10" x14ac:dyDescent="0.35">
      <c r="H49" t="s">
        <v>380</v>
      </c>
      <c r="I49">
        <v>48</v>
      </c>
      <c r="J49" t="s">
        <v>1495</v>
      </c>
    </row>
    <row r="50" spans="8:10" x14ac:dyDescent="0.35">
      <c r="H50" t="s">
        <v>741</v>
      </c>
      <c r="I50">
        <v>49</v>
      </c>
      <c r="J50" t="s">
        <v>1496</v>
      </c>
    </row>
    <row r="51" spans="8:10" x14ac:dyDescent="0.35">
      <c r="H51" t="s">
        <v>180</v>
      </c>
      <c r="I51">
        <v>50</v>
      </c>
      <c r="J51" t="s">
        <v>1497</v>
      </c>
    </row>
    <row r="52" spans="8:10" x14ac:dyDescent="0.35">
      <c r="H52" t="s">
        <v>544</v>
      </c>
      <c r="I52">
        <v>51</v>
      </c>
      <c r="J52" t="s">
        <v>1498</v>
      </c>
    </row>
    <row r="53" spans="8:10" x14ac:dyDescent="0.35">
      <c r="H53" t="s">
        <v>66</v>
      </c>
      <c r="I53">
        <v>52</v>
      </c>
      <c r="J53" t="s">
        <v>1499</v>
      </c>
    </row>
    <row r="54" spans="8:10" x14ac:dyDescent="0.35">
      <c r="H54" t="s">
        <v>376</v>
      </c>
      <c r="I54">
        <v>53</v>
      </c>
      <c r="J54" t="s">
        <v>1500</v>
      </c>
    </row>
    <row r="55" spans="8:10" x14ac:dyDescent="0.35">
      <c r="H55" t="s">
        <v>181</v>
      </c>
      <c r="I55">
        <v>54</v>
      </c>
      <c r="J55" t="s">
        <v>1501</v>
      </c>
    </row>
    <row r="56" spans="8:10" x14ac:dyDescent="0.35">
      <c r="H56" t="s">
        <v>5</v>
      </c>
      <c r="I56">
        <v>55</v>
      </c>
      <c r="J56" t="s">
        <v>1502</v>
      </c>
    </row>
    <row r="57" spans="8:10" x14ac:dyDescent="0.35">
      <c r="H57" t="s">
        <v>746</v>
      </c>
      <c r="I57">
        <v>56</v>
      </c>
      <c r="J57" t="s">
        <v>1503</v>
      </c>
    </row>
    <row r="58" spans="8:10" x14ac:dyDescent="0.35">
      <c r="H58" t="s">
        <v>67</v>
      </c>
      <c r="I58">
        <v>57</v>
      </c>
      <c r="J58" t="s">
        <v>1504</v>
      </c>
    </row>
    <row r="59" spans="8:10" x14ac:dyDescent="0.35">
      <c r="H59" t="s">
        <v>747</v>
      </c>
      <c r="I59">
        <v>58</v>
      </c>
      <c r="J59" t="s">
        <v>1505</v>
      </c>
    </row>
    <row r="60" spans="8:10" x14ac:dyDescent="0.35">
      <c r="H60" t="s">
        <v>599</v>
      </c>
      <c r="I60">
        <v>59</v>
      </c>
      <c r="J60" t="s">
        <v>1506</v>
      </c>
    </row>
    <row r="61" spans="8:10" x14ac:dyDescent="0.35">
      <c r="H61" t="s">
        <v>545</v>
      </c>
      <c r="I61">
        <v>60</v>
      </c>
      <c r="J61" t="s">
        <v>1507</v>
      </c>
    </row>
    <row r="62" spans="8:10" x14ac:dyDescent="0.35">
      <c r="H62" t="s">
        <v>748</v>
      </c>
      <c r="I62">
        <v>61</v>
      </c>
      <c r="J62" t="s">
        <v>1508</v>
      </c>
    </row>
    <row r="63" spans="8:10" x14ac:dyDescent="0.35">
      <c r="H63" t="s">
        <v>749</v>
      </c>
      <c r="I63">
        <v>62</v>
      </c>
      <c r="J63" t="s">
        <v>1509</v>
      </c>
    </row>
    <row r="64" spans="8:10" x14ac:dyDescent="0.35">
      <c r="H64" t="s">
        <v>750</v>
      </c>
      <c r="I64">
        <v>63</v>
      </c>
      <c r="J64" t="s">
        <v>1510</v>
      </c>
    </row>
    <row r="65" spans="8:10" x14ac:dyDescent="0.35">
      <c r="H65" t="s">
        <v>751</v>
      </c>
      <c r="I65">
        <v>64</v>
      </c>
      <c r="J65" t="s">
        <v>1511</v>
      </c>
    </row>
    <row r="66" spans="8:10" x14ac:dyDescent="0.35">
      <c r="H66" t="s">
        <v>68</v>
      </c>
      <c r="I66">
        <v>65</v>
      </c>
      <c r="J66" t="s">
        <v>1512</v>
      </c>
    </row>
    <row r="67" spans="8:10" x14ac:dyDescent="0.35">
      <c r="H67" t="s">
        <v>69</v>
      </c>
      <c r="I67">
        <v>66</v>
      </c>
      <c r="J67" t="s">
        <v>1513</v>
      </c>
    </row>
    <row r="68" spans="8:10" x14ac:dyDescent="0.35">
      <c r="H68" t="s">
        <v>70</v>
      </c>
      <c r="I68">
        <v>67</v>
      </c>
      <c r="J68" t="s">
        <v>1514</v>
      </c>
    </row>
    <row r="69" spans="8:10" x14ac:dyDescent="0.35">
      <c r="H69" t="s">
        <v>491</v>
      </c>
      <c r="I69">
        <v>68</v>
      </c>
      <c r="J69" t="s">
        <v>1515</v>
      </c>
    </row>
    <row r="70" spans="8:10" x14ac:dyDescent="0.35">
      <c r="H70" t="s">
        <v>752</v>
      </c>
      <c r="I70">
        <v>69</v>
      </c>
      <c r="J70" t="s">
        <v>1516</v>
      </c>
    </row>
    <row r="71" spans="8:10" x14ac:dyDescent="0.35">
      <c r="H71" t="s">
        <v>322</v>
      </c>
      <c r="I71">
        <v>70</v>
      </c>
      <c r="J71" t="s">
        <v>1517</v>
      </c>
    </row>
    <row r="72" spans="8:10" x14ac:dyDescent="0.35">
      <c r="H72" t="s">
        <v>71</v>
      </c>
      <c r="I72">
        <v>71</v>
      </c>
      <c r="J72" t="s">
        <v>1518</v>
      </c>
    </row>
    <row r="73" spans="8:10" x14ac:dyDescent="0.35">
      <c r="H73" t="s">
        <v>182</v>
      </c>
      <c r="I73">
        <v>72</v>
      </c>
      <c r="J73" t="s">
        <v>1519</v>
      </c>
    </row>
    <row r="74" spans="8:10" x14ac:dyDescent="0.35">
      <c r="H74" t="s">
        <v>323</v>
      </c>
      <c r="I74">
        <v>73</v>
      </c>
      <c r="J74" t="s">
        <v>1520</v>
      </c>
    </row>
    <row r="75" spans="8:10" x14ac:dyDescent="0.35">
      <c r="H75" t="s">
        <v>753</v>
      </c>
      <c r="I75">
        <v>74</v>
      </c>
      <c r="J75" t="s">
        <v>1521</v>
      </c>
    </row>
    <row r="76" spans="8:10" x14ac:dyDescent="0.35">
      <c r="H76" t="s">
        <v>350</v>
      </c>
      <c r="I76">
        <v>75</v>
      </c>
      <c r="J76" t="s">
        <v>1522</v>
      </c>
    </row>
    <row r="77" spans="8:10" x14ac:dyDescent="0.35">
      <c r="H77" t="s">
        <v>480</v>
      </c>
      <c r="I77">
        <v>76</v>
      </c>
      <c r="J77" t="s">
        <v>1523</v>
      </c>
    </row>
    <row r="78" spans="8:10" x14ac:dyDescent="0.35">
      <c r="H78" t="s">
        <v>487</v>
      </c>
      <c r="I78">
        <v>77</v>
      </c>
      <c r="J78" t="s">
        <v>1524</v>
      </c>
    </row>
    <row r="79" spans="8:10" x14ac:dyDescent="0.35">
      <c r="H79" t="s">
        <v>183</v>
      </c>
      <c r="I79">
        <v>78</v>
      </c>
      <c r="J79" t="s">
        <v>1525</v>
      </c>
    </row>
    <row r="80" spans="8:10" x14ac:dyDescent="0.35">
      <c r="H80" t="s">
        <v>755</v>
      </c>
      <c r="I80">
        <v>79</v>
      </c>
      <c r="J80" t="s">
        <v>1526</v>
      </c>
    </row>
    <row r="81" spans="8:10" x14ac:dyDescent="0.35">
      <c r="H81" t="s">
        <v>6</v>
      </c>
      <c r="I81">
        <v>80</v>
      </c>
      <c r="J81" t="s">
        <v>1527</v>
      </c>
    </row>
    <row r="82" spans="8:10" x14ac:dyDescent="0.35">
      <c r="H82" t="s">
        <v>184</v>
      </c>
      <c r="I82">
        <v>81</v>
      </c>
      <c r="J82" t="s">
        <v>1528</v>
      </c>
    </row>
    <row r="83" spans="8:10" x14ac:dyDescent="0.35">
      <c r="H83" t="s">
        <v>185</v>
      </c>
      <c r="I83">
        <v>82</v>
      </c>
      <c r="J83" t="s">
        <v>1529</v>
      </c>
    </row>
    <row r="84" spans="8:10" x14ac:dyDescent="0.35">
      <c r="H84" t="s">
        <v>186</v>
      </c>
      <c r="I84">
        <v>83</v>
      </c>
      <c r="J84" t="s">
        <v>1530</v>
      </c>
    </row>
    <row r="85" spans="8:10" x14ac:dyDescent="0.35">
      <c r="H85" t="s">
        <v>72</v>
      </c>
      <c r="I85">
        <v>84</v>
      </c>
      <c r="J85" t="s">
        <v>1531</v>
      </c>
    </row>
    <row r="86" spans="8:10" x14ac:dyDescent="0.35">
      <c r="H86" t="s">
        <v>758</v>
      </c>
      <c r="I86">
        <v>85</v>
      </c>
      <c r="J86" t="s">
        <v>1532</v>
      </c>
    </row>
    <row r="87" spans="8:10" x14ac:dyDescent="0.35">
      <c r="H87" t="s">
        <v>759</v>
      </c>
      <c r="I87">
        <v>86</v>
      </c>
      <c r="J87" t="s">
        <v>1533</v>
      </c>
    </row>
    <row r="88" spans="8:10" x14ac:dyDescent="0.35">
      <c r="H88" t="s">
        <v>760</v>
      </c>
      <c r="I88">
        <v>87</v>
      </c>
      <c r="J88" t="s">
        <v>1534</v>
      </c>
    </row>
    <row r="89" spans="8:10" x14ac:dyDescent="0.35">
      <c r="H89" t="s">
        <v>625</v>
      </c>
      <c r="I89">
        <v>88</v>
      </c>
      <c r="J89" t="s">
        <v>1535</v>
      </c>
    </row>
    <row r="90" spans="8:10" x14ac:dyDescent="0.35">
      <c r="H90" t="s">
        <v>764</v>
      </c>
      <c r="I90">
        <v>89</v>
      </c>
      <c r="J90" t="s">
        <v>1536</v>
      </c>
    </row>
    <row r="91" spans="8:10" x14ac:dyDescent="0.35">
      <c r="H91" t="s">
        <v>381</v>
      </c>
      <c r="I91">
        <v>90</v>
      </c>
      <c r="J91" t="s">
        <v>1537</v>
      </c>
    </row>
    <row r="92" spans="8:10" x14ac:dyDescent="0.35">
      <c r="H92" t="s">
        <v>187</v>
      </c>
      <c r="I92">
        <v>91</v>
      </c>
      <c r="J92" t="s">
        <v>1538</v>
      </c>
    </row>
    <row r="93" spans="8:10" x14ac:dyDescent="0.35">
      <c r="H93" t="s">
        <v>73</v>
      </c>
      <c r="I93">
        <v>92</v>
      </c>
      <c r="J93" t="s">
        <v>1539</v>
      </c>
    </row>
    <row r="94" spans="8:10" x14ac:dyDescent="0.35">
      <c r="H94" t="s">
        <v>188</v>
      </c>
      <c r="I94">
        <v>93</v>
      </c>
      <c r="J94" t="s">
        <v>1540</v>
      </c>
    </row>
    <row r="95" spans="8:10" x14ac:dyDescent="0.35">
      <c r="H95" t="s">
        <v>74</v>
      </c>
      <c r="I95">
        <v>94</v>
      </c>
      <c r="J95" t="s">
        <v>1541</v>
      </c>
    </row>
    <row r="96" spans="8:10" x14ac:dyDescent="0.35">
      <c r="H96" t="s">
        <v>75</v>
      </c>
      <c r="I96">
        <v>95</v>
      </c>
      <c r="J96" t="s">
        <v>1542</v>
      </c>
    </row>
    <row r="97" spans="8:10" x14ac:dyDescent="0.35">
      <c r="H97" t="s">
        <v>189</v>
      </c>
      <c r="I97">
        <v>96</v>
      </c>
      <c r="J97" t="s">
        <v>1543</v>
      </c>
    </row>
    <row r="98" spans="8:10" x14ac:dyDescent="0.35">
      <c r="H98" t="s">
        <v>765</v>
      </c>
      <c r="I98">
        <v>97</v>
      </c>
      <c r="J98" t="s">
        <v>1544</v>
      </c>
    </row>
    <row r="99" spans="8:10" x14ac:dyDescent="0.35">
      <c r="H99" t="s">
        <v>766</v>
      </c>
      <c r="I99">
        <v>98</v>
      </c>
      <c r="J99" t="s">
        <v>1545</v>
      </c>
    </row>
    <row r="100" spans="8:10" x14ac:dyDescent="0.35">
      <c r="H100" t="s">
        <v>76</v>
      </c>
      <c r="I100">
        <v>99</v>
      </c>
      <c r="J100" t="s">
        <v>1546</v>
      </c>
    </row>
    <row r="101" spans="8:10" x14ac:dyDescent="0.35">
      <c r="H101" t="s">
        <v>486</v>
      </c>
      <c r="I101">
        <v>100</v>
      </c>
      <c r="J101" t="s">
        <v>1547</v>
      </c>
    </row>
    <row r="102" spans="8:10" x14ac:dyDescent="0.35">
      <c r="H102" t="s">
        <v>351</v>
      </c>
      <c r="I102">
        <v>101</v>
      </c>
      <c r="J102" t="s">
        <v>1548</v>
      </c>
    </row>
    <row r="103" spans="8:10" x14ac:dyDescent="0.35">
      <c r="H103" t="s">
        <v>479</v>
      </c>
      <c r="I103">
        <v>102</v>
      </c>
      <c r="J103" t="s">
        <v>1549</v>
      </c>
    </row>
    <row r="104" spans="8:10" x14ac:dyDescent="0.35">
      <c r="H104" t="s">
        <v>769</v>
      </c>
      <c r="I104">
        <v>103</v>
      </c>
      <c r="J104" t="s">
        <v>1550</v>
      </c>
    </row>
    <row r="105" spans="8:10" x14ac:dyDescent="0.35">
      <c r="H105" t="s">
        <v>7</v>
      </c>
      <c r="I105">
        <v>104</v>
      </c>
      <c r="J105" t="s">
        <v>1551</v>
      </c>
    </row>
    <row r="106" spans="8:10" x14ac:dyDescent="0.35">
      <c r="H106" t="s">
        <v>77</v>
      </c>
      <c r="I106">
        <v>105</v>
      </c>
      <c r="J106" t="s">
        <v>1552</v>
      </c>
    </row>
    <row r="107" spans="8:10" x14ac:dyDescent="0.35">
      <c r="H107" t="s">
        <v>78</v>
      </c>
      <c r="I107">
        <v>106</v>
      </c>
      <c r="J107" t="s">
        <v>1553</v>
      </c>
    </row>
    <row r="108" spans="8:10" x14ac:dyDescent="0.35">
      <c r="H108" t="s">
        <v>772</v>
      </c>
      <c r="I108">
        <v>107</v>
      </c>
      <c r="J108" t="s">
        <v>1554</v>
      </c>
    </row>
    <row r="109" spans="8:10" x14ac:dyDescent="0.35">
      <c r="H109" t="s">
        <v>773</v>
      </c>
      <c r="I109">
        <v>108</v>
      </c>
      <c r="J109" t="s">
        <v>1555</v>
      </c>
    </row>
    <row r="110" spans="8:10" x14ac:dyDescent="0.35">
      <c r="H110" t="s">
        <v>79</v>
      </c>
      <c r="I110">
        <v>109</v>
      </c>
      <c r="J110" t="s">
        <v>1556</v>
      </c>
    </row>
    <row r="111" spans="8:10" x14ac:dyDescent="0.35">
      <c r="H111" t="s">
        <v>80</v>
      </c>
      <c r="I111">
        <v>110</v>
      </c>
      <c r="J111" t="s">
        <v>1557</v>
      </c>
    </row>
    <row r="112" spans="8:10" x14ac:dyDescent="0.35">
      <c r="H112" t="s">
        <v>774</v>
      </c>
      <c r="I112">
        <v>111</v>
      </c>
      <c r="J112" t="s">
        <v>1558</v>
      </c>
    </row>
    <row r="113" spans="8:10" x14ac:dyDescent="0.35">
      <c r="H113" t="s">
        <v>1333</v>
      </c>
      <c r="I113">
        <v>112</v>
      </c>
      <c r="J113" t="s">
        <v>1559</v>
      </c>
    </row>
    <row r="114" spans="8:10" x14ac:dyDescent="0.35">
      <c r="H114" t="s">
        <v>190</v>
      </c>
      <c r="I114">
        <v>113</v>
      </c>
      <c r="J114" t="s">
        <v>1560</v>
      </c>
    </row>
    <row r="115" spans="8:10" x14ac:dyDescent="0.35">
      <c r="H115" t="s">
        <v>775</v>
      </c>
      <c r="I115">
        <v>114</v>
      </c>
      <c r="J115" t="s">
        <v>1561</v>
      </c>
    </row>
    <row r="116" spans="8:10" x14ac:dyDescent="0.35">
      <c r="H116" t="s">
        <v>352</v>
      </c>
      <c r="I116">
        <v>115</v>
      </c>
      <c r="J116" t="s">
        <v>1562</v>
      </c>
    </row>
    <row r="117" spans="8:10" x14ac:dyDescent="0.35">
      <c r="H117" t="s">
        <v>8</v>
      </c>
      <c r="I117">
        <v>116</v>
      </c>
      <c r="J117" t="s">
        <v>1563</v>
      </c>
    </row>
    <row r="118" spans="8:10" x14ac:dyDescent="0.35">
      <c r="H118" t="s">
        <v>778</v>
      </c>
      <c r="I118">
        <v>117</v>
      </c>
      <c r="J118" t="s">
        <v>1564</v>
      </c>
    </row>
    <row r="119" spans="8:10" x14ac:dyDescent="0.35">
      <c r="H119" t="s">
        <v>779</v>
      </c>
      <c r="I119">
        <v>118</v>
      </c>
      <c r="J119" t="s">
        <v>1565</v>
      </c>
    </row>
    <row r="120" spans="8:10" x14ac:dyDescent="0.35">
      <c r="H120" t="s">
        <v>780</v>
      </c>
      <c r="I120">
        <v>119</v>
      </c>
      <c r="J120" t="s">
        <v>1566</v>
      </c>
    </row>
    <row r="121" spans="8:10" x14ac:dyDescent="0.35">
      <c r="H121" t="s">
        <v>81</v>
      </c>
      <c r="I121">
        <v>120</v>
      </c>
      <c r="J121" t="s">
        <v>1567</v>
      </c>
    </row>
    <row r="122" spans="8:10" x14ac:dyDescent="0.35">
      <c r="H122" t="s">
        <v>191</v>
      </c>
      <c r="I122">
        <v>121</v>
      </c>
      <c r="J122" t="s">
        <v>1568</v>
      </c>
    </row>
    <row r="123" spans="8:10" x14ac:dyDescent="0.35">
      <c r="H123" t="s">
        <v>192</v>
      </c>
      <c r="I123">
        <v>122</v>
      </c>
      <c r="J123" t="s">
        <v>1569</v>
      </c>
    </row>
    <row r="124" spans="8:10" x14ac:dyDescent="0.35">
      <c r="H124" t="s">
        <v>353</v>
      </c>
      <c r="I124">
        <v>123</v>
      </c>
      <c r="J124" t="s">
        <v>1570</v>
      </c>
    </row>
    <row r="125" spans="8:10" x14ac:dyDescent="0.35">
      <c r="H125" t="s">
        <v>354</v>
      </c>
      <c r="I125">
        <v>124</v>
      </c>
      <c r="J125" t="s">
        <v>1571</v>
      </c>
    </row>
    <row r="126" spans="8:10" x14ac:dyDescent="0.35">
      <c r="H126" t="s">
        <v>1293</v>
      </c>
      <c r="I126">
        <v>125</v>
      </c>
      <c r="J126" t="s">
        <v>1572</v>
      </c>
    </row>
    <row r="127" spans="8:10" x14ac:dyDescent="0.35">
      <c r="H127" t="s">
        <v>193</v>
      </c>
      <c r="I127">
        <v>126</v>
      </c>
      <c r="J127" t="s">
        <v>1573</v>
      </c>
    </row>
    <row r="128" spans="8:10" x14ac:dyDescent="0.35">
      <c r="H128" t="s">
        <v>194</v>
      </c>
      <c r="I128">
        <v>127</v>
      </c>
      <c r="J128" t="s">
        <v>1574</v>
      </c>
    </row>
    <row r="129" spans="8:10" x14ac:dyDescent="0.35">
      <c r="H129" t="s">
        <v>195</v>
      </c>
      <c r="I129">
        <v>128</v>
      </c>
      <c r="J129" t="s">
        <v>1575</v>
      </c>
    </row>
    <row r="130" spans="8:10" x14ac:dyDescent="0.35">
      <c r="H130" t="s">
        <v>324</v>
      </c>
      <c r="I130">
        <v>129</v>
      </c>
      <c r="J130" t="s">
        <v>1576</v>
      </c>
    </row>
    <row r="131" spans="8:10" x14ac:dyDescent="0.35">
      <c r="H131" t="s">
        <v>781</v>
      </c>
      <c r="I131">
        <v>130</v>
      </c>
      <c r="J131" t="s">
        <v>1577</v>
      </c>
    </row>
    <row r="132" spans="8:10" x14ac:dyDescent="0.35">
      <c r="H132" t="s">
        <v>782</v>
      </c>
      <c r="I132">
        <v>131</v>
      </c>
      <c r="J132" t="s">
        <v>1578</v>
      </c>
    </row>
    <row r="133" spans="8:10" x14ac:dyDescent="0.35">
      <c r="H133" t="s">
        <v>196</v>
      </c>
      <c r="I133">
        <v>132</v>
      </c>
      <c r="J133" t="s">
        <v>1579</v>
      </c>
    </row>
    <row r="134" spans="8:10" x14ac:dyDescent="0.35">
      <c r="H134" t="s">
        <v>197</v>
      </c>
      <c r="I134">
        <v>133</v>
      </c>
      <c r="J134" t="s">
        <v>1580</v>
      </c>
    </row>
    <row r="135" spans="8:10" x14ac:dyDescent="0.35">
      <c r="H135" t="s">
        <v>396</v>
      </c>
      <c r="I135">
        <v>134</v>
      </c>
      <c r="J135" t="s">
        <v>1581</v>
      </c>
    </row>
    <row r="136" spans="8:10" x14ac:dyDescent="0.35">
      <c r="H136" t="s">
        <v>783</v>
      </c>
      <c r="I136">
        <v>135</v>
      </c>
      <c r="J136" t="s">
        <v>1582</v>
      </c>
    </row>
    <row r="137" spans="8:10" x14ac:dyDescent="0.35">
      <c r="H137" t="s">
        <v>784</v>
      </c>
      <c r="I137">
        <v>136</v>
      </c>
      <c r="J137" t="s">
        <v>1583</v>
      </c>
    </row>
    <row r="138" spans="8:10" x14ac:dyDescent="0.35">
      <c r="H138" t="s">
        <v>785</v>
      </c>
      <c r="I138">
        <v>137</v>
      </c>
      <c r="J138" t="s">
        <v>1584</v>
      </c>
    </row>
    <row r="139" spans="8:10" x14ac:dyDescent="0.35">
      <c r="H139" t="s">
        <v>53</v>
      </c>
      <c r="I139">
        <v>138</v>
      </c>
      <c r="J139" t="s">
        <v>1585</v>
      </c>
    </row>
    <row r="140" spans="8:10" x14ac:dyDescent="0.35">
      <c r="H140" t="s">
        <v>198</v>
      </c>
      <c r="I140">
        <v>139</v>
      </c>
      <c r="J140" t="s">
        <v>1586</v>
      </c>
    </row>
    <row r="141" spans="8:10" x14ac:dyDescent="0.35">
      <c r="H141" t="s">
        <v>82</v>
      </c>
      <c r="I141">
        <v>140</v>
      </c>
      <c r="J141" t="s">
        <v>1587</v>
      </c>
    </row>
    <row r="142" spans="8:10" x14ac:dyDescent="0.35">
      <c r="H142" t="s">
        <v>382</v>
      </c>
      <c r="I142">
        <v>141</v>
      </c>
      <c r="J142" t="s">
        <v>1588</v>
      </c>
    </row>
    <row r="143" spans="8:10" x14ac:dyDescent="0.35">
      <c r="H143" t="s">
        <v>199</v>
      </c>
      <c r="I143">
        <v>142</v>
      </c>
      <c r="J143" t="s">
        <v>1589</v>
      </c>
    </row>
    <row r="144" spans="8:10" x14ac:dyDescent="0.35">
      <c r="H144" t="s">
        <v>786</v>
      </c>
      <c r="I144">
        <v>143</v>
      </c>
      <c r="J144" t="s">
        <v>1590</v>
      </c>
    </row>
    <row r="145" spans="8:10" x14ac:dyDescent="0.35">
      <c r="H145" t="s">
        <v>787</v>
      </c>
      <c r="I145">
        <v>144</v>
      </c>
      <c r="J145" t="s">
        <v>1591</v>
      </c>
    </row>
    <row r="146" spans="8:10" x14ac:dyDescent="0.35">
      <c r="H146" t="s">
        <v>593</v>
      </c>
      <c r="I146">
        <v>145</v>
      </c>
      <c r="J146" t="s">
        <v>1592</v>
      </c>
    </row>
    <row r="147" spans="8:10" x14ac:dyDescent="0.35">
      <c r="H147" t="s">
        <v>355</v>
      </c>
      <c r="I147">
        <v>146</v>
      </c>
      <c r="J147" t="s">
        <v>1593</v>
      </c>
    </row>
    <row r="148" spans="8:10" x14ac:dyDescent="0.35">
      <c r="H148" t="s">
        <v>9</v>
      </c>
      <c r="I148">
        <v>147</v>
      </c>
      <c r="J148" t="s">
        <v>1594</v>
      </c>
    </row>
    <row r="149" spans="8:10" x14ac:dyDescent="0.35">
      <c r="H149" t="s">
        <v>200</v>
      </c>
      <c r="I149">
        <v>148</v>
      </c>
      <c r="J149" t="s">
        <v>1595</v>
      </c>
    </row>
    <row r="150" spans="8:10" x14ac:dyDescent="0.35">
      <c r="H150" t="s">
        <v>356</v>
      </c>
      <c r="I150">
        <v>149</v>
      </c>
      <c r="J150" t="s">
        <v>1596</v>
      </c>
    </row>
    <row r="151" spans="8:10" x14ac:dyDescent="0.35">
      <c r="H151" t="s">
        <v>10</v>
      </c>
      <c r="I151">
        <v>150</v>
      </c>
      <c r="J151" t="s">
        <v>1597</v>
      </c>
    </row>
    <row r="152" spans="8:10" x14ac:dyDescent="0.35">
      <c r="H152" t="s">
        <v>83</v>
      </c>
      <c r="I152">
        <v>151</v>
      </c>
      <c r="J152" t="s">
        <v>1598</v>
      </c>
    </row>
    <row r="153" spans="8:10" x14ac:dyDescent="0.35">
      <c r="H153" t="s">
        <v>788</v>
      </c>
      <c r="I153">
        <v>152</v>
      </c>
      <c r="J153" t="s">
        <v>1599</v>
      </c>
    </row>
    <row r="154" spans="8:10" x14ac:dyDescent="0.35">
      <c r="H154" t="s">
        <v>11</v>
      </c>
      <c r="I154">
        <v>153</v>
      </c>
      <c r="J154" t="s">
        <v>1600</v>
      </c>
    </row>
    <row r="155" spans="8:10" x14ac:dyDescent="0.35">
      <c r="H155" t="s">
        <v>1294</v>
      </c>
      <c r="I155">
        <v>154</v>
      </c>
      <c r="J155" t="s">
        <v>1601</v>
      </c>
    </row>
    <row r="156" spans="8:10" x14ac:dyDescent="0.35">
      <c r="H156" t="s">
        <v>201</v>
      </c>
      <c r="I156">
        <v>155</v>
      </c>
      <c r="J156" t="s">
        <v>1602</v>
      </c>
    </row>
    <row r="157" spans="8:10" x14ac:dyDescent="0.35">
      <c r="H157" t="s">
        <v>789</v>
      </c>
      <c r="I157">
        <v>156</v>
      </c>
      <c r="J157" t="s">
        <v>1603</v>
      </c>
    </row>
    <row r="158" spans="8:10" x14ac:dyDescent="0.35">
      <c r="H158" t="s">
        <v>325</v>
      </c>
      <c r="I158">
        <v>157</v>
      </c>
      <c r="J158" t="s">
        <v>1604</v>
      </c>
    </row>
    <row r="159" spans="8:10" x14ac:dyDescent="0.35">
      <c r="H159" t="s">
        <v>84</v>
      </c>
      <c r="I159">
        <v>158</v>
      </c>
      <c r="J159" t="s">
        <v>1605</v>
      </c>
    </row>
    <row r="160" spans="8:10" x14ac:dyDescent="0.35">
      <c r="H160" t="s">
        <v>790</v>
      </c>
      <c r="I160">
        <v>159</v>
      </c>
      <c r="J160" t="s">
        <v>1606</v>
      </c>
    </row>
    <row r="161" spans="8:10" x14ac:dyDescent="0.35">
      <c r="H161" t="s">
        <v>791</v>
      </c>
      <c r="I161">
        <v>160</v>
      </c>
      <c r="J161" t="s">
        <v>1607</v>
      </c>
    </row>
    <row r="162" spans="8:10" x14ac:dyDescent="0.35">
      <c r="H162" t="s">
        <v>792</v>
      </c>
      <c r="I162">
        <v>161</v>
      </c>
      <c r="J162" t="s">
        <v>1608</v>
      </c>
    </row>
    <row r="163" spans="8:10" x14ac:dyDescent="0.35">
      <c r="H163" t="s">
        <v>202</v>
      </c>
      <c r="I163">
        <v>162</v>
      </c>
      <c r="J163" t="s">
        <v>1609</v>
      </c>
    </row>
    <row r="164" spans="8:10" x14ac:dyDescent="0.35">
      <c r="H164" t="s">
        <v>546</v>
      </c>
      <c r="I164">
        <v>163</v>
      </c>
      <c r="J164" t="s">
        <v>1610</v>
      </c>
    </row>
    <row r="165" spans="8:10" x14ac:dyDescent="0.35">
      <c r="H165" t="s">
        <v>203</v>
      </c>
      <c r="I165">
        <v>164</v>
      </c>
      <c r="J165" t="s">
        <v>1611</v>
      </c>
    </row>
    <row r="166" spans="8:10" x14ac:dyDescent="0.35">
      <c r="H166" t="s">
        <v>793</v>
      </c>
      <c r="I166">
        <v>165</v>
      </c>
      <c r="J166" t="s">
        <v>1612</v>
      </c>
    </row>
    <row r="167" spans="8:10" x14ac:dyDescent="0.35">
      <c r="H167" t="s">
        <v>377</v>
      </c>
      <c r="I167">
        <v>166</v>
      </c>
      <c r="J167" t="s">
        <v>1613</v>
      </c>
    </row>
    <row r="168" spans="8:10" x14ac:dyDescent="0.35">
      <c r="H168" t="s">
        <v>794</v>
      </c>
      <c r="I168">
        <v>167</v>
      </c>
      <c r="J168" t="s">
        <v>1614</v>
      </c>
    </row>
    <row r="169" spans="8:10" x14ac:dyDescent="0.35">
      <c r="H169" t="s">
        <v>543</v>
      </c>
      <c r="I169">
        <v>168</v>
      </c>
      <c r="J169" t="s">
        <v>1615</v>
      </c>
    </row>
    <row r="170" spans="8:10" x14ac:dyDescent="0.35">
      <c r="H170" t="s">
        <v>795</v>
      </c>
      <c r="I170">
        <v>169</v>
      </c>
      <c r="J170" t="s">
        <v>1616</v>
      </c>
    </row>
    <row r="171" spans="8:10" x14ac:dyDescent="0.35">
      <c r="H171" t="s">
        <v>796</v>
      </c>
      <c r="I171">
        <v>170</v>
      </c>
      <c r="J171" t="s">
        <v>1617</v>
      </c>
    </row>
    <row r="172" spans="8:10" x14ac:dyDescent="0.35">
      <c r="H172" t="s">
        <v>85</v>
      </c>
      <c r="I172">
        <v>171</v>
      </c>
      <c r="J172" t="s">
        <v>1618</v>
      </c>
    </row>
    <row r="173" spans="8:10" x14ac:dyDescent="0.35">
      <c r="H173" t="s">
        <v>86</v>
      </c>
      <c r="I173">
        <v>172</v>
      </c>
      <c r="J173" t="s">
        <v>1619</v>
      </c>
    </row>
    <row r="174" spans="8:10" x14ac:dyDescent="0.35">
      <c r="H174" t="s">
        <v>204</v>
      </c>
      <c r="I174">
        <v>173</v>
      </c>
      <c r="J174" t="s">
        <v>1620</v>
      </c>
    </row>
    <row r="175" spans="8:10" x14ac:dyDescent="0.35">
      <c r="H175" t="s">
        <v>797</v>
      </c>
      <c r="I175">
        <v>174</v>
      </c>
      <c r="J175" t="s">
        <v>1621</v>
      </c>
    </row>
    <row r="176" spans="8:10" x14ac:dyDescent="0.35">
      <c r="H176" t="s">
        <v>87</v>
      </c>
      <c r="I176">
        <v>175</v>
      </c>
      <c r="J176" t="s">
        <v>1622</v>
      </c>
    </row>
    <row r="177" spans="8:10" x14ac:dyDescent="0.35">
      <c r="H177" t="s">
        <v>88</v>
      </c>
      <c r="I177">
        <v>176</v>
      </c>
      <c r="J177" t="s">
        <v>1623</v>
      </c>
    </row>
    <row r="178" spans="8:10" x14ac:dyDescent="0.35">
      <c r="H178" t="s">
        <v>798</v>
      </c>
      <c r="I178">
        <v>177</v>
      </c>
      <c r="J178" t="s">
        <v>1624</v>
      </c>
    </row>
    <row r="179" spans="8:10" x14ac:dyDescent="0.35">
      <c r="H179" t="s">
        <v>12</v>
      </c>
      <c r="I179">
        <v>178</v>
      </c>
      <c r="J179" t="s">
        <v>1625</v>
      </c>
    </row>
    <row r="180" spans="8:10" x14ac:dyDescent="0.35">
      <c r="H180" t="s">
        <v>205</v>
      </c>
      <c r="I180">
        <v>179</v>
      </c>
      <c r="J180" t="s">
        <v>1626</v>
      </c>
    </row>
    <row r="181" spans="8:10" x14ac:dyDescent="0.35">
      <c r="H181" t="s">
        <v>89</v>
      </c>
      <c r="I181">
        <v>180</v>
      </c>
      <c r="J181" t="s">
        <v>1627</v>
      </c>
    </row>
    <row r="182" spans="8:10" x14ac:dyDescent="0.35">
      <c r="H182" t="s">
        <v>357</v>
      </c>
      <c r="I182">
        <v>181</v>
      </c>
      <c r="J182" t="s">
        <v>1628</v>
      </c>
    </row>
    <row r="183" spans="8:10" x14ac:dyDescent="0.35">
      <c r="H183" t="s">
        <v>90</v>
      </c>
      <c r="I183">
        <v>182</v>
      </c>
      <c r="J183" t="s">
        <v>1629</v>
      </c>
    </row>
    <row r="184" spans="8:10" x14ac:dyDescent="0.35">
      <c r="H184" t="s">
        <v>91</v>
      </c>
      <c r="I184">
        <v>183</v>
      </c>
      <c r="J184" t="s">
        <v>1630</v>
      </c>
    </row>
    <row r="185" spans="8:10" x14ac:dyDescent="0.35">
      <c r="H185" t="s">
        <v>326</v>
      </c>
      <c r="I185">
        <v>184</v>
      </c>
      <c r="J185" t="s">
        <v>1631</v>
      </c>
    </row>
    <row r="186" spans="8:10" x14ac:dyDescent="0.35">
      <c r="H186" t="s">
        <v>206</v>
      </c>
      <c r="I186">
        <v>185</v>
      </c>
      <c r="J186" t="s">
        <v>1632</v>
      </c>
    </row>
    <row r="187" spans="8:10" x14ac:dyDescent="0.35">
      <c r="H187" t="s">
        <v>327</v>
      </c>
      <c r="I187">
        <v>186</v>
      </c>
      <c r="J187" t="s">
        <v>1633</v>
      </c>
    </row>
    <row r="188" spans="8:10" x14ac:dyDescent="0.35">
      <c r="H188" t="s">
        <v>328</v>
      </c>
      <c r="I188">
        <v>187</v>
      </c>
      <c r="J188" t="s">
        <v>1634</v>
      </c>
    </row>
    <row r="189" spans="8:10" x14ac:dyDescent="0.35">
      <c r="H189" t="s">
        <v>799</v>
      </c>
      <c r="I189">
        <v>188</v>
      </c>
      <c r="J189" t="s">
        <v>1635</v>
      </c>
    </row>
    <row r="190" spans="8:10" x14ac:dyDescent="0.35">
      <c r="H190" t="s">
        <v>92</v>
      </c>
      <c r="I190">
        <v>189</v>
      </c>
      <c r="J190" t="s">
        <v>1636</v>
      </c>
    </row>
    <row r="191" spans="8:10" x14ac:dyDescent="0.35">
      <c r="H191" t="s">
        <v>800</v>
      </c>
      <c r="I191">
        <v>190</v>
      </c>
      <c r="J191" t="s">
        <v>1637</v>
      </c>
    </row>
    <row r="192" spans="8:10" x14ac:dyDescent="0.35">
      <c r="H192" t="s">
        <v>13</v>
      </c>
      <c r="I192">
        <v>191</v>
      </c>
      <c r="J192" t="s">
        <v>1638</v>
      </c>
    </row>
    <row r="193" spans="8:10" x14ac:dyDescent="0.35">
      <c r="H193" t="s">
        <v>207</v>
      </c>
      <c r="I193">
        <v>192</v>
      </c>
      <c r="J193" t="s">
        <v>1639</v>
      </c>
    </row>
    <row r="194" spans="8:10" x14ac:dyDescent="0.35">
      <c r="H194" t="s">
        <v>329</v>
      </c>
      <c r="I194">
        <v>193</v>
      </c>
      <c r="J194" t="s">
        <v>1640</v>
      </c>
    </row>
    <row r="195" spans="8:10" x14ac:dyDescent="0.35">
      <c r="H195" t="s">
        <v>208</v>
      </c>
      <c r="I195">
        <v>194</v>
      </c>
      <c r="J195" t="s">
        <v>1641</v>
      </c>
    </row>
    <row r="196" spans="8:10" x14ac:dyDescent="0.35">
      <c r="H196" t="s">
        <v>209</v>
      </c>
      <c r="I196">
        <v>195</v>
      </c>
      <c r="J196" t="s">
        <v>1642</v>
      </c>
    </row>
    <row r="197" spans="8:10" x14ac:dyDescent="0.35">
      <c r="H197" t="s">
        <v>801</v>
      </c>
      <c r="I197">
        <v>196</v>
      </c>
      <c r="J197" t="s">
        <v>1643</v>
      </c>
    </row>
    <row r="198" spans="8:10" x14ac:dyDescent="0.35">
      <c r="H198" t="s">
        <v>330</v>
      </c>
      <c r="I198">
        <v>197</v>
      </c>
      <c r="J198" t="s">
        <v>1644</v>
      </c>
    </row>
    <row r="199" spans="8:10" x14ac:dyDescent="0.35">
      <c r="H199" t="s">
        <v>804</v>
      </c>
      <c r="I199">
        <v>198</v>
      </c>
      <c r="J199" t="s">
        <v>1645</v>
      </c>
    </row>
    <row r="200" spans="8:10" x14ac:dyDescent="0.35">
      <c r="H200" t="s">
        <v>805</v>
      </c>
      <c r="I200">
        <v>199</v>
      </c>
      <c r="J200" t="s">
        <v>1646</v>
      </c>
    </row>
    <row r="201" spans="8:10" x14ac:dyDescent="0.35">
      <c r="H201" t="s">
        <v>383</v>
      </c>
      <c r="I201">
        <v>200</v>
      </c>
      <c r="J201" t="s">
        <v>1647</v>
      </c>
    </row>
    <row r="202" spans="8:10" x14ac:dyDescent="0.35">
      <c r="H202" t="s">
        <v>210</v>
      </c>
      <c r="I202">
        <v>201</v>
      </c>
      <c r="J202" t="s">
        <v>1648</v>
      </c>
    </row>
    <row r="203" spans="8:10" x14ac:dyDescent="0.35">
      <c r="H203" t="s">
        <v>471</v>
      </c>
      <c r="I203">
        <v>202</v>
      </c>
      <c r="J203" t="s">
        <v>1649</v>
      </c>
    </row>
    <row r="204" spans="8:10" x14ac:dyDescent="0.35">
      <c r="H204" t="s">
        <v>806</v>
      </c>
      <c r="I204">
        <v>203</v>
      </c>
      <c r="J204" t="s">
        <v>1650</v>
      </c>
    </row>
    <row r="205" spans="8:10" x14ac:dyDescent="0.35">
      <c r="H205" t="s">
        <v>211</v>
      </c>
      <c r="I205">
        <v>204</v>
      </c>
      <c r="J205" t="s">
        <v>1651</v>
      </c>
    </row>
    <row r="206" spans="8:10" x14ac:dyDescent="0.35">
      <c r="H206" t="s">
        <v>212</v>
      </c>
      <c r="I206">
        <v>205</v>
      </c>
      <c r="J206" t="s">
        <v>1652</v>
      </c>
    </row>
    <row r="207" spans="8:10" x14ac:dyDescent="0.35">
      <c r="H207" t="s">
        <v>93</v>
      </c>
      <c r="I207">
        <v>206</v>
      </c>
      <c r="J207" t="s">
        <v>1653</v>
      </c>
    </row>
    <row r="208" spans="8:10" x14ac:dyDescent="0.35">
      <c r="H208" t="s">
        <v>163</v>
      </c>
      <c r="I208">
        <v>207</v>
      </c>
      <c r="J208" t="s">
        <v>1654</v>
      </c>
    </row>
    <row r="209" spans="8:10" x14ac:dyDescent="0.35">
      <c r="H209" t="s">
        <v>213</v>
      </c>
      <c r="I209">
        <v>208</v>
      </c>
      <c r="J209" t="s">
        <v>1655</v>
      </c>
    </row>
    <row r="210" spans="8:10" x14ac:dyDescent="0.35">
      <c r="H210" t="s">
        <v>214</v>
      </c>
      <c r="I210">
        <v>209</v>
      </c>
      <c r="J210" t="s">
        <v>1656</v>
      </c>
    </row>
    <row r="211" spans="8:10" x14ac:dyDescent="0.35">
      <c r="H211" t="s">
        <v>215</v>
      </c>
      <c r="I211">
        <v>210</v>
      </c>
      <c r="J211" t="s">
        <v>1657</v>
      </c>
    </row>
    <row r="212" spans="8:10" x14ac:dyDescent="0.35">
      <c r="H212" t="s">
        <v>216</v>
      </c>
      <c r="I212">
        <v>211</v>
      </c>
      <c r="J212" t="s">
        <v>1658</v>
      </c>
    </row>
    <row r="213" spans="8:10" x14ac:dyDescent="0.35">
      <c r="H213" t="s">
        <v>807</v>
      </c>
      <c r="I213">
        <v>212</v>
      </c>
      <c r="J213" t="s">
        <v>1659</v>
      </c>
    </row>
    <row r="214" spans="8:10" x14ac:dyDescent="0.35">
      <c r="H214" t="s">
        <v>547</v>
      </c>
      <c r="I214">
        <v>213</v>
      </c>
      <c r="J214" t="s">
        <v>1660</v>
      </c>
    </row>
    <row r="215" spans="8:10" x14ac:dyDescent="0.35">
      <c r="H215" t="s">
        <v>504</v>
      </c>
      <c r="I215">
        <v>214</v>
      </c>
      <c r="J215" t="s">
        <v>1661</v>
      </c>
    </row>
    <row r="216" spans="8:10" x14ac:dyDescent="0.35">
      <c r="H216" t="s">
        <v>14</v>
      </c>
      <c r="I216">
        <v>215</v>
      </c>
      <c r="J216" t="s">
        <v>1662</v>
      </c>
    </row>
    <row r="217" spans="8:10" x14ac:dyDescent="0.35">
      <c r="H217" t="s">
        <v>15</v>
      </c>
      <c r="I217">
        <v>216</v>
      </c>
      <c r="J217" t="s">
        <v>1663</v>
      </c>
    </row>
    <row r="218" spans="8:10" x14ac:dyDescent="0.35">
      <c r="H218" t="s">
        <v>217</v>
      </c>
      <c r="I218">
        <v>217</v>
      </c>
      <c r="J218" t="s">
        <v>1664</v>
      </c>
    </row>
    <row r="219" spans="8:10" x14ac:dyDescent="0.35">
      <c r="H219" t="s">
        <v>218</v>
      </c>
      <c r="I219">
        <v>218</v>
      </c>
      <c r="J219" t="s">
        <v>1665</v>
      </c>
    </row>
    <row r="220" spans="8:10" x14ac:dyDescent="0.35">
      <c r="H220" t="s">
        <v>219</v>
      </c>
      <c r="I220">
        <v>219</v>
      </c>
      <c r="J220" t="s">
        <v>1666</v>
      </c>
    </row>
    <row r="221" spans="8:10" x14ac:dyDescent="0.35">
      <c r="H221" t="s">
        <v>331</v>
      </c>
      <c r="I221">
        <v>220</v>
      </c>
      <c r="J221" t="s">
        <v>1667</v>
      </c>
    </row>
    <row r="222" spans="8:10" x14ac:dyDescent="0.35">
      <c r="H222" t="s">
        <v>220</v>
      </c>
      <c r="I222">
        <v>221</v>
      </c>
      <c r="J222" t="s">
        <v>1668</v>
      </c>
    </row>
    <row r="223" spans="8:10" x14ac:dyDescent="0.35">
      <c r="H223" t="s">
        <v>332</v>
      </c>
      <c r="I223">
        <v>222</v>
      </c>
      <c r="J223" t="s">
        <v>1669</v>
      </c>
    </row>
    <row r="224" spans="8:10" x14ac:dyDescent="0.35">
      <c r="H224" t="s">
        <v>221</v>
      </c>
      <c r="I224">
        <v>223</v>
      </c>
      <c r="J224" t="s">
        <v>1670</v>
      </c>
    </row>
    <row r="225" spans="8:10" x14ac:dyDescent="0.35">
      <c r="H225" t="s">
        <v>812</v>
      </c>
      <c r="I225">
        <v>224</v>
      </c>
      <c r="J225" t="s">
        <v>1671</v>
      </c>
    </row>
    <row r="226" spans="8:10" x14ac:dyDescent="0.35">
      <c r="H226" t="s">
        <v>384</v>
      </c>
      <c r="I226">
        <v>225</v>
      </c>
      <c r="J226" t="s">
        <v>1672</v>
      </c>
    </row>
    <row r="227" spans="8:10" x14ac:dyDescent="0.35">
      <c r="H227" t="s">
        <v>16</v>
      </c>
      <c r="I227">
        <v>226</v>
      </c>
      <c r="J227" t="s">
        <v>1673</v>
      </c>
    </row>
    <row r="228" spans="8:10" x14ac:dyDescent="0.35">
      <c r="H228" t="s">
        <v>94</v>
      </c>
      <c r="I228">
        <v>227</v>
      </c>
      <c r="J228" t="s">
        <v>1674</v>
      </c>
    </row>
    <row r="229" spans="8:10" x14ac:dyDescent="0.35">
      <c r="H229" t="s">
        <v>813</v>
      </c>
      <c r="I229">
        <v>228</v>
      </c>
      <c r="J229" t="s">
        <v>1675</v>
      </c>
    </row>
    <row r="230" spans="8:10" x14ac:dyDescent="0.35">
      <c r="H230" t="s">
        <v>222</v>
      </c>
      <c r="I230">
        <v>229</v>
      </c>
      <c r="J230" t="s">
        <v>1676</v>
      </c>
    </row>
    <row r="231" spans="8:10" x14ac:dyDescent="0.35">
      <c r="H231" t="s">
        <v>95</v>
      </c>
      <c r="I231">
        <v>230</v>
      </c>
      <c r="J231" t="s">
        <v>1677</v>
      </c>
    </row>
    <row r="232" spans="8:10" x14ac:dyDescent="0.35">
      <c r="H232" t="s">
        <v>333</v>
      </c>
      <c r="I232">
        <v>231</v>
      </c>
      <c r="J232" t="s">
        <v>1678</v>
      </c>
    </row>
    <row r="233" spans="8:10" x14ac:dyDescent="0.35">
      <c r="H233" t="s">
        <v>617</v>
      </c>
      <c r="I233">
        <v>232</v>
      </c>
      <c r="J233" t="s">
        <v>1679</v>
      </c>
    </row>
    <row r="234" spans="8:10" x14ac:dyDescent="0.35">
      <c r="H234" t="s">
        <v>96</v>
      </c>
      <c r="I234">
        <v>233</v>
      </c>
      <c r="J234" t="s">
        <v>1680</v>
      </c>
    </row>
    <row r="235" spans="8:10" x14ac:dyDescent="0.35">
      <c r="H235" t="s">
        <v>97</v>
      </c>
      <c r="I235">
        <v>234</v>
      </c>
      <c r="J235" t="s">
        <v>1681</v>
      </c>
    </row>
    <row r="236" spans="8:10" x14ac:dyDescent="0.35">
      <c r="H236" t="s">
        <v>223</v>
      </c>
      <c r="I236">
        <v>235</v>
      </c>
      <c r="J236" t="s">
        <v>1682</v>
      </c>
    </row>
    <row r="237" spans="8:10" x14ac:dyDescent="0.35">
      <c r="H237" t="s">
        <v>224</v>
      </c>
      <c r="I237">
        <v>236</v>
      </c>
      <c r="J237" t="s">
        <v>1683</v>
      </c>
    </row>
    <row r="238" spans="8:10" x14ac:dyDescent="0.35">
      <c r="H238" t="s">
        <v>225</v>
      </c>
      <c r="I238">
        <v>237</v>
      </c>
      <c r="J238" t="s">
        <v>1684</v>
      </c>
    </row>
    <row r="239" spans="8:10" x14ac:dyDescent="0.35">
      <c r="H239" t="s">
        <v>548</v>
      </c>
      <c r="I239">
        <v>238</v>
      </c>
      <c r="J239" t="s">
        <v>1685</v>
      </c>
    </row>
    <row r="240" spans="8:10" x14ac:dyDescent="0.35">
      <c r="H240" t="s">
        <v>814</v>
      </c>
      <c r="I240">
        <v>239</v>
      </c>
      <c r="J240" t="s">
        <v>1686</v>
      </c>
    </row>
    <row r="241" spans="8:10" x14ac:dyDescent="0.35">
      <c r="H241" t="s">
        <v>226</v>
      </c>
      <c r="I241">
        <v>240</v>
      </c>
      <c r="J241" t="s">
        <v>1687</v>
      </c>
    </row>
    <row r="242" spans="8:10" x14ac:dyDescent="0.35">
      <c r="H242" t="s">
        <v>358</v>
      </c>
      <c r="I242">
        <v>241</v>
      </c>
      <c r="J242" t="s">
        <v>1688</v>
      </c>
    </row>
    <row r="243" spans="8:10" x14ac:dyDescent="0.35">
      <c r="H243" t="s">
        <v>815</v>
      </c>
      <c r="I243">
        <v>242</v>
      </c>
      <c r="J243" t="s">
        <v>1689</v>
      </c>
    </row>
    <row r="244" spans="8:10" x14ac:dyDescent="0.35">
      <c r="H244" t="s">
        <v>98</v>
      </c>
      <c r="I244">
        <v>243</v>
      </c>
      <c r="J244" t="s">
        <v>1690</v>
      </c>
    </row>
    <row r="245" spans="8:10" x14ac:dyDescent="0.35">
      <c r="H245" t="s">
        <v>17</v>
      </c>
      <c r="I245">
        <v>244</v>
      </c>
      <c r="J245" t="s">
        <v>1691</v>
      </c>
    </row>
    <row r="246" spans="8:10" x14ac:dyDescent="0.35">
      <c r="H246" t="s">
        <v>503</v>
      </c>
      <c r="I246">
        <v>245</v>
      </c>
      <c r="J246" t="s">
        <v>1692</v>
      </c>
    </row>
    <row r="247" spans="8:10" x14ac:dyDescent="0.35">
      <c r="H247" t="s">
        <v>164</v>
      </c>
      <c r="I247">
        <v>246</v>
      </c>
      <c r="J247" t="s">
        <v>1693</v>
      </c>
    </row>
    <row r="248" spans="8:10" x14ac:dyDescent="0.35">
      <c r="H248" t="s">
        <v>99</v>
      </c>
      <c r="I248">
        <v>247</v>
      </c>
      <c r="J248" t="s">
        <v>1694</v>
      </c>
    </row>
    <row r="249" spans="8:10" x14ac:dyDescent="0.35">
      <c r="H249" t="s">
        <v>100</v>
      </c>
      <c r="I249">
        <v>248</v>
      </c>
      <c r="J249" t="s">
        <v>1695</v>
      </c>
    </row>
    <row r="250" spans="8:10" x14ac:dyDescent="0.35">
      <c r="H250" t="s">
        <v>334</v>
      </c>
      <c r="I250">
        <v>249</v>
      </c>
      <c r="J250" t="s">
        <v>1696</v>
      </c>
    </row>
    <row r="251" spans="8:10" x14ac:dyDescent="0.35">
      <c r="H251" t="s">
        <v>101</v>
      </c>
      <c r="I251">
        <v>250</v>
      </c>
      <c r="J251" t="s">
        <v>1697</v>
      </c>
    </row>
    <row r="252" spans="8:10" x14ac:dyDescent="0.35">
      <c r="H252" t="s">
        <v>227</v>
      </c>
      <c r="I252">
        <v>251</v>
      </c>
      <c r="J252" t="s">
        <v>1698</v>
      </c>
    </row>
    <row r="253" spans="8:10" x14ac:dyDescent="0.35">
      <c r="H253" t="s">
        <v>228</v>
      </c>
      <c r="I253">
        <v>252</v>
      </c>
      <c r="J253" t="s">
        <v>1699</v>
      </c>
    </row>
    <row r="254" spans="8:10" x14ac:dyDescent="0.35">
      <c r="H254" t="s">
        <v>816</v>
      </c>
      <c r="I254">
        <v>253</v>
      </c>
      <c r="J254" t="s">
        <v>1700</v>
      </c>
    </row>
    <row r="255" spans="8:10" x14ac:dyDescent="0.35">
      <c r="H255" t="s">
        <v>359</v>
      </c>
      <c r="I255">
        <v>254</v>
      </c>
      <c r="J255" t="s">
        <v>1701</v>
      </c>
    </row>
    <row r="256" spans="8:10" x14ac:dyDescent="0.35">
      <c r="H256" t="s">
        <v>102</v>
      </c>
      <c r="I256">
        <v>255</v>
      </c>
      <c r="J256" t="s">
        <v>1702</v>
      </c>
    </row>
    <row r="257" spans="8:10" x14ac:dyDescent="0.35">
      <c r="H257" t="s">
        <v>229</v>
      </c>
      <c r="I257">
        <v>256</v>
      </c>
      <c r="J257" t="s">
        <v>1703</v>
      </c>
    </row>
    <row r="258" spans="8:10" x14ac:dyDescent="0.35">
      <c r="H258" t="s">
        <v>817</v>
      </c>
      <c r="I258">
        <v>257</v>
      </c>
      <c r="J258" t="s">
        <v>1704</v>
      </c>
    </row>
    <row r="259" spans="8:10" x14ac:dyDescent="0.35">
      <c r="H259" t="s">
        <v>103</v>
      </c>
      <c r="I259">
        <v>258</v>
      </c>
      <c r="J259" t="s">
        <v>1705</v>
      </c>
    </row>
    <row r="260" spans="8:10" x14ac:dyDescent="0.35">
      <c r="H260" t="s">
        <v>818</v>
      </c>
      <c r="I260">
        <v>259</v>
      </c>
      <c r="J260" t="s">
        <v>1706</v>
      </c>
    </row>
    <row r="261" spans="8:10" x14ac:dyDescent="0.35">
      <c r="H261" t="s">
        <v>575</v>
      </c>
      <c r="I261">
        <v>260</v>
      </c>
      <c r="J261" t="s">
        <v>1707</v>
      </c>
    </row>
    <row r="262" spans="8:10" x14ac:dyDescent="0.35">
      <c r="H262" t="s">
        <v>819</v>
      </c>
      <c r="I262">
        <v>261</v>
      </c>
      <c r="J262" t="s">
        <v>1708</v>
      </c>
    </row>
    <row r="263" spans="8:10" x14ac:dyDescent="0.35">
      <c r="H263" t="s">
        <v>104</v>
      </c>
      <c r="I263">
        <v>262</v>
      </c>
      <c r="J263" t="s">
        <v>1709</v>
      </c>
    </row>
    <row r="264" spans="8:10" x14ac:dyDescent="0.35">
      <c r="H264" t="s">
        <v>18</v>
      </c>
      <c r="I264">
        <v>263</v>
      </c>
      <c r="J264" t="s">
        <v>1710</v>
      </c>
    </row>
    <row r="265" spans="8:10" x14ac:dyDescent="0.35">
      <c r="H265" t="s">
        <v>820</v>
      </c>
      <c r="I265">
        <v>264</v>
      </c>
      <c r="J265" t="s">
        <v>1711</v>
      </c>
    </row>
    <row r="266" spans="8:10" x14ac:dyDescent="0.35">
      <c r="H266" t="s">
        <v>105</v>
      </c>
      <c r="I266">
        <v>265</v>
      </c>
      <c r="J266" t="s">
        <v>1712</v>
      </c>
    </row>
    <row r="267" spans="8:10" x14ac:dyDescent="0.35">
      <c r="H267" t="s">
        <v>106</v>
      </c>
      <c r="I267">
        <v>266</v>
      </c>
      <c r="J267" t="s">
        <v>1713</v>
      </c>
    </row>
    <row r="268" spans="8:10" x14ac:dyDescent="0.35">
      <c r="H268" t="s">
        <v>230</v>
      </c>
      <c r="I268">
        <v>267</v>
      </c>
      <c r="J268" t="s">
        <v>1714</v>
      </c>
    </row>
    <row r="269" spans="8:10" x14ac:dyDescent="0.35">
      <c r="H269" t="s">
        <v>107</v>
      </c>
      <c r="I269">
        <v>268</v>
      </c>
      <c r="J269" t="s">
        <v>1715</v>
      </c>
    </row>
    <row r="270" spans="8:10" x14ac:dyDescent="0.35">
      <c r="H270" t="s">
        <v>821</v>
      </c>
      <c r="I270">
        <v>269</v>
      </c>
      <c r="J270" t="s">
        <v>1716</v>
      </c>
    </row>
    <row r="271" spans="8:10" x14ac:dyDescent="0.35">
      <c r="H271" t="s">
        <v>19</v>
      </c>
      <c r="I271">
        <v>270</v>
      </c>
      <c r="J271" t="s">
        <v>1717</v>
      </c>
    </row>
    <row r="272" spans="8:10" x14ac:dyDescent="0.35">
      <c r="H272" t="s">
        <v>108</v>
      </c>
      <c r="I272">
        <v>271</v>
      </c>
      <c r="J272" t="s">
        <v>1718</v>
      </c>
    </row>
    <row r="273" spans="8:10" x14ac:dyDescent="0.35">
      <c r="H273" t="s">
        <v>20</v>
      </c>
      <c r="I273">
        <v>272</v>
      </c>
      <c r="J273" t="s">
        <v>1719</v>
      </c>
    </row>
    <row r="274" spans="8:10" x14ac:dyDescent="0.35">
      <c r="H274" t="s">
        <v>21</v>
      </c>
      <c r="I274">
        <v>273</v>
      </c>
      <c r="J274" t="s">
        <v>1720</v>
      </c>
    </row>
    <row r="275" spans="8:10" x14ac:dyDescent="0.35">
      <c r="H275" t="s">
        <v>109</v>
      </c>
      <c r="I275">
        <v>274</v>
      </c>
      <c r="J275" t="s">
        <v>1721</v>
      </c>
    </row>
    <row r="276" spans="8:10" x14ac:dyDescent="0.35">
      <c r="H276" t="s">
        <v>231</v>
      </c>
      <c r="I276">
        <v>275</v>
      </c>
      <c r="J276" t="s">
        <v>1722</v>
      </c>
    </row>
    <row r="277" spans="8:10" x14ac:dyDescent="0.35">
      <c r="H277" t="s">
        <v>360</v>
      </c>
      <c r="I277">
        <v>276</v>
      </c>
      <c r="J277" t="s">
        <v>1723</v>
      </c>
    </row>
    <row r="278" spans="8:10" x14ac:dyDescent="0.35">
      <c r="H278" t="s">
        <v>822</v>
      </c>
      <c r="I278">
        <v>277</v>
      </c>
      <c r="J278" t="s">
        <v>1724</v>
      </c>
    </row>
    <row r="279" spans="8:10" x14ac:dyDescent="0.35">
      <c r="H279" t="s">
        <v>232</v>
      </c>
      <c r="I279">
        <v>278</v>
      </c>
      <c r="J279" t="s">
        <v>1725</v>
      </c>
    </row>
    <row r="280" spans="8:10" x14ac:dyDescent="0.35">
      <c r="H280" t="s">
        <v>233</v>
      </c>
      <c r="I280">
        <v>279</v>
      </c>
      <c r="J280" t="s">
        <v>1726</v>
      </c>
    </row>
    <row r="281" spans="8:10" x14ac:dyDescent="0.35">
      <c r="H281" t="s">
        <v>110</v>
      </c>
      <c r="I281">
        <v>280</v>
      </c>
      <c r="J281" t="s">
        <v>1727</v>
      </c>
    </row>
    <row r="282" spans="8:10" x14ac:dyDescent="0.35">
      <c r="H282" t="s">
        <v>823</v>
      </c>
      <c r="I282">
        <v>281</v>
      </c>
      <c r="J282" t="s">
        <v>1728</v>
      </c>
    </row>
    <row r="283" spans="8:10" x14ac:dyDescent="0.35">
      <c r="H283" t="s">
        <v>22</v>
      </c>
      <c r="I283">
        <v>282</v>
      </c>
      <c r="J283" t="s">
        <v>1729</v>
      </c>
    </row>
    <row r="284" spans="8:10" x14ac:dyDescent="0.35">
      <c r="H284" t="s">
        <v>234</v>
      </c>
      <c r="I284">
        <v>283</v>
      </c>
      <c r="J284" t="s">
        <v>1730</v>
      </c>
    </row>
    <row r="285" spans="8:10" x14ac:dyDescent="0.35">
      <c r="H285" t="s">
        <v>618</v>
      </c>
      <c r="I285">
        <v>284</v>
      </c>
      <c r="J285" t="s">
        <v>1731</v>
      </c>
    </row>
    <row r="286" spans="8:10" x14ac:dyDescent="0.35">
      <c r="H286" t="s">
        <v>385</v>
      </c>
      <c r="I286">
        <v>285</v>
      </c>
      <c r="J286" t="s">
        <v>1732</v>
      </c>
    </row>
    <row r="287" spans="8:10" x14ac:dyDescent="0.35">
      <c r="H287" t="s">
        <v>235</v>
      </c>
      <c r="I287">
        <v>286</v>
      </c>
      <c r="J287" t="s">
        <v>1733</v>
      </c>
    </row>
    <row r="288" spans="8:10" x14ac:dyDescent="0.35">
      <c r="H288" t="s">
        <v>824</v>
      </c>
      <c r="I288">
        <v>287</v>
      </c>
      <c r="J288" t="s">
        <v>1734</v>
      </c>
    </row>
    <row r="289" spans="8:10" x14ac:dyDescent="0.35">
      <c r="H289" t="s">
        <v>825</v>
      </c>
      <c r="I289">
        <v>288</v>
      </c>
      <c r="J289" t="s">
        <v>1735</v>
      </c>
    </row>
    <row r="290" spans="8:10" x14ac:dyDescent="0.35">
      <c r="H290" t="s">
        <v>826</v>
      </c>
      <c r="I290">
        <v>289</v>
      </c>
      <c r="J290" t="s">
        <v>1736</v>
      </c>
    </row>
    <row r="291" spans="8:10" x14ac:dyDescent="0.35">
      <c r="H291" t="s">
        <v>827</v>
      </c>
      <c r="I291">
        <v>290</v>
      </c>
      <c r="J291" t="s">
        <v>1737</v>
      </c>
    </row>
    <row r="292" spans="8:10" x14ac:dyDescent="0.35">
      <c r="H292" t="s">
        <v>361</v>
      </c>
      <c r="I292">
        <v>291</v>
      </c>
      <c r="J292" t="s">
        <v>1738</v>
      </c>
    </row>
    <row r="293" spans="8:10" x14ac:dyDescent="0.35">
      <c r="H293" t="s">
        <v>828</v>
      </c>
      <c r="I293">
        <v>292</v>
      </c>
      <c r="J293" t="s">
        <v>1739</v>
      </c>
    </row>
    <row r="294" spans="8:10" x14ac:dyDescent="0.35">
      <c r="H294" t="s">
        <v>616</v>
      </c>
      <c r="I294">
        <v>293</v>
      </c>
      <c r="J294" t="s">
        <v>1740</v>
      </c>
    </row>
    <row r="295" spans="8:10" x14ac:dyDescent="0.35">
      <c r="H295" t="s">
        <v>236</v>
      </c>
      <c r="I295">
        <v>294</v>
      </c>
      <c r="J295" t="s">
        <v>1741</v>
      </c>
    </row>
    <row r="296" spans="8:10" x14ac:dyDescent="0.35">
      <c r="H296" t="s">
        <v>237</v>
      </c>
      <c r="I296">
        <v>295</v>
      </c>
      <c r="J296" t="s">
        <v>1742</v>
      </c>
    </row>
    <row r="297" spans="8:10" x14ac:dyDescent="0.35">
      <c r="H297" t="s">
        <v>829</v>
      </c>
      <c r="I297">
        <v>296</v>
      </c>
      <c r="J297" t="s">
        <v>1743</v>
      </c>
    </row>
    <row r="298" spans="8:10" x14ac:dyDescent="0.35">
      <c r="H298" t="s">
        <v>591</v>
      </c>
      <c r="I298">
        <v>297</v>
      </c>
      <c r="J298" t="s">
        <v>1744</v>
      </c>
    </row>
    <row r="299" spans="8:10" x14ac:dyDescent="0.35">
      <c r="H299" t="s">
        <v>830</v>
      </c>
      <c r="I299">
        <v>298</v>
      </c>
      <c r="J299" t="s">
        <v>1745</v>
      </c>
    </row>
    <row r="300" spans="8:10" x14ac:dyDescent="0.35">
      <c r="H300" t="s">
        <v>238</v>
      </c>
      <c r="I300">
        <v>299</v>
      </c>
      <c r="J300" t="s">
        <v>1746</v>
      </c>
    </row>
    <row r="301" spans="8:10" x14ac:dyDescent="0.35">
      <c r="H301" t="s">
        <v>239</v>
      </c>
      <c r="I301">
        <v>300</v>
      </c>
      <c r="J301" t="s">
        <v>1747</v>
      </c>
    </row>
    <row r="302" spans="8:10" x14ac:dyDescent="0.35">
      <c r="H302" t="s">
        <v>831</v>
      </c>
      <c r="I302">
        <v>301</v>
      </c>
      <c r="J302" t="s">
        <v>1748</v>
      </c>
    </row>
    <row r="303" spans="8:10" x14ac:dyDescent="0.35">
      <c r="H303" t="s">
        <v>23</v>
      </c>
      <c r="I303">
        <v>302</v>
      </c>
      <c r="J303" t="s">
        <v>1749</v>
      </c>
    </row>
    <row r="304" spans="8:10" x14ac:dyDescent="0.35">
      <c r="H304" t="s">
        <v>832</v>
      </c>
      <c r="I304">
        <v>303</v>
      </c>
      <c r="J304" t="s">
        <v>1750</v>
      </c>
    </row>
    <row r="305" spans="8:10" x14ac:dyDescent="0.35">
      <c r="H305" t="s">
        <v>240</v>
      </c>
      <c r="I305">
        <v>304</v>
      </c>
      <c r="J305" t="s">
        <v>1751</v>
      </c>
    </row>
    <row r="306" spans="8:10" x14ac:dyDescent="0.35">
      <c r="H306" t="s">
        <v>833</v>
      </c>
      <c r="I306">
        <v>305</v>
      </c>
      <c r="J306" t="s">
        <v>1752</v>
      </c>
    </row>
    <row r="307" spans="8:10" x14ac:dyDescent="0.35">
      <c r="H307" t="s">
        <v>549</v>
      </c>
      <c r="I307">
        <v>306</v>
      </c>
      <c r="J307" t="s">
        <v>1753</v>
      </c>
    </row>
    <row r="308" spans="8:10" x14ac:dyDescent="0.35">
      <c r="H308" t="s">
        <v>241</v>
      </c>
      <c r="I308">
        <v>307</v>
      </c>
      <c r="J308" t="s">
        <v>1754</v>
      </c>
    </row>
    <row r="309" spans="8:10" x14ac:dyDescent="0.35">
      <c r="H309" t="s">
        <v>111</v>
      </c>
      <c r="I309">
        <v>308</v>
      </c>
      <c r="J309" t="s">
        <v>1755</v>
      </c>
    </row>
    <row r="310" spans="8:10" x14ac:dyDescent="0.35">
      <c r="H310" t="s">
        <v>242</v>
      </c>
      <c r="I310">
        <v>309</v>
      </c>
      <c r="J310" t="s">
        <v>1756</v>
      </c>
    </row>
    <row r="311" spans="8:10" x14ac:dyDescent="0.35">
      <c r="H311" t="s">
        <v>834</v>
      </c>
      <c r="I311">
        <v>310</v>
      </c>
      <c r="J311" t="s">
        <v>1757</v>
      </c>
    </row>
    <row r="312" spans="8:10" x14ac:dyDescent="0.35">
      <c r="H312" t="s">
        <v>335</v>
      </c>
      <c r="I312">
        <v>311</v>
      </c>
      <c r="J312" t="s">
        <v>1758</v>
      </c>
    </row>
    <row r="313" spans="8:10" x14ac:dyDescent="0.35">
      <c r="H313" t="s">
        <v>112</v>
      </c>
      <c r="I313">
        <v>312</v>
      </c>
      <c r="J313" t="s">
        <v>1759</v>
      </c>
    </row>
    <row r="314" spans="8:10" x14ac:dyDescent="0.35">
      <c r="H314" t="s">
        <v>165</v>
      </c>
      <c r="I314">
        <v>313</v>
      </c>
      <c r="J314" t="s">
        <v>1760</v>
      </c>
    </row>
    <row r="315" spans="8:10" x14ac:dyDescent="0.35">
      <c r="H315" t="s">
        <v>835</v>
      </c>
      <c r="I315">
        <v>314</v>
      </c>
      <c r="J315" t="s">
        <v>1761</v>
      </c>
    </row>
    <row r="316" spans="8:10" x14ac:dyDescent="0.35">
      <c r="H316" t="s">
        <v>836</v>
      </c>
      <c r="I316">
        <v>315</v>
      </c>
      <c r="J316" t="s">
        <v>1762</v>
      </c>
    </row>
    <row r="317" spans="8:10" x14ac:dyDescent="0.35">
      <c r="H317" t="s">
        <v>243</v>
      </c>
      <c r="I317">
        <v>316</v>
      </c>
      <c r="J317" t="s">
        <v>1763</v>
      </c>
    </row>
    <row r="318" spans="8:10" x14ac:dyDescent="0.35">
      <c r="H318" t="s">
        <v>336</v>
      </c>
      <c r="I318">
        <v>317</v>
      </c>
      <c r="J318" t="s">
        <v>1764</v>
      </c>
    </row>
    <row r="319" spans="8:10" x14ac:dyDescent="0.35">
      <c r="H319" t="s">
        <v>837</v>
      </c>
      <c r="I319">
        <v>318</v>
      </c>
      <c r="J319" t="s">
        <v>1765</v>
      </c>
    </row>
    <row r="320" spans="8:10" x14ac:dyDescent="0.35">
      <c r="H320" t="s">
        <v>521</v>
      </c>
      <c r="I320">
        <v>319</v>
      </c>
      <c r="J320" t="s">
        <v>1766</v>
      </c>
    </row>
    <row r="321" spans="8:10" x14ac:dyDescent="0.35">
      <c r="H321" t="s">
        <v>244</v>
      </c>
      <c r="I321">
        <v>320</v>
      </c>
      <c r="J321" t="s">
        <v>1767</v>
      </c>
    </row>
    <row r="322" spans="8:10" x14ac:dyDescent="0.35">
      <c r="H322" t="s">
        <v>362</v>
      </c>
      <c r="I322">
        <v>321</v>
      </c>
      <c r="J322" t="s">
        <v>1768</v>
      </c>
    </row>
    <row r="323" spans="8:10" x14ac:dyDescent="0.35">
      <c r="H323" t="s">
        <v>245</v>
      </c>
      <c r="I323">
        <v>322</v>
      </c>
      <c r="J323" t="s">
        <v>1769</v>
      </c>
    </row>
    <row r="324" spans="8:10" x14ac:dyDescent="0.35">
      <c r="H324" t="s">
        <v>838</v>
      </c>
      <c r="I324">
        <v>323</v>
      </c>
      <c r="J324" t="s">
        <v>1770</v>
      </c>
    </row>
    <row r="325" spans="8:10" x14ac:dyDescent="0.35">
      <c r="H325" t="s">
        <v>246</v>
      </c>
      <c r="I325">
        <v>324</v>
      </c>
      <c r="J325" t="s">
        <v>1771</v>
      </c>
    </row>
    <row r="326" spans="8:10" x14ac:dyDescent="0.35">
      <c r="H326" t="s">
        <v>337</v>
      </c>
      <c r="I326">
        <v>325</v>
      </c>
      <c r="J326" t="s">
        <v>1772</v>
      </c>
    </row>
    <row r="327" spans="8:10" x14ac:dyDescent="0.35">
      <c r="H327" t="s">
        <v>839</v>
      </c>
      <c r="I327">
        <v>326</v>
      </c>
      <c r="J327" t="s">
        <v>1773</v>
      </c>
    </row>
    <row r="328" spans="8:10" x14ac:dyDescent="0.35">
      <c r="H328" t="s">
        <v>247</v>
      </c>
      <c r="I328">
        <v>327</v>
      </c>
      <c r="J328" t="s">
        <v>1774</v>
      </c>
    </row>
    <row r="329" spans="8:10" x14ac:dyDescent="0.35">
      <c r="H329" t="s">
        <v>386</v>
      </c>
      <c r="I329">
        <v>328</v>
      </c>
      <c r="J329" t="s">
        <v>1775</v>
      </c>
    </row>
    <row r="330" spans="8:10" x14ac:dyDescent="0.35">
      <c r="H330" t="s">
        <v>363</v>
      </c>
      <c r="I330">
        <v>329</v>
      </c>
      <c r="J330" t="s">
        <v>1776</v>
      </c>
    </row>
    <row r="331" spans="8:10" x14ac:dyDescent="0.35">
      <c r="H331" t="s">
        <v>840</v>
      </c>
      <c r="I331">
        <v>330</v>
      </c>
      <c r="J331" t="s">
        <v>1777</v>
      </c>
    </row>
    <row r="332" spans="8:10" x14ac:dyDescent="0.35">
      <c r="H332" t="s">
        <v>113</v>
      </c>
      <c r="I332">
        <v>331</v>
      </c>
      <c r="J332" t="s">
        <v>1778</v>
      </c>
    </row>
    <row r="333" spans="8:10" x14ac:dyDescent="0.35">
      <c r="H333" t="s">
        <v>841</v>
      </c>
      <c r="I333">
        <v>332</v>
      </c>
      <c r="J333" t="s">
        <v>1779</v>
      </c>
    </row>
    <row r="334" spans="8:10" x14ac:dyDescent="0.35">
      <c r="H334" t="s">
        <v>248</v>
      </c>
      <c r="I334">
        <v>333</v>
      </c>
      <c r="J334" t="s">
        <v>1780</v>
      </c>
    </row>
    <row r="335" spans="8:10" x14ac:dyDescent="0.35">
      <c r="H335" t="s">
        <v>114</v>
      </c>
      <c r="I335">
        <v>334</v>
      </c>
      <c r="J335" t="s">
        <v>1781</v>
      </c>
    </row>
    <row r="336" spans="8:10" x14ac:dyDescent="0.35">
      <c r="H336" t="s">
        <v>338</v>
      </c>
      <c r="I336">
        <v>335</v>
      </c>
      <c r="J336" t="s">
        <v>1782</v>
      </c>
    </row>
    <row r="337" spans="8:10" x14ac:dyDescent="0.35">
      <c r="H337" t="s">
        <v>842</v>
      </c>
      <c r="I337">
        <v>336</v>
      </c>
      <c r="J337" t="s">
        <v>1783</v>
      </c>
    </row>
    <row r="338" spans="8:10" x14ac:dyDescent="0.35">
      <c r="H338" t="s">
        <v>387</v>
      </c>
      <c r="I338">
        <v>337</v>
      </c>
      <c r="J338" t="s">
        <v>1784</v>
      </c>
    </row>
    <row r="339" spans="8:10" x14ac:dyDescent="0.35">
      <c r="H339" t="s">
        <v>115</v>
      </c>
      <c r="I339">
        <v>338</v>
      </c>
      <c r="J339" t="s">
        <v>1785</v>
      </c>
    </row>
    <row r="340" spans="8:10" x14ac:dyDescent="0.35">
      <c r="H340" t="s">
        <v>843</v>
      </c>
      <c r="I340">
        <v>339</v>
      </c>
      <c r="J340" t="s">
        <v>1786</v>
      </c>
    </row>
    <row r="341" spans="8:10" x14ac:dyDescent="0.35">
      <c r="H341" t="s">
        <v>638</v>
      </c>
      <c r="I341">
        <v>340</v>
      </c>
      <c r="J341" t="s">
        <v>1787</v>
      </c>
    </row>
    <row r="342" spans="8:10" x14ac:dyDescent="0.35">
      <c r="H342" t="s">
        <v>249</v>
      </c>
      <c r="I342">
        <v>341</v>
      </c>
      <c r="J342" t="s">
        <v>1788</v>
      </c>
    </row>
    <row r="343" spans="8:10" x14ac:dyDescent="0.35">
      <c r="H343" t="s">
        <v>250</v>
      </c>
      <c r="I343">
        <v>342</v>
      </c>
      <c r="J343" t="s">
        <v>1789</v>
      </c>
    </row>
    <row r="344" spans="8:10" x14ac:dyDescent="0.35">
      <c r="H344" t="s">
        <v>251</v>
      </c>
      <c r="I344">
        <v>343</v>
      </c>
      <c r="J344" t="s">
        <v>1790</v>
      </c>
    </row>
    <row r="345" spans="8:10" x14ac:dyDescent="0.35">
      <c r="H345" t="s">
        <v>844</v>
      </c>
      <c r="I345">
        <v>344</v>
      </c>
      <c r="J345" t="s">
        <v>1791</v>
      </c>
    </row>
    <row r="346" spans="8:10" x14ac:dyDescent="0.35">
      <c r="H346" t="s">
        <v>532</v>
      </c>
      <c r="I346">
        <v>345</v>
      </c>
      <c r="J346" t="s">
        <v>1792</v>
      </c>
    </row>
    <row r="347" spans="8:10" x14ac:dyDescent="0.35">
      <c r="H347" t="s">
        <v>116</v>
      </c>
      <c r="I347">
        <v>346</v>
      </c>
      <c r="J347" t="s">
        <v>1793</v>
      </c>
    </row>
    <row r="348" spans="8:10" x14ac:dyDescent="0.35">
      <c r="H348" t="s">
        <v>550</v>
      </c>
      <c r="I348">
        <v>347</v>
      </c>
      <c r="J348" t="s">
        <v>1794</v>
      </c>
    </row>
    <row r="349" spans="8:10" x14ac:dyDescent="0.35">
      <c r="H349" t="s">
        <v>252</v>
      </c>
      <c r="I349">
        <v>348</v>
      </c>
      <c r="J349" t="s">
        <v>1795</v>
      </c>
    </row>
    <row r="350" spans="8:10" x14ac:dyDescent="0.35">
      <c r="H350" t="s">
        <v>339</v>
      </c>
      <c r="I350">
        <v>349</v>
      </c>
      <c r="J350" t="s">
        <v>1796</v>
      </c>
    </row>
    <row r="351" spans="8:10" x14ac:dyDescent="0.35">
      <c r="H351" t="s">
        <v>253</v>
      </c>
      <c r="I351">
        <v>350</v>
      </c>
      <c r="J351" t="s">
        <v>1797</v>
      </c>
    </row>
    <row r="352" spans="8:10" x14ac:dyDescent="0.35">
      <c r="H352" t="s">
        <v>24</v>
      </c>
      <c r="I352">
        <v>351</v>
      </c>
      <c r="J352" t="s">
        <v>1798</v>
      </c>
    </row>
    <row r="353" spans="8:10" x14ac:dyDescent="0.35">
      <c r="H353" t="s">
        <v>340</v>
      </c>
      <c r="I353">
        <v>352</v>
      </c>
      <c r="J353" t="s">
        <v>1799</v>
      </c>
    </row>
    <row r="354" spans="8:10" x14ac:dyDescent="0.35">
      <c r="H354" t="s">
        <v>117</v>
      </c>
      <c r="I354">
        <v>353</v>
      </c>
      <c r="J354" t="s">
        <v>1800</v>
      </c>
    </row>
    <row r="355" spans="8:10" x14ac:dyDescent="0.35">
      <c r="H355" t="s">
        <v>118</v>
      </c>
      <c r="I355">
        <v>354</v>
      </c>
      <c r="J355" t="s">
        <v>1801</v>
      </c>
    </row>
    <row r="356" spans="8:10" x14ac:dyDescent="0.35">
      <c r="H356" t="s">
        <v>388</v>
      </c>
      <c r="I356">
        <v>355</v>
      </c>
      <c r="J356" t="s">
        <v>1802</v>
      </c>
    </row>
    <row r="357" spans="8:10" x14ac:dyDescent="0.35">
      <c r="H357" t="s">
        <v>845</v>
      </c>
      <c r="I357">
        <v>356</v>
      </c>
      <c r="J357" t="s">
        <v>1803</v>
      </c>
    </row>
    <row r="358" spans="8:10" x14ac:dyDescent="0.35">
      <c r="H358" t="s">
        <v>846</v>
      </c>
      <c r="I358">
        <v>357</v>
      </c>
      <c r="J358" t="s">
        <v>1804</v>
      </c>
    </row>
    <row r="359" spans="8:10" x14ac:dyDescent="0.35">
      <c r="H359" t="s">
        <v>500</v>
      </c>
      <c r="I359">
        <v>358</v>
      </c>
      <c r="J359" t="s">
        <v>1805</v>
      </c>
    </row>
    <row r="360" spans="8:10" x14ac:dyDescent="0.35">
      <c r="H360" t="s">
        <v>364</v>
      </c>
      <c r="I360">
        <v>359</v>
      </c>
      <c r="J360" t="s">
        <v>1806</v>
      </c>
    </row>
    <row r="361" spans="8:10" x14ac:dyDescent="0.35">
      <c r="H361" t="s">
        <v>254</v>
      </c>
      <c r="I361">
        <v>360</v>
      </c>
      <c r="J361" t="s">
        <v>1807</v>
      </c>
    </row>
    <row r="362" spans="8:10" x14ac:dyDescent="0.35">
      <c r="H362" t="s">
        <v>25</v>
      </c>
      <c r="I362">
        <v>361</v>
      </c>
      <c r="J362" t="s">
        <v>1808</v>
      </c>
    </row>
    <row r="363" spans="8:10" x14ac:dyDescent="0.35">
      <c r="H363" t="s">
        <v>847</v>
      </c>
      <c r="I363">
        <v>362</v>
      </c>
      <c r="J363" t="s">
        <v>1809</v>
      </c>
    </row>
    <row r="364" spans="8:10" x14ac:dyDescent="0.35">
      <c r="H364" t="s">
        <v>1257</v>
      </c>
      <c r="I364">
        <v>363</v>
      </c>
      <c r="J364" t="s">
        <v>1810</v>
      </c>
    </row>
    <row r="365" spans="8:10" x14ac:dyDescent="0.35">
      <c r="H365" t="s">
        <v>365</v>
      </c>
      <c r="I365">
        <v>364</v>
      </c>
      <c r="J365" t="s">
        <v>1811</v>
      </c>
    </row>
    <row r="366" spans="8:10" x14ac:dyDescent="0.35">
      <c r="H366" t="s">
        <v>119</v>
      </c>
      <c r="I366">
        <v>365</v>
      </c>
      <c r="J366" t="s">
        <v>1812</v>
      </c>
    </row>
    <row r="367" spans="8:10" x14ac:dyDescent="0.35">
      <c r="H367" t="s">
        <v>848</v>
      </c>
      <c r="I367">
        <v>366</v>
      </c>
      <c r="J367" t="s">
        <v>1813</v>
      </c>
    </row>
    <row r="368" spans="8:10" x14ac:dyDescent="0.35">
      <c r="H368" t="s">
        <v>849</v>
      </c>
      <c r="I368">
        <v>367</v>
      </c>
      <c r="J368" t="s">
        <v>1814</v>
      </c>
    </row>
    <row r="369" spans="8:10" x14ac:dyDescent="0.35">
      <c r="H369" t="s">
        <v>850</v>
      </c>
      <c r="I369">
        <v>368</v>
      </c>
      <c r="J369" t="s">
        <v>1815</v>
      </c>
    </row>
    <row r="370" spans="8:10" x14ac:dyDescent="0.35">
      <c r="H370" t="s">
        <v>851</v>
      </c>
      <c r="I370">
        <v>369</v>
      </c>
      <c r="J370" t="s">
        <v>1816</v>
      </c>
    </row>
    <row r="371" spans="8:10" x14ac:dyDescent="0.35">
      <c r="H371" t="s">
        <v>366</v>
      </c>
      <c r="I371">
        <v>370</v>
      </c>
      <c r="J371" t="s">
        <v>1817</v>
      </c>
    </row>
    <row r="372" spans="8:10" x14ac:dyDescent="0.35">
      <c r="H372" t="s">
        <v>255</v>
      </c>
      <c r="I372">
        <v>371</v>
      </c>
      <c r="J372" t="s">
        <v>1818</v>
      </c>
    </row>
    <row r="373" spans="8:10" x14ac:dyDescent="0.35">
      <c r="H373" t="s">
        <v>852</v>
      </c>
      <c r="I373">
        <v>372</v>
      </c>
      <c r="J373" t="s">
        <v>1819</v>
      </c>
    </row>
    <row r="374" spans="8:10" x14ac:dyDescent="0.35">
      <c r="H374" t="s">
        <v>341</v>
      </c>
      <c r="I374">
        <v>373</v>
      </c>
      <c r="J374" t="s">
        <v>1820</v>
      </c>
    </row>
    <row r="375" spans="8:10" x14ac:dyDescent="0.35">
      <c r="H375" t="s">
        <v>120</v>
      </c>
      <c r="I375">
        <v>374</v>
      </c>
      <c r="J375" t="s">
        <v>1821</v>
      </c>
    </row>
    <row r="376" spans="8:10" x14ac:dyDescent="0.35">
      <c r="H376" t="s">
        <v>342</v>
      </c>
      <c r="I376">
        <v>375</v>
      </c>
      <c r="J376" t="s">
        <v>1822</v>
      </c>
    </row>
    <row r="377" spans="8:10" x14ac:dyDescent="0.35">
      <c r="H377" t="s">
        <v>26</v>
      </c>
      <c r="I377">
        <v>376</v>
      </c>
      <c r="J377" t="s">
        <v>1823</v>
      </c>
    </row>
    <row r="378" spans="8:10" x14ac:dyDescent="0.35">
      <c r="H378" t="s">
        <v>635</v>
      </c>
      <c r="I378">
        <v>377</v>
      </c>
      <c r="J378" t="s">
        <v>1824</v>
      </c>
    </row>
    <row r="379" spans="8:10" x14ac:dyDescent="0.35">
      <c r="H379" t="s">
        <v>256</v>
      </c>
      <c r="I379">
        <v>378</v>
      </c>
      <c r="J379" t="s">
        <v>1825</v>
      </c>
    </row>
    <row r="380" spans="8:10" x14ac:dyDescent="0.35">
      <c r="H380" t="s">
        <v>853</v>
      </c>
      <c r="I380">
        <v>379</v>
      </c>
      <c r="J380" t="s">
        <v>1826</v>
      </c>
    </row>
    <row r="381" spans="8:10" x14ac:dyDescent="0.35">
      <c r="H381" t="s">
        <v>854</v>
      </c>
      <c r="I381">
        <v>380</v>
      </c>
      <c r="J381" t="s">
        <v>1827</v>
      </c>
    </row>
    <row r="382" spans="8:10" x14ac:dyDescent="0.35">
      <c r="H382" t="s">
        <v>855</v>
      </c>
      <c r="I382">
        <v>381</v>
      </c>
      <c r="J382" t="s">
        <v>1828</v>
      </c>
    </row>
    <row r="383" spans="8:10" x14ac:dyDescent="0.35">
      <c r="H383" t="s">
        <v>676</v>
      </c>
      <c r="I383">
        <v>382</v>
      </c>
      <c r="J383" t="s">
        <v>1829</v>
      </c>
    </row>
    <row r="384" spans="8:10" x14ac:dyDescent="0.35">
      <c r="H384" t="s">
        <v>367</v>
      </c>
      <c r="I384">
        <v>383</v>
      </c>
      <c r="J384" t="s">
        <v>1830</v>
      </c>
    </row>
    <row r="385" spans="8:10" x14ac:dyDescent="0.35">
      <c r="H385" t="s">
        <v>389</v>
      </c>
      <c r="I385">
        <v>384</v>
      </c>
      <c r="J385" t="s">
        <v>1831</v>
      </c>
    </row>
    <row r="386" spans="8:10" x14ac:dyDescent="0.35">
      <c r="H386" t="s">
        <v>121</v>
      </c>
      <c r="I386">
        <v>385</v>
      </c>
      <c r="J386" t="s">
        <v>1832</v>
      </c>
    </row>
    <row r="387" spans="8:10" x14ac:dyDescent="0.35">
      <c r="H387" t="s">
        <v>856</v>
      </c>
      <c r="I387">
        <v>386</v>
      </c>
      <c r="J387" t="s">
        <v>1833</v>
      </c>
    </row>
    <row r="388" spans="8:10" x14ac:dyDescent="0.35">
      <c r="H388" t="s">
        <v>857</v>
      </c>
      <c r="I388">
        <v>387</v>
      </c>
      <c r="J388" t="s">
        <v>1834</v>
      </c>
    </row>
    <row r="389" spans="8:10" x14ac:dyDescent="0.35">
      <c r="H389" t="s">
        <v>257</v>
      </c>
      <c r="I389">
        <v>388</v>
      </c>
      <c r="J389" t="s">
        <v>1835</v>
      </c>
    </row>
    <row r="390" spans="8:10" x14ac:dyDescent="0.35">
      <c r="H390" t="s">
        <v>858</v>
      </c>
      <c r="I390">
        <v>389</v>
      </c>
      <c r="J390" t="s">
        <v>1836</v>
      </c>
    </row>
    <row r="391" spans="8:10" x14ac:dyDescent="0.35">
      <c r="H391" t="s">
        <v>27</v>
      </c>
      <c r="I391">
        <v>390</v>
      </c>
      <c r="J391" t="s">
        <v>1837</v>
      </c>
    </row>
    <row r="392" spans="8:10" x14ac:dyDescent="0.35">
      <c r="H392" t="s">
        <v>258</v>
      </c>
      <c r="I392">
        <v>391</v>
      </c>
      <c r="J392" t="s">
        <v>1838</v>
      </c>
    </row>
    <row r="393" spans="8:10" x14ac:dyDescent="0.35">
      <c r="H393" t="s">
        <v>259</v>
      </c>
      <c r="I393">
        <v>392</v>
      </c>
      <c r="J393" t="s">
        <v>1839</v>
      </c>
    </row>
    <row r="394" spans="8:10" x14ac:dyDescent="0.35">
      <c r="H394" t="s">
        <v>533</v>
      </c>
      <c r="I394">
        <v>393</v>
      </c>
      <c r="J394" t="s">
        <v>1840</v>
      </c>
    </row>
    <row r="395" spans="8:10" x14ac:dyDescent="0.35">
      <c r="H395" t="s">
        <v>260</v>
      </c>
      <c r="I395">
        <v>394</v>
      </c>
      <c r="J395" t="s">
        <v>1841</v>
      </c>
    </row>
    <row r="396" spans="8:10" x14ac:dyDescent="0.35">
      <c r="H396" t="s">
        <v>261</v>
      </c>
      <c r="I396">
        <v>395</v>
      </c>
      <c r="J396" t="s">
        <v>1842</v>
      </c>
    </row>
    <row r="397" spans="8:10" x14ac:dyDescent="0.35">
      <c r="H397" t="s">
        <v>123</v>
      </c>
      <c r="I397">
        <v>396</v>
      </c>
      <c r="J397" t="s">
        <v>1843</v>
      </c>
    </row>
    <row r="398" spans="8:10" x14ac:dyDescent="0.35">
      <c r="H398" t="s">
        <v>28</v>
      </c>
      <c r="I398">
        <v>397</v>
      </c>
      <c r="J398" t="s">
        <v>1844</v>
      </c>
    </row>
    <row r="399" spans="8:10" x14ac:dyDescent="0.35">
      <c r="H399" t="s">
        <v>368</v>
      </c>
      <c r="I399">
        <v>398</v>
      </c>
      <c r="J399" t="s">
        <v>1845</v>
      </c>
    </row>
    <row r="400" spans="8:10" x14ac:dyDescent="0.35">
      <c r="H400" t="s">
        <v>1279</v>
      </c>
      <c r="I400">
        <v>399</v>
      </c>
      <c r="J400" t="s">
        <v>1846</v>
      </c>
    </row>
    <row r="401" spans="8:10" x14ac:dyDescent="0.35">
      <c r="H401" t="s">
        <v>262</v>
      </c>
      <c r="I401">
        <v>400</v>
      </c>
      <c r="J401" t="s">
        <v>1847</v>
      </c>
    </row>
    <row r="402" spans="8:10" x14ac:dyDescent="0.35">
      <c r="H402" t="s">
        <v>859</v>
      </c>
      <c r="I402">
        <v>401</v>
      </c>
      <c r="J402" t="s">
        <v>1848</v>
      </c>
    </row>
    <row r="403" spans="8:10" x14ac:dyDescent="0.35">
      <c r="H403" t="s">
        <v>663</v>
      </c>
      <c r="I403">
        <v>402</v>
      </c>
      <c r="J403" t="s">
        <v>1849</v>
      </c>
    </row>
    <row r="404" spans="8:10" x14ac:dyDescent="0.35">
      <c r="H404" t="s">
        <v>860</v>
      </c>
      <c r="I404">
        <v>403</v>
      </c>
      <c r="J404" t="s">
        <v>1850</v>
      </c>
    </row>
    <row r="405" spans="8:10" x14ac:dyDescent="0.35">
      <c r="H405" t="s">
        <v>861</v>
      </c>
      <c r="I405">
        <v>404</v>
      </c>
      <c r="J405" t="s">
        <v>1851</v>
      </c>
    </row>
    <row r="406" spans="8:10" x14ac:dyDescent="0.35">
      <c r="H406" t="s">
        <v>124</v>
      </c>
      <c r="I406">
        <v>405</v>
      </c>
      <c r="J406" t="s">
        <v>1852</v>
      </c>
    </row>
    <row r="407" spans="8:10" x14ac:dyDescent="0.35">
      <c r="H407" t="s">
        <v>862</v>
      </c>
      <c r="I407">
        <v>406</v>
      </c>
      <c r="J407" t="s">
        <v>1853</v>
      </c>
    </row>
    <row r="408" spans="8:10" x14ac:dyDescent="0.35">
      <c r="H408" t="s">
        <v>263</v>
      </c>
      <c r="I408">
        <v>407</v>
      </c>
      <c r="J408" t="s">
        <v>1854</v>
      </c>
    </row>
    <row r="409" spans="8:10" x14ac:dyDescent="0.35">
      <c r="H409" t="s">
        <v>264</v>
      </c>
      <c r="I409">
        <v>408</v>
      </c>
      <c r="J409" t="s">
        <v>1855</v>
      </c>
    </row>
    <row r="410" spans="8:10" x14ac:dyDescent="0.35">
      <c r="H410" t="s">
        <v>863</v>
      </c>
      <c r="I410">
        <v>409</v>
      </c>
      <c r="J410" t="s">
        <v>1856</v>
      </c>
    </row>
    <row r="411" spans="8:10" x14ac:dyDescent="0.35">
      <c r="H411" t="s">
        <v>265</v>
      </c>
      <c r="I411">
        <v>410</v>
      </c>
      <c r="J411" t="s">
        <v>1857</v>
      </c>
    </row>
    <row r="412" spans="8:10" x14ac:dyDescent="0.35">
      <c r="H412" t="s">
        <v>29</v>
      </c>
      <c r="I412">
        <v>411</v>
      </c>
      <c r="J412" t="s">
        <v>1858</v>
      </c>
    </row>
    <row r="413" spans="8:10" x14ac:dyDescent="0.35">
      <c r="H413" t="s">
        <v>864</v>
      </c>
      <c r="I413">
        <v>412</v>
      </c>
      <c r="J413" t="s">
        <v>1859</v>
      </c>
    </row>
    <row r="414" spans="8:10" x14ac:dyDescent="0.35">
      <c r="H414" t="s">
        <v>266</v>
      </c>
      <c r="I414">
        <v>413</v>
      </c>
      <c r="J414" t="s">
        <v>1860</v>
      </c>
    </row>
    <row r="415" spans="8:10" x14ac:dyDescent="0.35">
      <c r="H415" t="s">
        <v>395</v>
      </c>
      <c r="I415">
        <v>414</v>
      </c>
      <c r="J415" t="s">
        <v>1861</v>
      </c>
    </row>
    <row r="416" spans="8:10" x14ac:dyDescent="0.35">
      <c r="H416" t="s">
        <v>125</v>
      </c>
      <c r="I416">
        <v>415</v>
      </c>
      <c r="J416" t="s">
        <v>1862</v>
      </c>
    </row>
    <row r="417" spans="8:10" x14ac:dyDescent="0.35">
      <c r="H417" t="s">
        <v>267</v>
      </c>
      <c r="I417">
        <v>416</v>
      </c>
      <c r="J417" t="s">
        <v>1863</v>
      </c>
    </row>
    <row r="418" spans="8:10" x14ac:dyDescent="0.35">
      <c r="H418" t="s">
        <v>865</v>
      </c>
      <c r="I418">
        <v>417</v>
      </c>
      <c r="J418" t="s">
        <v>1864</v>
      </c>
    </row>
    <row r="419" spans="8:10" x14ac:dyDescent="0.35">
      <c r="H419" t="s">
        <v>866</v>
      </c>
      <c r="I419">
        <v>418</v>
      </c>
      <c r="J419" t="s">
        <v>1865</v>
      </c>
    </row>
    <row r="420" spans="8:10" x14ac:dyDescent="0.35">
      <c r="H420" t="s">
        <v>867</v>
      </c>
      <c r="I420">
        <v>419</v>
      </c>
      <c r="J420" t="s">
        <v>1866</v>
      </c>
    </row>
    <row r="421" spans="8:10" x14ac:dyDescent="0.35">
      <c r="H421" t="s">
        <v>551</v>
      </c>
      <c r="I421">
        <v>420</v>
      </c>
      <c r="J421" t="s">
        <v>1867</v>
      </c>
    </row>
    <row r="422" spans="8:10" x14ac:dyDescent="0.35">
      <c r="H422" t="s">
        <v>166</v>
      </c>
      <c r="I422">
        <v>421</v>
      </c>
      <c r="J422" t="s">
        <v>1868</v>
      </c>
    </row>
    <row r="423" spans="8:10" x14ac:dyDescent="0.35">
      <c r="H423" t="s">
        <v>268</v>
      </c>
      <c r="I423">
        <v>422</v>
      </c>
      <c r="J423" t="s">
        <v>1869</v>
      </c>
    </row>
    <row r="424" spans="8:10" x14ac:dyDescent="0.35">
      <c r="H424" t="s">
        <v>269</v>
      </c>
      <c r="I424">
        <v>423</v>
      </c>
      <c r="J424" t="s">
        <v>1870</v>
      </c>
    </row>
    <row r="425" spans="8:10" x14ac:dyDescent="0.35">
      <c r="H425" t="s">
        <v>126</v>
      </c>
      <c r="I425">
        <v>424</v>
      </c>
      <c r="J425" t="s">
        <v>1871</v>
      </c>
    </row>
    <row r="426" spans="8:10" x14ac:dyDescent="0.35">
      <c r="H426" t="s">
        <v>30</v>
      </c>
      <c r="I426">
        <v>425</v>
      </c>
      <c r="J426" t="s">
        <v>1872</v>
      </c>
    </row>
    <row r="427" spans="8:10" x14ac:dyDescent="0.35">
      <c r="H427" t="s">
        <v>868</v>
      </c>
      <c r="I427">
        <v>426</v>
      </c>
      <c r="J427" t="s">
        <v>1873</v>
      </c>
    </row>
    <row r="428" spans="8:10" x14ac:dyDescent="0.35">
      <c r="H428" t="s">
        <v>270</v>
      </c>
      <c r="I428">
        <v>427</v>
      </c>
      <c r="J428" t="s">
        <v>1874</v>
      </c>
    </row>
    <row r="429" spans="8:10" x14ac:dyDescent="0.35">
      <c r="H429" t="s">
        <v>869</v>
      </c>
      <c r="I429">
        <v>428</v>
      </c>
      <c r="J429" t="s">
        <v>1875</v>
      </c>
    </row>
    <row r="430" spans="8:10" x14ac:dyDescent="0.35">
      <c r="H430" t="s">
        <v>870</v>
      </c>
      <c r="I430">
        <v>429</v>
      </c>
      <c r="J430" t="s">
        <v>1876</v>
      </c>
    </row>
    <row r="431" spans="8:10" x14ac:dyDescent="0.35">
      <c r="H431" t="s">
        <v>871</v>
      </c>
      <c r="I431">
        <v>430</v>
      </c>
      <c r="J431" t="s">
        <v>1877</v>
      </c>
    </row>
    <row r="432" spans="8:10" x14ac:dyDescent="0.35">
      <c r="H432" t="s">
        <v>31</v>
      </c>
      <c r="I432">
        <v>431</v>
      </c>
      <c r="J432" t="s">
        <v>1878</v>
      </c>
    </row>
    <row r="433" spans="8:10" x14ac:dyDescent="0.35">
      <c r="H433" t="s">
        <v>872</v>
      </c>
      <c r="I433">
        <v>432</v>
      </c>
      <c r="J433" t="s">
        <v>1879</v>
      </c>
    </row>
    <row r="434" spans="8:10" x14ac:dyDescent="0.35">
      <c r="H434" t="s">
        <v>873</v>
      </c>
      <c r="I434">
        <v>433</v>
      </c>
      <c r="J434" t="s">
        <v>1880</v>
      </c>
    </row>
    <row r="435" spans="8:10" x14ac:dyDescent="0.35">
      <c r="H435" t="s">
        <v>874</v>
      </c>
      <c r="I435">
        <v>434</v>
      </c>
      <c r="J435" t="s">
        <v>1881</v>
      </c>
    </row>
    <row r="436" spans="8:10" x14ac:dyDescent="0.35">
      <c r="H436" t="s">
        <v>271</v>
      </c>
      <c r="I436">
        <v>435</v>
      </c>
      <c r="J436" t="s">
        <v>1882</v>
      </c>
    </row>
    <row r="437" spans="8:10" x14ac:dyDescent="0.35">
      <c r="H437" t="s">
        <v>127</v>
      </c>
      <c r="I437">
        <v>436</v>
      </c>
      <c r="J437" t="s">
        <v>1883</v>
      </c>
    </row>
    <row r="438" spans="8:10" x14ac:dyDescent="0.35">
      <c r="H438" t="s">
        <v>343</v>
      </c>
      <c r="I438">
        <v>437</v>
      </c>
      <c r="J438" t="s">
        <v>1884</v>
      </c>
    </row>
    <row r="439" spans="8:10" x14ac:dyDescent="0.35">
      <c r="H439" t="s">
        <v>369</v>
      </c>
      <c r="I439">
        <v>438</v>
      </c>
      <c r="J439" t="s">
        <v>1885</v>
      </c>
    </row>
    <row r="440" spans="8:10" x14ac:dyDescent="0.35">
      <c r="H440" t="s">
        <v>370</v>
      </c>
      <c r="I440">
        <v>439</v>
      </c>
      <c r="J440" t="s">
        <v>1886</v>
      </c>
    </row>
    <row r="441" spans="8:10" x14ac:dyDescent="0.35">
      <c r="H441" t="s">
        <v>272</v>
      </c>
      <c r="I441">
        <v>440</v>
      </c>
      <c r="J441" t="s">
        <v>1887</v>
      </c>
    </row>
    <row r="442" spans="8:10" x14ac:dyDescent="0.35">
      <c r="H442" t="s">
        <v>495</v>
      </c>
      <c r="I442">
        <v>441</v>
      </c>
      <c r="J442" t="s">
        <v>1888</v>
      </c>
    </row>
    <row r="443" spans="8:10" x14ac:dyDescent="0.35">
      <c r="H443" t="s">
        <v>875</v>
      </c>
      <c r="I443">
        <v>442</v>
      </c>
      <c r="J443" t="s">
        <v>1889</v>
      </c>
    </row>
    <row r="444" spans="8:10" x14ac:dyDescent="0.35">
      <c r="H444" t="s">
        <v>273</v>
      </c>
      <c r="I444">
        <v>443</v>
      </c>
      <c r="J444" t="s">
        <v>1890</v>
      </c>
    </row>
    <row r="445" spans="8:10" x14ac:dyDescent="0.35">
      <c r="H445" t="s">
        <v>274</v>
      </c>
      <c r="I445">
        <v>444</v>
      </c>
      <c r="J445" t="s">
        <v>1891</v>
      </c>
    </row>
    <row r="446" spans="8:10" x14ac:dyDescent="0.35">
      <c r="H446" t="s">
        <v>128</v>
      </c>
      <c r="I446">
        <v>445</v>
      </c>
      <c r="J446" t="s">
        <v>1892</v>
      </c>
    </row>
    <row r="447" spans="8:10" x14ac:dyDescent="0.35">
      <c r="H447" t="s">
        <v>876</v>
      </c>
      <c r="I447">
        <v>446</v>
      </c>
      <c r="J447" t="s">
        <v>1893</v>
      </c>
    </row>
    <row r="448" spans="8:10" x14ac:dyDescent="0.35">
      <c r="H448" t="s">
        <v>877</v>
      </c>
      <c r="I448">
        <v>447</v>
      </c>
      <c r="J448" t="s">
        <v>1894</v>
      </c>
    </row>
    <row r="449" spans="8:10" x14ac:dyDescent="0.35">
      <c r="H449" t="s">
        <v>878</v>
      </c>
      <c r="I449">
        <v>448</v>
      </c>
      <c r="J449" t="s">
        <v>1895</v>
      </c>
    </row>
    <row r="450" spans="8:10" x14ac:dyDescent="0.35">
      <c r="H450" t="s">
        <v>879</v>
      </c>
      <c r="I450">
        <v>449</v>
      </c>
      <c r="J450" t="s">
        <v>1896</v>
      </c>
    </row>
    <row r="451" spans="8:10" x14ac:dyDescent="0.35">
      <c r="H451" t="s">
        <v>522</v>
      </c>
      <c r="I451">
        <v>450</v>
      </c>
      <c r="J451" t="s">
        <v>1897</v>
      </c>
    </row>
    <row r="452" spans="8:10" x14ac:dyDescent="0.35">
      <c r="H452" t="s">
        <v>275</v>
      </c>
      <c r="I452">
        <v>451</v>
      </c>
      <c r="J452" t="s">
        <v>1898</v>
      </c>
    </row>
    <row r="453" spans="8:10" x14ac:dyDescent="0.35">
      <c r="H453" t="s">
        <v>32</v>
      </c>
      <c r="I453">
        <v>452</v>
      </c>
      <c r="J453" t="s">
        <v>1899</v>
      </c>
    </row>
    <row r="454" spans="8:10" x14ac:dyDescent="0.35">
      <c r="H454" t="s">
        <v>880</v>
      </c>
      <c r="I454">
        <v>453</v>
      </c>
      <c r="J454" t="s">
        <v>1900</v>
      </c>
    </row>
    <row r="455" spans="8:10" x14ac:dyDescent="0.35">
      <c r="H455" t="s">
        <v>378</v>
      </c>
      <c r="I455">
        <v>454</v>
      </c>
      <c r="J455" t="s">
        <v>1901</v>
      </c>
    </row>
    <row r="456" spans="8:10" x14ac:dyDescent="0.35">
      <c r="H456" t="s">
        <v>129</v>
      </c>
      <c r="I456">
        <v>455</v>
      </c>
      <c r="J456" t="s">
        <v>1902</v>
      </c>
    </row>
    <row r="457" spans="8:10" x14ac:dyDescent="0.35">
      <c r="H457" t="s">
        <v>552</v>
      </c>
      <c r="I457">
        <v>456</v>
      </c>
      <c r="J457" t="s">
        <v>1903</v>
      </c>
    </row>
    <row r="458" spans="8:10" x14ac:dyDescent="0.35">
      <c r="H458" t="s">
        <v>881</v>
      </c>
      <c r="I458">
        <v>457</v>
      </c>
      <c r="J458" t="s">
        <v>1904</v>
      </c>
    </row>
    <row r="459" spans="8:10" x14ac:dyDescent="0.35">
      <c r="H459" t="s">
        <v>882</v>
      </c>
      <c r="I459">
        <v>458</v>
      </c>
      <c r="J459" t="s">
        <v>1905</v>
      </c>
    </row>
    <row r="460" spans="8:10" x14ac:dyDescent="0.35">
      <c r="H460" t="s">
        <v>276</v>
      </c>
      <c r="I460">
        <v>459</v>
      </c>
      <c r="J460" t="s">
        <v>1906</v>
      </c>
    </row>
    <row r="461" spans="8:10" x14ac:dyDescent="0.35">
      <c r="H461" t="s">
        <v>345</v>
      </c>
      <c r="I461">
        <v>460</v>
      </c>
      <c r="J461" t="s">
        <v>1907</v>
      </c>
    </row>
    <row r="462" spans="8:10" x14ac:dyDescent="0.35">
      <c r="H462" t="s">
        <v>371</v>
      </c>
      <c r="I462">
        <v>461</v>
      </c>
      <c r="J462" t="s">
        <v>1908</v>
      </c>
    </row>
    <row r="463" spans="8:10" x14ac:dyDescent="0.35">
      <c r="H463" t="s">
        <v>639</v>
      </c>
      <c r="I463">
        <v>462</v>
      </c>
      <c r="J463" t="s">
        <v>1909</v>
      </c>
    </row>
    <row r="464" spans="8:10" x14ac:dyDescent="0.35">
      <c r="H464" t="s">
        <v>33</v>
      </c>
      <c r="I464">
        <v>463</v>
      </c>
      <c r="J464" t="s">
        <v>1910</v>
      </c>
    </row>
    <row r="465" spans="8:10" x14ac:dyDescent="0.35">
      <c r="H465" t="s">
        <v>883</v>
      </c>
      <c r="I465">
        <v>464</v>
      </c>
      <c r="J465" t="s">
        <v>1911</v>
      </c>
    </row>
    <row r="466" spans="8:10" x14ac:dyDescent="0.35">
      <c r="H466" t="s">
        <v>34</v>
      </c>
      <c r="I466">
        <v>465</v>
      </c>
      <c r="J466" t="s">
        <v>1912</v>
      </c>
    </row>
    <row r="467" spans="8:10" x14ac:dyDescent="0.35">
      <c r="H467" t="s">
        <v>277</v>
      </c>
      <c r="I467">
        <v>466</v>
      </c>
      <c r="J467" t="s">
        <v>1913</v>
      </c>
    </row>
    <row r="468" spans="8:10" x14ac:dyDescent="0.35">
      <c r="H468" t="s">
        <v>488</v>
      </c>
      <c r="I468">
        <v>467</v>
      </c>
      <c r="J468" t="s">
        <v>1914</v>
      </c>
    </row>
    <row r="469" spans="8:10" x14ac:dyDescent="0.35">
      <c r="H469" t="s">
        <v>278</v>
      </c>
      <c r="I469">
        <v>468</v>
      </c>
      <c r="J469" t="s">
        <v>1915</v>
      </c>
    </row>
    <row r="470" spans="8:10" x14ac:dyDescent="0.35">
      <c r="H470" t="s">
        <v>372</v>
      </c>
      <c r="I470">
        <v>469</v>
      </c>
      <c r="J470" t="s">
        <v>1916</v>
      </c>
    </row>
    <row r="471" spans="8:10" x14ac:dyDescent="0.35">
      <c r="H471" t="s">
        <v>279</v>
      </c>
      <c r="I471">
        <v>470</v>
      </c>
      <c r="J471" t="s">
        <v>1917</v>
      </c>
    </row>
    <row r="472" spans="8:10" x14ac:dyDescent="0.35">
      <c r="H472" t="s">
        <v>884</v>
      </c>
      <c r="I472">
        <v>471</v>
      </c>
      <c r="J472" t="s">
        <v>1918</v>
      </c>
    </row>
    <row r="473" spans="8:10" x14ac:dyDescent="0.35">
      <c r="H473" t="s">
        <v>885</v>
      </c>
      <c r="I473">
        <v>472</v>
      </c>
      <c r="J473" t="s">
        <v>1919</v>
      </c>
    </row>
    <row r="474" spans="8:10" x14ac:dyDescent="0.35">
      <c r="H474" t="s">
        <v>886</v>
      </c>
      <c r="I474">
        <v>473</v>
      </c>
      <c r="J474" t="s">
        <v>1920</v>
      </c>
    </row>
    <row r="475" spans="8:10" x14ac:dyDescent="0.35">
      <c r="H475" t="s">
        <v>280</v>
      </c>
      <c r="I475">
        <v>474</v>
      </c>
      <c r="J475" t="s">
        <v>1921</v>
      </c>
    </row>
    <row r="476" spans="8:10" x14ac:dyDescent="0.35">
      <c r="H476" t="s">
        <v>130</v>
      </c>
      <c r="I476">
        <v>475</v>
      </c>
      <c r="J476" t="s">
        <v>1922</v>
      </c>
    </row>
    <row r="477" spans="8:10" x14ac:dyDescent="0.35">
      <c r="H477" t="s">
        <v>131</v>
      </c>
      <c r="I477">
        <v>476</v>
      </c>
      <c r="J477" t="s">
        <v>1923</v>
      </c>
    </row>
    <row r="478" spans="8:10" x14ac:dyDescent="0.35">
      <c r="H478" t="s">
        <v>281</v>
      </c>
      <c r="I478">
        <v>477</v>
      </c>
      <c r="J478" t="s">
        <v>1924</v>
      </c>
    </row>
    <row r="479" spans="8:10" x14ac:dyDescent="0.35">
      <c r="H479" t="s">
        <v>132</v>
      </c>
      <c r="I479">
        <v>478</v>
      </c>
      <c r="J479" t="s">
        <v>1925</v>
      </c>
    </row>
    <row r="480" spans="8:10" x14ac:dyDescent="0.35">
      <c r="H480" t="s">
        <v>282</v>
      </c>
      <c r="I480">
        <v>479</v>
      </c>
      <c r="J480" t="s">
        <v>1926</v>
      </c>
    </row>
    <row r="481" spans="8:10" x14ac:dyDescent="0.35">
      <c r="H481" t="s">
        <v>887</v>
      </c>
      <c r="I481">
        <v>480</v>
      </c>
      <c r="J481" t="s">
        <v>1927</v>
      </c>
    </row>
    <row r="482" spans="8:10" x14ac:dyDescent="0.35">
      <c r="H482" t="s">
        <v>283</v>
      </c>
      <c r="I482">
        <v>481</v>
      </c>
      <c r="J482" t="s">
        <v>1928</v>
      </c>
    </row>
    <row r="483" spans="8:10" x14ac:dyDescent="0.35">
      <c r="H483" t="s">
        <v>133</v>
      </c>
      <c r="I483">
        <v>482</v>
      </c>
      <c r="J483" t="s">
        <v>1929</v>
      </c>
    </row>
    <row r="484" spans="8:10" x14ac:dyDescent="0.35">
      <c r="H484" t="s">
        <v>284</v>
      </c>
      <c r="I484">
        <v>483</v>
      </c>
      <c r="J484" t="s">
        <v>1930</v>
      </c>
    </row>
    <row r="485" spans="8:10" x14ac:dyDescent="0.35">
      <c r="H485" t="s">
        <v>888</v>
      </c>
      <c r="I485">
        <v>484</v>
      </c>
      <c r="J485" t="s">
        <v>1931</v>
      </c>
    </row>
    <row r="486" spans="8:10" x14ac:dyDescent="0.35">
      <c r="H486" t="s">
        <v>346</v>
      </c>
      <c r="I486">
        <v>485</v>
      </c>
      <c r="J486" t="s">
        <v>1932</v>
      </c>
    </row>
    <row r="487" spans="8:10" x14ac:dyDescent="0.35">
      <c r="H487" t="s">
        <v>285</v>
      </c>
      <c r="I487">
        <v>486</v>
      </c>
      <c r="J487" t="s">
        <v>1933</v>
      </c>
    </row>
    <row r="488" spans="8:10" x14ac:dyDescent="0.35">
      <c r="H488" t="s">
        <v>286</v>
      </c>
      <c r="I488">
        <v>487</v>
      </c>
      <c r="J488" t="s">
        <v>1934</v>
      </c>
    </row>
    <row r="489" spans="8:10" x14ac:dyDescent="0.35">
      <c r="H489" t="s">
        <v>35</v>
      </c>
      <c r="I489">
        <v>488</v>
      </c>
      <c r="J489" t="s">
        <v>1935</v>
      </c>
    </row>
    <row r="490" spans="8:10" x14ac:dyDescent="0.35">
      <c r="H490" t="s">
        <v>287</v>
      </c>
      <c r="I490">
        <v>489</v>
      </c>
      <c r="J490" t="s">
        <v>1936</v>
      </c>
    </row>
    <row r="491" spans="8:10" x14ac:dyDescent="0.35">
      <c r="H491" t="s">
        <v>167</v>
      </c>
      <c r="I491">
        <v>490</v>
      </c>
      <c r="J491" t="s">
        <v>1937</v>
      </c>
    </row>
    <row r="492" spans="8:10" x14ac:dyDescent="0.35">
      <c r="H492" t="s">
        <v>288</v>
      </c>
      <c r="I492">
        <v>491</v>
      </c>
      <c r="J492" t="s">
        <v>1938</v>
      </c>
    </row>
    <row r="493" spans="8:10" x14ac:dyDescent="0.35">
      <c r="H493" t="s">
        <v>289</v>
      </c>
      <c r="I493">
        <v>492</v>
      </c>
      <c r="J493" t="s">
        <v>1939</v>
      </c>
    </row>
    <row r="494" spans="8:10" x14ac:dyDescent="0.35">
      <c r="H494" t="s">
        <v>36</v>
      </c>
      <c r="I494">
        <v>493</v>
      </c>
      <c r="J494" t="s">
        <v>1940</v>
      </c>
    </row>
    <row r="495" spans="8:10" x14ac:dyDescent="0.35">
      <c r="H495" t="s">
        <v>52</v>
      </c>
      <c r="I495">
        <v>494</v>
      </c>
      <c r="J495" t="s">
        <v>1941</v>
      </c>
    </row>
    <row r="496" spans="8:10" x14ac:dyDescent="0.35">
      <c r="H496" t="s">
        <v>290</v>
      </c>
      <c r="I496">
        <v>495</v>
      </c>
      <c r="J496" t="s">
        <v>1942</v>
      </c>
    </row>
    <row r="497" spans="8:10" x14ac:dyDescent="0.35">
      <c r="H497" t="s">
        <v>37</v>
      </c>
      <c r="I497">
        <v>496</v>
      </c>
      <c r="J497" t="s">
        <v>1943</v>
      </c>
    </row>
    <row r="498" spans="8:10" x14ac:dyDescent="0.35">
      <c r="H498" t="s">
        <v>134</v>
      </c>
      <c r="I498">
        <v>497</v>
      </c>
      <c r="J498" t="s">
        <v>1944</v>
      </c>
    </row>
    <row r="499" spans="8:10" x14ac:dyDescent="0.35">
      <c r="H499" t="s">
        <v>889</v>
      </c>
      <c r="I499">
        <v>498</v>
      </c>
      <c r="J499" t="s">
        <v>1945</v>
      </c>
    </row>
    <row r="500" spans="8:10" x14ac:dyDescent="0.35">
      <c r="H500" t="s">
        <v>890</v>
      </c>
      <c r="I500">
        <v>499</v>
      </c>
      <c r="J500" t="s">
        <v>1946</v>
      </c>
    </row>
    <row r="501" spans="8:10" x14ac:dyDescent="0.35">
      <c r="H501" t="s">
        <v>891</v>
      </c>
      <c r="I501">
        <v>500</v>
      </c>
      <c r="J501" t="s">
        <v>1947</v>
      </c>
    </row>
    <row r="502" spans="8:10" x14ac:dyDescent="0.35">
      <c r="H502" t="s">
        <v>379</v>
      </c>
      <c r="I502">
        <v>501</v>
      </c>
      <c r="J502" t="s">
        <v>1948</v>
      </c>
    </row>
    <row r="503" spans="8:10" x14ac:dyDescent="0.35">
      <c r="H503" t="s">
        <v>291</v>
      </c>
      <c r="I503">
        <v>502</v>
      </c>
      <c r="J503" t="s">
        <v>1949</v>
      </c>
    </row>
    <row r="504" spans="8:10" x14ac:dyDescent="0.35">
      <c r="H504" t="s">
        <v>292</v>
      </c>
      <c r="I504">
        <v>503</v>
      </c>
      <c r="J504" t="s">
        <v>1950</v>
      </c>
    </row>
    <row r="505" spans="8:10" x14ac:dyDescent="0.35">
      <c r="H505" t="s">
        <v>347</v>
      </c>
      <c r="I505">
        <v>504</v>
      </c>
      <c r="J505" t="s">
        <v>1951</v>
      </c>
    </row>
    <row r="506" spans="8:10" x14ac:dyDescent="0.35">
      <c r="H506" t="s">
        <v>892</v>
      </c>
      <c r="I506">
        <v>505</v>
      </c>
      <c r="J506" t="s">
        <v>1952</v>
      </c>
    </row>
    <row r="507" spans="8:10" x14ac:dyDescent="0.35">
      <c r="H507" t="s">
        <v>1295</v>
      </c>
      <c r="I507">
        <v>506</v>
      </c>
      <c r="J507" t="s">
        <v>1953</v>
      </c>
    </row>
    <row r="508" spans="8:10" x14ac:dyDescent="0.35">
      <c r="H508" t="s">
        <v>293</v>
      </c>
      <c r="I508">
        <v>507</v>
      </c>
      <c r="J508" t="s">
        <v>1954</v>
      </c>
    </row>
    <row r="509" spans="8:10" x14ac:dyDescent="0.35">
      <c r="H509" t="s">
        <v>893</v>
      </c>
      <c r="I509">
        <v>508</v>
      </c>
      <c r="J509" t="s">
        <v>1955</v>
      </c>
    </row>
    <row r="510" spans="8:10" x14ac:dyDescent="0.35">
      <c r="H510" t="s">
        <v>894</v>
      </c>
      <c r="I510">
        <v>509</v>
      </c>
      <c r="J510" t="s">
        <v>1956</v>
      </c>
    </row>
    <row r="511" spans="8:10" x14ac:dyDescent="0.35">
      <c r="H511" t="s">
        <v>294</v>
      </c>
      <c r="I511">
        <v>510</v>
      </c>
      <c r="J511" t="s">
        <v>1957</v>
      </c>
    </row>
    <row r="512" spans="8:10" x14ac:dyDescent="0.35">
      <c r="H512" t="s">
        <v>895</v>
      </c>
      <c r="I512">
        <v>511</v>
      </c>
      <c r="J512" t="s">
        <v>1958</v>
      </c>
    </row>
    <row r="513" spans="8:10" x14ac:dyDescent="0.35">
      <c r="H513" t="s">
        <v>896</v>
      </c>
      <c r="I513">
        <v>512</v>
      </c>
      <c r="J513" t="s">
        <v>1959</v>
      </c>
    </row>
    <row r="514" spans="8:10" x14ac:dyDescent="0.35">
      <c r="H514" t="s">
        <v>295</v>
      </c>
      <c r="I514">
        <v>513</v>
      </c>
      <c r="J514" t="s">
        <v>1960</v>
      </c>
    </row>
    <row r="515" spans="8:10" x14ac:dyDescent="0.35">
      <c r="H515" t="s">
        <v>296</v>
      </c>
      <c r="I515">
        <v>514</v>
      </c>
      <c r="J515" t="s">
        <v>1961</v>
      </c>
    </row>
    <row r="516" spans="8:10" x14ac:dyDescent="0.35">
      <c r="H516" t="s">
        <v>897</v>
      </c>
      <c r="I516">
        <v>515</v>
      </c>
      <c r="J516" t="s">
        <v>1962</v>
      </c>
    </row>
    <row r="517" spans="8:10" x14ac:dyDescent="0.35">
      <c r="H517" t="s">
        <v>898</v>
      </c>
      <c r="I517">
        <v>516</v>
      </c>
      <c r="J517" t="s">
        <v>1963</v>
      </c>
    </row>
    <row r="518" spans="8:10" x14ac:dyDescent="0.35">
      <c r="H518" t="s">
        <v>297</v>
      </c>
      <c r="I518">
        <v>517</v>
      </c>
      <c r="J518" t="s">
        <v>1964</v>
      </c>
    </row>
    <row r="519" spans="8:10" x14ac:dyDescent="0.35">
      <c r="H519" t="s">
        <v>298</v>
      </c>
      <c r="I519">
        <v>518</v>
      </c>
      <c r="J519" t="s">
        <v>1965</v>
      </c>
    </row>
    <row r="520" spans="8:10" x14ac:dyDescent="0.35">
      <c r="H520" t="s">
        <v>348</v>
      </c>
      <c r="I520">
        <v>519</v>
      </c>
      <c r="J520" t="s">
        <v>1966</v>
      </c>
    </row>
    <row r="521" spans="8:10" x14ac:dyDescent="0.35">
      <c r="H521" t="s">
        <v>899</v>
      </c>
      <c r="I521">
        <v>520</v>
      </c>
      <c r="J521" t="s">
        <v>1967</v>
      </c>
    </row>
    <row r="522" spans="8:10" x14ac:dyDescent="0.35">
      <c r="H522" t="s">
        <v>299</v>
      </c>
      <c r="I522">
        <v>521</v>
      </c>
      <c r="J522" t="s">
        <v>1968</v>
      </c>
    </row>
    <row r="523" spans="8:10" x14ac:dyDescent="0.35">
      <c r="H523" t="s">
        <v>900</v>
      </c>
      <c r="I523">
        <v>522</v>
      </c>
      <c r="J523" t="s">
        <v>1969</v>
      </c>
    </row>
    <row r="524" spans="8:10" x14ac:dyDescent="0.35">
      <c r="H524" t="s">
        <v>901</v>
      </c>
      <c r="I524">
        <v>523</v>
      </c>
      <c r="J524" t="s">
        <v>1970</v>
      </c>
    </row>
    <row r="525" spans="8:10" x14ac:dyDescent="0.35">
      <c r="H525" t="s">
        <v>902</v>
      </c>
      <c r="I525">
        <v>524</v>
      </c>
      <c r="J525" t="s">
        <v>1971</v>
      </c>
    </row>
    <row r="526" spans="8:10" x14ac:dyDescent="0.35">
      <c r="H526" t="s">
        <v>903</v>
      </c>
      <c r="I526">
        <v>525</v>
      </c>
      <c r="J526" t="s">
        <v>1972</v>
      </c>
    </row>
    <row r="527" spans="8:10" x14ac:dyDescent="0.35">
      <c r="H527" t="s">
        <v>300</v>
      </c>
      <c r="I527">
        <v>526</v>
      </c>
      <c r="J527" t="s">
        <v>1973</v>
      </c>
    </row>
    <row r="528" spans="8:10" x14ac:dyDescent="0.35">
      <c r="H528" t="s">
        <v>373</v>
      </c>
      <c r="I528">
        <v>527</v>
      </c>
      <c r="J528" t="s">
        <v>1974</v>
      </c>
    </row>
    <row r="529" spans="8:10" x14ac:dyDescent="0.35">
      <c r="H529" t="s">
        <v>135</v>
      </c>
      <c r="I529">
        <v>528</v>
      </c>
      <c r="J529" t="s">
        <v>1975</v>
      </c>
    </row>
    <row r="530" spans="8:10" x14ac:dyDescent="0.35">
      <c r="H530" t="s">
        <v>168</v>
      </c>
      <c r="I530">
        <v>529</v>
      </c>
      <c r="J530" t="s">
        <v>1976</v>
      </c>
    </row>
    <row r="531" spans="8:10" x14ac:dyDescent="0.35">
      <c r="H531" t="s">
        <v>374</v>
      </c>
      <c r="I531">
        <v>530</v>
      </c>
      <c r="J531" t="s">
        <v>1977</v>
      </c>
    </row>
    <row r="532" spans="8:10" x14ac:dyDescent="0.35">
      <c r="H532" t="s">
        <v>301</v>
      </c>
      <c r="I532">
        <v>531</v>
      </c>
      <c r="J532" t="s">
        <v>1978</v>
      </c>
    </row>
    <row r="533" spans="8:10" x14ac:dyDescent="0.35">
      <c r="H533" t="s">
        <v>904</v>
      </c>
      <c r="I533">
        <v>532</v>
      </c>
      <c r="J533" t="s">
        <v>1979</v>
      </c>
    </row>
    <row r="534" spans="8:10" x14ac:dyDescent="0.35">
      <c r="H534" t="s">
        <v>136</v>
      </c>
      <c r="I534">
        <v>533</v>
      </c>
      <c r="J534" t="s">
        <v>1980</v>
      </c>
    </row>
    <row r="535" spans="8:10" x14ac:dyDescent="0.35">
      <c r="H535" t="s">
        <v>38</v>
      </c>
      <c r="I535">
        <v>534</v>
      </c>
      <c r="J535" t="s">
        <v>1981</v>
      </c>
    </row>
    <row r="536" spans="8:10" x14ac:dyDescent="0.35">
      <c r="H536" t="s">
        <v>905</v>
      </c>
      <c r="I536">
        <v>535</v>
      </c>
      <c r="J536" t="s">
        <v>1982</v>
      </c>
    </row>
    <row r="537" spans="8:10" x14ac:dyDescent="0.35">
      <c r="H537" t="s">
        <v>137</v>
      </c>
      <c r="I537">
        <v>536</v>
      </c>
      <c r="J537" t="s">
        <v>1983</v>
      </c>
    </row>
    <row r="538" spans="8:10" x14ac:dyDescent="0.35">
      <c r="H538" t="s">
        <v>906</v>
      </c>
      <c r="I538">
        <v>537</v>
      </c>
      <c r="J538" t="s">
        <v>1984</v>
      </c>
    </row>
    <row r="539" spans="8:10" x14ac:dyDescent="0.35">
      <c r="H539" t="s">
        <v>907</v>
      </c>
      <c r="I539">
        <v>538</v>
      </c>
      <c r="J539" t="s">
        <v>1985</v>
      </c>
    </row>
    <row r="540" spans="8:10" x14ac:dyDescent="0.35">
      <c r="H540" t="s">
        <v>908</v>
      </c>
      <c r="I540">
        <v>539</v>
      </c>
      <c r="J540" t="s">
        <v>1986</v>
      </c>
    </row>
    <row r="541" spans="8:10" x14ac:dyDescent="0.35">
      <c r="H541" t="s">
        <v>302</v>
      </c>
      <c r="I541">
        <v>540</v>
      </c>
      <c r="J541" t="s">
        <v>1987</v>
      </c>
    </row>
    <row r="542" spans="8:10" x14ac:dyDescent="0.35">
      <c r="H542" t="s">
        <v>909</v>
      </c>
      <c r="I542">
        <v>541</v>
      </c>
      <c r="J542" t="s">
        <v>1988</v>
      </c>
    </row>
    <row r="543" spans="8:10" x14ac:dyDescent="0.35">
      <c r="H543" t="s">
        <v>534</v>
      </c>
      <c r="I543">
        <v>542</v>
      </c>
      <c r="J543" t="s">
        <v>1989</v>
      </c>
    </row>
    <row r="544" spans="8:10" x14ac:dyDescent="0.35">
      <c r="H544" t="s">
        <v>375</v>
      </c>
      <c r="I544">
        <v>543</v>
      </c>
      <c r="J544" t="s">
        <v>1990</v>
      </c>
    </row>
    <row r="545" spans="8:10" x14ac:dyDescent="0.35">
      <c r="H545" t="s">
        <v>303</v>
      </c>
      <c r="I545">
        <v>544</v>
      </c>
      <c r="J545" t="s">
        <v>1991</v>
      </c>
    </row>
    <row r="546" spans="8:10" x14ac:dyDescent="0.35">
      <c r="H546" t="s">
        <v>304</v>
      </c>
      <c r="I546">
        <v>545</v>
      </c>
      <c r="J546" t="s">
        <v>1992</v>
      </c>
    </row>
    <row r="547" spans="8:10" x14ac:dyDescent="0.35">
      <c r="H547" t="s">
        <v>138</v>
      </c>
      <c r="I547">
        <v>546</v>
      </c>
      <c r="J547" t="s">
        <v>1993</v>
      </c>
    </row>
    <row r="548" spans="8:10" x14ac:dyDescent="0.35">
      <c r="H548" t="s">
        <v>397</v>
      </c>
      <c r="I548">
        <v>547</v>
      </c>
      <c r="J548" t="s">
        <v>1994</v>
      </c>
    </row>
    <row r="549" spans="8:10" x14ac:dyDescent="0.35">
      <c r="H549" t="s">
        <v>305</v>
      </c>
      <c r="I549">
        <v>548</v>
      </c>
      <c r="J549" t="s">
        <v>1995</v>
      </c>
    </row>
    <row r="550" spans="8:10" x14ac:dyDescent="0.35">
      <c r="H550" t="s">
        <v>306</v>
      </c>
      <c r="I550">
        <v>549</v>
      </c>
      <c r="J550" t="s">
        <v>1996</v>
      </c>
    </row>
    <row r="551" spans="8:10" x14ac:dyDescent="0.35">
      <c r="H551" t="s">
        <v>910</v>
      </c>
      <c r="I551">
        <v>550</v>
      </c>
      <c r="J551" t="s">
        <v>1997</v>
      </c>
    </row>
    <row r="552" spans="8:10" x14ac:dyDescent="0.35">
      <c r="H552" t="s">
        <v>911</v>
      </c>
      <c r="I552">
        <v>551</v>
      </c>
      <c r="J552" t="s">
        <v>1998</v>
      </c>
    </row>
    <row r="553" spans="8:10" x14ac:dyDescent="0.35">
      <c r="H553" t="s">
        <v>307</v>
      </c>
      <c r="I553">
        <v>552</v>
      </c>
      <c r="J553" t="s">
        <v>1999</v>
      </c>
    </row>
    <row r="554" spans="8:10" x14ac:dyDescent="0.35">
      <c r="H554" t="s">
        <v>912</v>
      </c>
      <c r="I554">
        <v>553</v>
      </c>
      <c r="J554" t="s">
        <v>2000</v>
      </c>
    </row>
    <row r="555" spans="8:10" x14ac:dyDescent="0.35">
      <c r="H555" t="s">
        <v>139</v>
      </c>
      <c r="I555">
        <v>554</v>
      </c>
      <c r="J555" t="s">
        <v>2001</v>
      </c>
    </row>
    <row r="556" spans="8:10" x14ac:dyDescent="0.35">
      <c r="H556" t="s">
        <v>913</v>
      </c>
      <c r="I556">
        <v>555</v>
      </c>
      <c r="J556" t="s">
        <v>2002</v>
      </c>
    </row>
    <row r="557" spans="8:10" x14ac:dyDescent="0.35">
      <c r="H557" t="s">
        <v>914</v>
      </c>
      <c r="I557">
        <v>556</v>
      </c>
      <c r="J557" t="s">
        <v>2003</v>
      </c>
    </row>
    <row r="558" spans="8:10" x14ac:dyDescent="0.35">
      <c r="H558" t="s">
        <v>915</v>
      </c>
      <c r="I558">
        <v>557</v>
      </c>
      <c r="J558" t="s">
        <v>2004</v>
      </c>
    </row>
    <row r="559" spans="8:10" x14ac:dyDescent="0.35">
      <c r="H559" t="s">
        <v>308</v>
      </c>
      <c r="I559">
        <v>558</v>
      </c>
      <c r="J559" t="s">
        <v>2005</v>
      </c>
    </row>
    <row r="560" spans="8:10" x14ac:dyDescent="0.35">
      <c r="H560" t="s">
        <v>916</v>
      </c>
      <c r="I560">
        <v>559</v>
      </c>
      <c r="J560" t="s">
        <v>2006</v>
      </c>
    </row>
    <row r="561" spans="8:10" x14ac:dyDescent="0.35">
      <c r="H561" t="s">
        <v>917</v>
      </c>
      <c r="I561">
        <v>560</v>
      </c>
      <c r="J561" t="s">
        <v>2007</v>
      </c>
    </row>
    <row r="562" spans="8:10" x14ac:dyDescent="0.35">
      <c r="H562" t="s">
        <v>918</v>
      </c>
      <c r="I562">
        <v>561</v>
      </c>
      <c r="J562" t="s">
        <v>2008</v>
      </c>
    </row>
    <row r="563" spans="8:10" x14ac:dyDescent="0.35">
      <c r="H563" t="s">
        <v>309</v>
      </c>
      <c r="I563">
        <v>562</v>
      </c>
      <c r="J563" t="s">
        <v>2009</v>
      </c>
    </row>
    <row r="564" spans="8:10" x14ac:dyDescent="0.35">
      <c r="H564" t="s">
        <v>310</v>
      </c>
      <c r="I564">
        <v>563</v>
      </c>
      <c r="J564" t="s">
        <v>2010</v>
      </c>
    </row>
    <row r="565" spans="8:10" x14ac:dyDescent="0.35">
      <c r="H565" t="s">
        <v>140</v>
      </c>
      <c r="I565">
        <v>564</v>
      </c>
      <c r="J565" t="s">
        <v>2011</v>
      </c>
    </row>
    <row r="566" spans="8:10" x14ac:dyDescent="0.35">
      <c r="H566" t="s">
        <v>390</v>
      </c>
      <c r="I566">
        <v>565</v>
      </c>
      <c r="J566" t="s">
        <v>2012</v>
      </c>
    </row>
    <row r="567" spans="8:10" x14ac:dyDescent="0.35">
      <c r="H567" t="s">
        <v>39</v>
      </c>
      <c r="I567">
        <v>566</v>
      </c>
      <c r="J567" t="s">
        <v>2013</v>
      </c>
    </row>
    <row r="568" spans="8:10" x14ac:dyDescent="0.35">
      <c r="H568" t="s">
        <v>311</v>
      </c>
      <c r="I568">
        <v>567</v>
      </c>
      <c r="J568" t="s">
        <v>2014</v>
      </c>
    </row>
    <row r="569" spans="8:10" x14ac:dyDescent="0.35">
      <c r="H569" t="s">
        <v>569</v>
      </c>
      <c r="I569">
        <v>568</v>
      </c>
      <c r="J569" t="s">
        <v>2015</v>
      </c>
    </row>
    <row r="570" spans="8:10" x14ac:dyDescent="0.35">
      <c r="H570" t="s">
        <v>919</v>
      </c>
      <c r="I570">
        <v>569</v>
      </c>
      <c r="J570" t="s">
        <v>2016</v>
      </c>
    </row>
    <row r="571" spans="8:10" x14ac:dyDescent="0.35">
      <c r="H571" t="s">
        <v>40</v>
      </c>
      <c r="I571">
        <v>570</v>
      </c>
      <c r="J571" t="s">
        <v>2017</v>
      </c>
    </row>
    <row r="572" spans="8:10" x14ac:dyDescent="0.35">
      <c r="H572" t="s">
        <v>1296</v>
      </c>
      <c r="I572">
        <v>571</v>
      </c>
      <c r="J572" t="s">
        <v>2018</v>
      </c>
    </row>
    <row r="573" spans="8:10" x14ac:dyDescent="0.35">
      <c r="H573" t="s">
        <v>920</v>
      </c>
      <c r="I573">
        <v>572</v>
      </c>
      <c r="J573" t="s">
        <v>2019</v>
      </c>
    </row>
    <row r="574" spans="8:10" x14ac:dyDescent="0.35">
      <c r="H574" t="s">
        <v>41</v>
      </c>
      <c r="I574">
        <v>573</v>
      </c>
      <c r="J574" t="s">
        <v>2020</v>
      </c>
    </row>
    <row r="575" spans="8:10" x14ac:dyDescent="0.35">
      <c r="H575" t="s">
        <v>312</v>
      </c>
      <c r="I575">
        <v>574</v>
      </c>
      <c r="J575" t="s">
        <v>2021</v>
      </c>
    </row>
    <row r="576" spans="8:10" x14ac:dyDescent="0.35">
      <c r="H576" t="s">
        <v>313</v>
      </c>
      <c r="I576">
        <v>575</v>
      </c>
      <c r="J576" t="s">
        <v>2022</v>
      </c>
    </row>
    <row r="577" spans="8:10" x14ac:dyDescent="0.35">
      <c r="H577" t="s">
        <v>921</v>
      </c>
      <c r="I577">
        <v>576</v>
      </c>
      <c r="J577" t="s">
        <v>2023</v>
      </c>
    </row>
    <row r="578" spans="8:10" x14ac:dyDescent="0.35">
      <c r="H578" t="s">
        <v>141</v>
      </c>
      <c r="I578">
        <v>577</v>
      </c>
      <c r="J578" t="s">
        <v>2024</v>
      </c>
    </row>
    <row r="579" spans="8:10" x14ac:dyDescent="0.35">
      <c r="H579" t="s">
        <v>142</v>
      </c>
      <c r="I579">
        <v>578</v>
      </c>
      <c r="J579" t="s">
        <v>2025</v>
      </c>
    </row>
    <row r="580" spans="8:10" x14ac:dyDescent="0.35">
      <c r="H580" t="s">
        <v>922</v>
      </c>
      <c r="I580">
        <v>579</v>
      </c>
      <c r="J580" t="s">
        <v>2026</v>
      </c>
    </row>
    <row r="581" spans="8:10" x14ac:dyDescent="0.35">
      <c r="H581" t="s">
        <v>143</v>
      </c>
      <c r="I581">
        <v>580</v>
      </c>
      <c r="J581" t="s">
        <v>2027</v>
      </c>
    </row>
    <row r="582" spans="8:10" x14ac:dyDescent="0.35">
      <c r="H582" t="s">
        <v>144</v>
      </c>
      <c r="I582">
        <v>581</v>
      </c>
      <c r="J582" t="s">
        <v>2028</v>
      </c>
    </row>
    <row r="583" spans="8:10" x14ac:dyDescent="0.35">
      <c r="H583" t="s">
        <v>169</v>
      </c>
      <c r="I583">
        <v>582</v>
      </c>
      <c r="J583" t="s">
        <v>2029</v>
      </c>
    </row>
    <row r="584" spans="8:10" x14ac:dyDescent="0.35">
      <c r="H584" t="s">
        <v>523</v>
      </c>
      <c r="I584">
        <v>583</v>
      </c>
      <c r="J584" t="s">
        <v>2030</v>
      </c>
    </row>
    <row r="585" spans="8:10" x14ac:dyDescent="0.35">
      <c r="H585" t="s">
        <v>923</v>
      </c>
      <c r="I585">
        <v>584</v>
      </c>
      <c r="J585" t="s">
        <v>2031</v>
      </c>
    </row>
    <row r="586" spans="8:10" x14ac:dyDescent="0.35">
      <c r="H586" t="s">
        <v>924</v>
      </c>
      <c r="I586">
        <v>585</v>
      </c>
      <c r="J586" t="s">
        <v>2032</v>
      </c>
    </row>
    <row r="587" spans="8:10" x14ac:dyDescent="0.35">
      <c r="H587" t="s">
        <v>925</v>
      </c>
      <c r="I587">
        <v>586</v>
      </c>
      <c r="J587" t="s">
        <v>2033</v>
      </c>
    </row>
    <row r="588" spans="8:10" x14ac:dyDescent="0.35">
      <c r="H588" t="s">
        <v>926</v>
      </c>
      <c r="I588">
        <v>587</v>
      </c>
      <c r="J588" t="s">
        <v>2034</v>
      </c>
    </row>
    <row r="589" spans="8:10" x14ac:dyDescent="0.35">
      <c r="H589" t="s">
        <v>145</v>
      </c>
      <c r="I589">
        <v>588</v>
      </c>
      <c r="J589" t="s">
        <v>2035</v>
      </c>
    </row>
    <row r="590" spans="8:10" x14ac:dyDescent="0.35">
      <c r="H590" t="s">
        <v>146</v>
      </c>
      <c r="I590">
        <v>589</v>
      </c>
      <c r="J590" t="s">
        <v>2036</v>
      </c>
    </row>
    <row r="591" spans="8:10" x14ac:dyDescent="0.35">
      <c r="H591" t="s">
        <v>42</v>
      </c>
      <c r="I591">
        <v>590</v>
      </c>
      <c r="J591" t="s">
        <v>2037</v>
      </c>
    </row>
    <row r="592" spans="8:10" x14ac:dyDescent="0.35">
      <c r="H592" t="s">
        <v>147</v>
      </c>
      <c r="I592">
        <v>591</v>
      </c>
      <c r="J592" t="s">
        <v>2038</v>
      </c>
    </row>
    <row r="593" spans="8:10" x14ac:dyDescent="0.35">
      <c r="H593" t="s">
        <v>148</v>
      </c>
      <c r="I593">
        <v>592</v>
      </c>
      <c r="J593" t="s">
        <v>2039</v>
      </c>
    </row>
    <row r="594" spans="8:10" x14ac:dyDescent="0.35">
      <c r="H594" t="s">
        <v>149</v>
      </c>
      <c r="I594">
        <v>593</v>
      </c>
      <c r="J594" t="s">
        <v>2040</v>
      </c>
    </row>
    <row r="595" spans="8:10" x14ac:dyDescent="0.35">
      <c r="H595" t="s">
        <v>43</v>
      </c>
      <c r="I595">
        <v>594</v>
      </c>
      <c r="J595" t="s">
        <v>2041</v>
      </c>
    </row>
    <row r="596" spans="8:10" x14ac:dyDescent="0.35">
      <c r="H596" t="s">
        <v>44</v>
      </c>
      <c r="I596">
        <v>595</v>
      </c>
      <c r="J596" t="s">
        <v>2042</v>
      </c>
    </row>
    <row r="597" spans="8:10" x14ac:dyDescent="0.35">
      <c r="H597" t="s">
        <v>150</v>
      </c>
      <c r="I597">
        <v>596</v>
      </c>
      <c r="J597" t="s">
        <v>2043</v>
      </c>
    </row>
    <row r="598" spans="8:10" x14ac:dyDescent="0.35">
      <c r="H598" t="s">
        <v>485</v>
      </c>
      <c r="I598">
        <v>597</v>
      </c>
      <c r="J598" t="s">
        <v>2044</v>
      </c>
    </row>
    <row r="599" spans="8:10" x14ac:dyDescent="0.35">
      <c r="H599" t="s">
        <v>151</v>
      </c>
      <c r="I599">
        <v>598</v>
      </c>
      <c r="J599" t="s">
        <v>2045</v>
      </c>
    </row>
    <row r="600" spans="8:10" x14ac:dyDescent="0.35">
      <c r="H600" t="s">
        <v>45</v>
      </c>
      <c r="I600">
        <v>599</v>
      </c>
      <c r="J600" t="s">
        <v>2046</v>
      </c>
    </row>
    <row r="601" spans="8:10" x14ac:dyDescent="0.35">
      <c r="H601" t="s">
        <v>152</v>
      </c>
      <c r="I601">
        <v>600</v>
      </c>
      <c r="J601" t="s">
        <v>2047</v>
      </c>
    </row>
    <row r="602" spans="8:10" x14ac:dyDescent="0.35">
      <c r="H602" t="s">
        <v>153</v>
      </c>
      <c r="I602">
        <v>601</v>
      </c>
      <c r="J602" t="s">
        <v>2048</v>
      </c>
    </row>
    <row r="603" spans="8:10" x14ac:dyDescent="0.35">
      <c r="H603" t="s">
        <v>927</v>
      </c>
      <c r="I603">
        <v>602</v>
      </c>
      <c r="J603" t="s">
        <v>2049</v>
      </c>
    </row>
    <row r="604" spans="8:10" x14ac:dyDescent="0.35">
      <c r="H604" t="s">
        <v>46</v>
      </c>
      <c r="I604">
        <v>603</v>
      </c>
      <c r="J604" t="s">
        <v>2050</v>
      </c>
    </row>
    <row r="605" spans="8:10" x14ac:dyDescent="0.35">
      <c r="H605" t="s">
        <v>47</v>
      </c>
      <c r="I605">
        <v>604</v>
      </c>
      <c r="J605" t="s">
        <v>2051</v>
      </c>
    </row>
    <row r="606" spans="8:10" x14ac:dyDescent="0.35">
      <c r="H606" t="s">
        <v>928</v>
      </c>
      <c r="I606">
        <v>605</v>
      </c>
      <c r="J606" t="s">
        <v>2052</v>
      </c>
    </row>
    <row r="607" spans="8:10" x14ac:dyDescent="0.35">
      <c r="H607" t="s">
        <v>154</v>
      </c>
      <c r="I607">
        <v>606</v>
      </c>
      <c r="J607" t="s">
        <v>2053</v>
      </c>
    </row>
    <row r="608" spans="8:10" x14ac:dyDescent="0.35">
      <c r="H608" t="s">
        <v>48</v>
      </c>
      <c r="I608">
        <v>607</v>
      </c>
      <c r="J608" t="s">
        <v>2054</v>
      </c>
    </row>
    <row r="609" spans="8:10" x14ac:dyDescent="0.35">
      <c r="H609" t="s">
        <v>929</v>
      </c>
      <c r="I609">
        <v>608</v>
      </c>
      <c r="J609" t="s">
        <v>2055</v>
      </c>
    </row>
    <row r="610" spans="8:10" x14ac:dyDescent="0.35">
      <c r="H610" t="s">
        <v>930</v>
      </c>
      <c r="I610">
        <v>609</v>
      </c>
      <c r="J610" t="s">
        <v>2056</v>
      </c>
    </row>
    <row r="611" spans="8:10" x14ac:dyDescent="0.35">
      <c r="H611" t="s">
        <v>931</v>
      </c>
      <c r="I611">
        <v>610</v>
      </c>
      <c r="J611" t="s">
        <v>2057</v>
      </c>
    </row>
    <row r="612" spans="8:10" x14ac:dyDescent="0.35">
      <c r="H612" t="s">
        <v>932</v>
      </c>
      <c r="I612">
        <v>611</v>
      </c>
      <c r="J612" t="s">
        <v>2058</v>
      </c>
    </row>
    <row r="613" spans="8:10" x14ac:dyDescent="0.35">
      <c r="H613" t="s">
        <v>155</v>
      </c>
      <c r="I613">
        <v>612</v>
      </c>
      <c r="J613" t="s">
        <v>2059</v>
      </c>
    </row>
    <row r="614" spans="8:10" x14ac:dyDescent="0.35">
      <c r="H614" t="s">
        <v>933</v>
      </c>
      <c r="I614">
        <v>613</v>
      </c>
      <c r="J614" t="s">
        <v>2060</v>
      </c>
    </row>
    <row r="615" spans="8:10" x14ac:dyDescent="0.35">
      <c r="H615" t="s">
        <v>314</v>
      </c>
      <c r="I615">
        <v>614</v>
      </c>
      <c r="J615" t="s">
        <v>2061</v>
      </c>
    </row>
    <row r="616" spans="8:10" x14ac:dyDescent="0.35">
      <c r="H616" t="s">
        <v>49</v>
      </c>
      <c r="I616">
        <v>615</v>
      </c>
      <c r="J616" t="s">
        <v>2062</v>
      </c>
    </row>
    <row r="617" spans="8:10" x14ac:dyDescent="0.35">
      <c r="H617" t="s">
        <v>934</v>
      </c>
      <c r="I617">
        <v>616</v>
      </c>
      <c r="J617" t="s">
        <v>2063</v>
      </c>
    </row>
    <row r="618" spans="8:10" x14ac:dyDescent="0.35">
      <c r="H618" t="s">
        <v>50</v>
      </c>
      <c r="I618">
        <v>617</v>
      </c>
      <c r="J618" t="s">
        <v>2064</v>
      </c>
    </row>
    <row r="619" spans="8:10" x14ac:dyDescent="0.35">
      <c r="H619" t="s">
        <v>156</v>
      </c>
      <c r="I619">
        <v>618</v>
      </c>
      <c r="J619" t="s">
        <v>2065</v>
      </c>
    </row>
    <row r="620" spans="8:10" x14ac:dyDescent="0.35">
      <c r="H620" t="s">
        <v>157</v>
      </c>
      <c r="I620">
        <v>619</v>
      </c>
      <c r="J620" t="s">
        <v>2066</v>
      </c>
    </row>
    <row r="621" spans="8:10" x14ac:dyDescent="0.35">
      <c r="H621" t="s">
        <v>935</v>
      </c>
      <c r="I621">
        <v>620</v>
      </c>
      <c r="J621" t="s">
        <v>2067</v>
      </c>
    </row>
    <row r="622" spans="8:10" x14ac:dyDescent="0.35">
      <c r="H622" t="s">
        <v>158</v>
      </c>
      <c r="I622">
        <v>621</v>
      </c>
      <c r="J622" t="s">
        <v>2068</v>
      </c>
    </row>
    <row r="623" spans="8:10" x14ac:dyDescent="0.35">
      <c r="H623" t="s">
        <v>51</v>
      </c>
      <c r="I623">
        <v>622</v>
      </c>
      <c r="J623" t="s">
        <v>2069</v>
      </c>
    </row>
    <row r="624" spans="8:10" x14ac:dyDescent="0.35">
      <c r="H624" t="s">
        <v>476</v>
      </c>
      <c r="I624">
        <v>623</v>
      </c>
      <c r="J624" t="s">
        <v>2070</v>
      </c>
    </row>
    <row r="625" spans="8:10" x14ac:dyDescent="0.35">
      <c r="H625" t="s">
        <v>159</v>
      </c>
      <c r="I625">
        <v>624</v>
      </c>
      <c r="J625" t="s">
        <v>2071</v>
      </c>
    </row>
    <row r="626" spans="8:10" x14ac:dyDescent="0.35">
      <c r="H626" t="s">
        <v>160</v>
      </c>
      <c r="I626">
        <v>625</v>
      </c>
      <c r="J626" t="s">
        <v>2072</v>
      </c>
    </row>
    <row r="627" spans="8:10" x14ac:dyDescent="0.35">
      <c r="H627" t="s">
        <v>501</v>
      </c>
      <c r="I627">
        <v>626</v>
      </c>
      <c r="J627" t="s">
        <v>2073</v>
      </c>
    </row>
    <row r="628" spans="8:10" x14ac:dyDescent="0.35">
      <c r="H628" t="s">
        <v>524</v>
      </c>
      <c r="I628">
        <v>627</v>
      </c>
      <c r="J628" t="s">
        <v>2074</v>
      </c>
    </row>
    <row r="629" spans="8:10" x14ac:dyDescent="0.35">
      <c r="H629" t="s">
        <v>161</v>
      </c>
      <c r="I629">
        <v>628</v>
      </c>
      <c r="J629" t="s">
        <v>2075</v>
      </c>
    </row>
    <row r="630" spans="8:10" x14ac:dyDescent="0.35">
      <c r="H630" t="s">
        <v>512</v>
      </c>
      <c r="I630">
        <v>629</v>
      </c>
      <c r="J630" t="s">
        <v>2076</v>
      </c>
    </row>
    <row r="631" spans="8:10" x14ac:dyDescent="0.35">
      <c r="H631" t="s">
        <v>391</v>
      </c>
      <c r="I631">
        <v>630</v>
      </c>
      <c r="J631" t="s">
        <v>2077</v>
      </c>
    </row>
    <row r="632" spans="8:10" x14ac:dyDescent="0.35">
      <c r="H632" t="s">
        <v>392</v>
      </c>
      <c r="I632">
        <v>631</v>
      </c>
      <c r="J632" t="s">
        <v>2078</v>
      </c>
    </row>
    <row r="633" spans="8:10" x14ac:dyDescent="0.35">
      <c r="H633" t="s">
        <v>936</v>
      </c>
      <c r="I633">
        <v>632</v>
      </c>
      <c r="J633" t="s">
        <v>2079</v>
      </c>
    </row>
    <row r="634" spans="8:10" x14ac:dyDescent="0.35">
      <c r="H634" t="s">
        <v>393</v>
      </c>
      <c r="I634">
        <v>633</v>
      </c>
      <c r="J634" t="s">
        <v>2080</v>
      </c>
    </row>
    <row r="635" spans="8:10" x14ac:dyDescent="0.35">
      <c r="H635" t="s">
        <v>937</v>
      </c>
      <c r="I635">
        <v>634</v>
      </c>
      <c r="J635" t="s">
        <v>2081</v>
      </c>
    </row>
    <row r="636" spans="8:10" x14ac:dyDescent="0.35">
      <c r="H636" t="s">
        <v>315</v>
      </c>
      <c r="I636">
        <v>635</v>
      </c>
      <c r="J636" t="s">
        <v>2082</v>
      </c>
    </row>
    <row r="637" spans="8:10" x14ac:dyDescent="0.35">
      <c r="H637" t="s">
        <v>553</v>
      </c>
      <c r="I637">
        <v>636</v>
      </c>
      <c r="J637" t="s">
        <v>2083</v>
      </c>
    </row>
    <row r="638" spans="8:10" x14ac:dyDescent="0.35">
      <c r="H638" t="s">
        <v>510</v>
      </c>
      <c r="I638">
        <v>637</v>
      </c>
      <c r="J638" t="s">
        <v>2084</v>
      </c>
    </row>
    <row r="639" spans="8:10" x14ac:dyDescent="0.35">
      <c r="H639" t="s">
        <v>938</v>
      </c>
      <c r="I639">
        <v>638</v>
      </c>
      <c r="J639" t="s">
        <v>2085</v>
      </c>
    </row>
    <row r="640" spans="8:10" x14ac:dyDescent="0.35">
      <c r="H640" t="s">
        <v>939</v>
      </c>
      <c r="I640">
        <v>639</v>
      </c>
      <c r="J640" t="s">
        <v>2086</v>
      </c>
    </row>
    <row r="641" spans="8:10" x14ac:dyDescent="0.35">
      <c r="H641" t="s">
        <v>316</v>
      </c>
      <c r="I641">
        <v>640</v>
      </c>
      <c r="J641" t="s">
        <v>2087</v>
      </c>
    </row>
    <row r="642" spans="8:10" x14ac:dyDescent="0.35">
      <c r="H642" t="s">
        <v>940</v>
      </c>
      <c r="I642">
        <v>641</v>
      </c>
      <c r="J642" t="s">
        <v>2088</v>
      </c>
    </row>
    <row r="643" spans="8:10" x14ac:dyDescent="0.35">
      <c r="H643" t="s">
        <v>317</v>
      </c>
      <c r="I643">
        <v>642</v>
      </c>
      <c r="J643" t="s">
        <v>2089</v>
      </c>
    </row>
    <row r="644" spans="8:10" x14ac:dyDescent="0.35">
      <c r="H644" t="s">
        <v>394</v>
      </c>
      <c r="I644">
        <v>643</v>
      </c>
      <c r="J644" t="s">
        <v>2090</v>
      </c>
    </row>
    <row r="645" spans="8:10" x14ac:dyDescent="0.35">
      <c r="H645" t="s">
        <v>318</v>
      </c>
      <c r="I645">
        <v>644</v>
      </c>
      <c r="J645" t="s">
        <v>2091</v>
      </c>
    </row>
    <row r="646" spans="8:10" x14ac:dyDescent="0.35">
      <c r="H646" t="s">
        <v>941</v>
      </c>
      <c r="I646">
        <v>645</v>
      </c>
      <c r="J646" t="s">
        <v>2092</v>
      </c>
    </row>
    <row r="647" spans="8:10" x14ac:dyDescent="0.35">
      <c r="H647" t="s">
        <v>942</v>
      </c>
      <c r="I647">
        <v>646</v>
      </c>
      <c r="J647" t="s">
        <v>2093</v>
      </c>
    </row>
    <row r="648" spans="8:10" x14ac:dyDescent="0.35">
      <c r="H648" t="s">
        <v>943</v>
      </c>
      <c r="I648">
        <v>647</v>
      </c>
      <c r="J648" t="s">
        <v>2094</v>
      </c>
    </row>
    <row r="649" spans="8:10" x14ac:dyDescent="0.35">
      <c r="H649" t="s">
        <v>470</v>
      </c>
      <c r="I649">
        <v>648</v>
      </c>
      <c r="J649" t="s">
        <v>2095</v>
      </c>
    </row>
    <row r="650" spans="8:10" x14ac:dyDescent="0.35">
      <c r="H650" t="s">
        <v>944</v>
      </c>
      <c r="I650">
        <v>649</v>
      </c>
      <c r="J650" t="s">
        <v>2096</v>
      </c>
    </row>
    <row r="651" spans="8:10" x14ac:dyDescent="0.35">
      <c r="H651" t="s">
        <v>472</v>
      </c>
      <c r="I651">
        <v>650</v>
      </c>
      <c r="J651" t="s">
        <v>2097</v>
      </c>
    </row>
    <row r="652" spans="8:10" x14ac:dyDescent="0.35">
      <c r="H652" t="s">
        <v>945</v>
      </c>
      <c r="I652">
        <v>651</v>
      </c>
      <c r="J652" t="s">
        <v>2098</v>
      </c>
    </row>
    <row r="653" spans="8:10" x14ac:dyDescent="0.35">
      <c r="H653" t="s">
        <v>122</v>
      </c>
      <c r="I653">
        <v>652</v>
      </c>
      <c r="J653" t="s">
        <v>2099</v>
      </c>
    </row>
    <row r="654" spans="8:10" x14ac:dyDescent="0.35">
      <c r="H654" t="s">
        <v>946</v>
      </c>
      <c r="I654">
        <v>653</v>
      </c>
      <c r="J654" t="s">
        <v>2100</v>
      </c>
    </row>
    <row r="655" spans="8:10" x14ac:dyDescent="0.35">
      <c r="H655" t="s">
        <v>473</v>
      </c>
      <c r="I655">
        <v>654</v>
      </c>
      <c r="J655" t="s">
        <v>2101</v>
      </c>
    </row>
    <row r="656" spans="8:10" x14ac:dyDescent="0.35">
      <c r="H656" t="s">
        <v>947</v>
      </c>
      <c r="I656">
        <v>655</v>
      </c>
      <c r="J656" t="s">
        <v>2102</v>
      </c>
    </row>
    <row r="657" spans="8:10" x14ac:dyDescent="0.35">
      <c r="H657" t="s">
        <v>475</v>
      </c>
      <c r="I657">
        <v>656</v>
      </c>
      <c r="J657" t="s">
        <v>2103</v>
      </c>
    </row>
    <row r="658" spans="8:10" x14ac:dyDescent="0.35">
      <c r="H658" t="s">
        <v>1297</v>
      </c>
      <c r="I658">
        <v>657</v>
      </c>
      <c r="J658" t="s">
        <v>2104</v>
      </c>
    </row>
    <row r="659" spans="8:10" x14ac:dyDescent="0.35">
      <c r="H659" t="s">
        <v>477</v>
      </c>
      <c r="I659">
        <v>658</v>
      </c>
      <c r="J659" t="s">
        <v>2105</v>
      </c>
    </row>
    <row r="660" spans="8:10" x14ac:dyDescent="0.35">
      <c r="H660" t="s">
        <v>948</v>
      </c>
      <c r="I660">
        <v>659</v>
      </c>
      <c r="J660" t="s">
        <v>2106</v>
      </c>
    </row>
    <row r="661" spans="8:10" x14ac:dyDescent="0.35">
      <c r="H661" t="s">
        <v>481</v>
      </c>
      <c r="I661">
        <v>660</v>
      </c>
      <c r="J661" t="s">
        <v>2107</v>
      </c>
    </row>
    <row r="662" spans="8:10" x14ac:dyDescent="0.35">
      <c r="H662" t="s">
        <v>949</v>
      </c>
      <c r="I662">
        <v>661</v>
      </c>
      <c r="J662" t="s">
        <v>2108</v>
      </c>
    </row>
    <row r="663" spans="8:10" x14ac:dyDescent="0.35">
      <c r="H663" t="s">
        <v>482</v>
      </c>
      <c r="I663">
        <v>662</v>
      </c>
      <c r="J663" t="s">
        <v>2109</v>
      </c>
    </row>
    <row r="664" spans="8:10" x14ac:dyDescent="0.35">
      <c r="H664" t="s">
        <v>950</v>
      </c>
      <c r="I664">
        <v>663</v>
      </c>
      <c r="J664" t="s">
        <v>2110</v>
      </c>
    </row>
    <row r="665" spans="8:10" x14ac:dyDescent="0.35">
      <c r="H665" t="s">
        <v>951</v>
      </c>
      <c r="I665">
        <v>664</v>
      </c>
      <c r="J665" t="s">
        <v>2111</v>
      </c>
    </row>
    <row r="666" spans="8:10" x14ac:dyDescent="0.35">
      <c r="H666" t="s">
        <v>483</v>
      </c>
      <c r="I666">
        <v>665</v>
      </c>
      <c r="J666" t="s">
        <v>2112</v>
      </c>
    </row>
    <row r="667" spans="8:10" x14ac:dyDescent="0.35">
      <c r="H667" t="s">
        <v>952</v>
      </c>
      <c r="I667">
        <v>666</v>
      </c>
      <c r="J667" t="s">
        <v>2113</v>
      </c>
    </row>
    <row r="668" spans="8:10" x14ac:dyDescent="0.35">
      <c r="H668" t="s">
        <v>489</v>
      </c>
      <c r="I668">
        <v>667</v>
      </c>
      <c r="J668" t="s">
        <v>2114</v>
      </c>
    </row>
    <row r="669" spans="8:10" x14ac:dyDescent="0.35">
      <c r="H669" t="s">
        <v>490</v>
      </c>
      <c r="I669">
        <v>668</v>
      </c>
      <c r="J669" t="s">
        <v>2115</v>
      </c>
    </row>
    <row r="670" spans="8:10" x14ac:dyDescent="0.35">
      <c r="H670" t="s">
        <v>484</v>
      </c>
      <c r="I670">
        <v>669</v>
      </c>
      <c r="J670" t="s">
        <v>2116</v>
      </c>
    </row>
    <row r="671" spans="8:10" x14ac:dyDescent="0.35">
      <c r="H671" t="s">
        <v>953</v>
      </c>
      <c r="I671">
        <v>670</v>
      </c>
      <c r="J671" t="s">
        <v>2117</v>
      </c>
    </row>
    <row r="672" spans="8:10" x14ac:dyDescent="0.35">
      <c r="H672" t="s">
        <v>492</v>
      </c>
      <c r="I672">
        <v>671</v>
      </c>
      <c r="J672" t="s">
        <v>2118</v>
      </c>
    </row>
    <row r="673" spans="8:10" x14ac:dyDescent="0.35">
      <c r="H673" t="s">
        <v>493</v>
      </c>
      <c r="I673">
        <v>672</v>
      </c>
      <c r="J673" t="s">
        <v>2119</v>
      </c>
    </row>
    <row r="674" spans="8:10" x14ac:dyDescent="0.35">
      <c r="H674" t="s">
        <v>954</v>
      </c>
      <c r="I674">
        <v>673</v>
      </c>
      <c r="J674" t="s">
        <v>2120</v>
      </c>
    </row>
    <row r="675" spans="8:10" x14ac:dyDescent="0.35">
      <c r="H675" t="s">
        <v>955</v>
      </c>
      <c r="I675">
        <v>674</v>
      </c>
      <c r="J675" t="s">
        <v>2121</v>
      </c>
    </row>
    <row r="676" spans="8:10" x14ac:dyDescent="0.35">
      <c r="H676" t="s">
        <v>956</v>
      </c>
      <c r="I676">
        <v>675</v>
      </c>
      <c r="J676" t="s">
        <v>2122</v>
      </c>
    </row>
    <row r="677" spans="8:10" x14ac:dyDescent="0.35">
      <c r="H677" t="s">
        <v>957</v>
      </c>
      <c r="I677">
        <v>676</v>
      </c>
      <c r="J677" t="s">
        <v>2123</v>
      </c>
    </row>
    <row r="678" spans="8:10" x14ac:dyDescent="0.35">
      <c r="H678" t="s">
        <v>958</v>
      </c>
      <c r="I678">
        <v>677</v>
      </c>
      <c r="J678" t="s">
        <v>2124</v>
      </c>
    </row>
    <row r="679" spans="8:10" x14ac:dyDescent="0.35">
      <c r="H679" t="s">
        <v>497</v>
      </c>
      <c r="I679">
        <v>678</v>
      </c>
      <c r="J679" t="s">
        <v>2125</v>
      </c>
    </row>
    <row r="680" spans="8:10" x14ac:dyDescent="0.35">
      <c r="H680" t="s">
        <v>496</v>
      </c>
      <c r="I680">
        <v>679</v>
      </c>
      <c r="J680" t="s">
        <v>2126</v>
      </c>
    </row>
    <row r="681" spans="8:10" x14ac:dyDescent="0.35">
      <c r="H681" t="s">
        <v>959</v>
      </c>
      <c r="I681">
        <v>680</v>
      </c>
      <c r="J681" t="s">
        <v>2127</v>
      </c>
    </row>
    <row r="682" spans="8:10" x14ac:dyDescent="0.35">
      <c r="H682" t="s">
        <v>960</v>
      </c>
      <c r="I682">
        <v>681</v>
      </c>
      <c r="J682" t="s">
        <v>2128</v>
      </c>
    </row>
    <row r="683" spans="8:10" x14ac:dyDescent="0.35">
      <c r="H683" t="s">
        <v>1280</v>
      </c>
      <c r="I683">
        <v>682</v>
      </c>
      <c r="J683" t="s">
        <v>2129</v>
      </c>
    </row>
    <row r="684" spans="8:10" x14ac:dyDescent="0.35">
      <c r="H684" t="s">
        <v>499</v>
      </c>
      <c r="I684">
        <v>683</v>
      </c>
      <c r="J684" t="s">
        <v>2130</v>
      </c>
    </row>
    <row r="685" spans="8:10" x14ac:dyDescent="0.35">
      <c r="H685" t="s">
        <v>505</v>
      </c>
      <c r="I685">
        <v>684</v>
      </c>
      <c r="J685" t="s">
        <v>2131</v>
      </c>
    </row>
    <row r="686" spans="8:10" x14ac:dyDescent="0.35">
      <c r="H686" t="s">
        <v>961</v>
      </c>
      <c r="I686">
        <v>685</v>
      </c>
      <c r="J686" t="s">
        <v>2132</v>
      </c>
    </row>
    <row r="687" spans="8:10" x14ac:dyDescent="0.35">
      <c r="H687" t="s">
        <v>502</v>
      </c>
      <c r="I687">
        <v>686</v>
      </c>
      <c r="J687" t="s">
        <v>2133</v>
      </c>
    </row>
    <row r="688" spans="8:10" x14ac:dyDescent="0.35">
      <c r="H688" t="s">
        <v>509</v>
      </c>
      <c r="I688">
        <v>687</v>
      </c>
      <c r="J688" t="s">
        <v>2134</v>
      </c>
    </row>
    <row r="689" spans="8:10" x14ac:dyDescent="0.35">
      <c r="H689" t="s">
        <v>507</v>
      </c>
      <c r="I689">
        <v>688</v>
      </c>
      <c r="J689" t="s">
        <v>2135</v>
      </c>
    </row>
    <row r="690" spans="8:10" x14ac:dyDescent="0.35">
      <c r="H690" t="s">
        <v>962</v>
      </c>
      <c r="I690">
        <v>689</v>
      </c>
      <c r="J690" t="s">
        <v>2136</v>
      </c>
    </row>
    <row r="691" spans="8:10" x14ac:dyDescent="0.35">
      <c r="H691" t="s">
        <v>508</v>
      </c>
      <c r="I691">
        <v>690</v>
      </c>
      <c r="J691" t="s">
        <v>2137</v>
      </c>
    </row>
    <row r="692" spans="8:10" x14ac:dyDescent="0.35">
      <c r="H692" t="s">
        <v>511</v>
      </c>
      <c r="I692">
        <v>691</v>
      </c>
      <c r="J692" t="s">
        <v>2138</v>
      </c>
    </row>
    <row r="693" spans="8:10" x14ac:dyDescent="0.35">
      <c r="H693" t="s">
        <v>570</v>
      </c>
      <c r="I693">
        <v>692</v>
      </c>
      <c r="J693" t="s">
        <v>2139</v>
      </c>
    </row>
    <row r="694" spans="8:10" x14ac:dyDescent="0.35">
      <c r="H694" t="s">
        <v>963</v>
      </c>
      <c r="I694">
        <v>693</v>
      </c>
      <c r="J694" t="s">
        <v>2140</v>
      </c>
    </row>
    <row r="695" spans="8:10" x14ac:dyDescent="0.35">
      <c r="H695" t="s">
        <v>513</v>
      </c>
      <c r="I695">
        <v>694</v>
      </c>
      <c r="J695" t="s">
        <v>2141</v>
      </c>
    </row>
    <row r="696" spans="8:10" x14ac:dyDescent="0.35">
      <c r="H696" t="s">
        <v>1374</v>
      </c>
      <c r="I696">
        <v>695</v>
      </c>
      <c r="J696" t="s">
        <v>2142</v>
      </c>
    </row>
    <row r="697" spans="8:10" x14ac:dyDescent="0.35">
      <c r="H697" t="s">
        <v>514</v>
      </c>
      <c r="I697">
        <v>696</v>
      </c>
      <c r="J697" t="s">
        <v>2143</v>
      </c>
    </row>
    <row r="698" spans="8:10" x14ac:dyDescent="0.35">
      <c r="H698" t="s">
        <v>515</v>
      </c>
      <c r="I698">
        <v>697</v>
      </c>
      <c r="J698" t="s">
        <v>2144</v>
      </c>
    </row>
    <row r="699" spans="8:10" x14ac:dyDescent="0.35">
      <c r="H699" t="s">
        <v>964</v>
      </c>
      <c r="I699">
        <v>698</v>
      </c>
      <c r="J699" t="s">
        <v>2145</v>
      </c>
    </row>
    <row r="700" spans="8:10" x14ac:dyDescent="0.35">
      <c r="H700" t="s">
        <v>965</v>
      </c>
      <c r="I700">
        <v>699</v>
      </c>
      <c r="J700" t="s">
        <v>2146</v>
      </c>
    </row>
    <row r="701" spans="8:10" x14ac:dyDescent="0.35">
      <c r="H701" t="s">
        <v>966</v>
      </c>
      <c r="I701">
        <v>700</v>
      </c>
      <c r="J701" t="s">
        <v>2147</v>
      </c>
    </row>
    <row r="702" spans="8:10" x14ac:dyDescent="0.35">
      <c r="H702" t="s">
        <v>516</v>
      </c>
      <c r="I702">
        <v>701</v>
      </c>
      <c r="J702" t="s">
        <v>2148</v>
      </c>
    </row>
    <row r="703" spans="8:10" x14ac:dyDescent="0.35">
      <c r="H703" t="s">
        <v>967</v>
      </c>
      <c r="I703">
        <v>702</v>
      </c>
      <c r="J703" t="s">
        <v>2149</v>
      </c>
    </row>
    <row r="704" spans="8:10" x14ac:dyDescent="0.35">
      <c r="H704" t="s">
        <v>968</v>
      </c>
      <c r="I704">
        <v>703</v>
      </c>
      <c r="J704" t="s">
        <v>2150</v>
      </c>
    </row>
    <row r="705" spans="8:10" x14ac:dyDescent="0.35">
      <c r="H705" t="s">
        <v>969</v>
      </c>
      <c r="I705">
        <v>704</v>
      </c>
      <c r="J705" t="s">
        <v>2151</v>
      </c>
    </row>
    <row r="706" spans="8:10" x14ac:dyDescent="0.35">
      <c r="H706" t="s">
        <v>970</v>
      </c>
      <c r="I706">
        <v>705</v>
      </c>
      <c r="J706" t="s">
        <v>2152</v>
      </c>
    </row>
    <row r="707" spans="8:10" x14ac:dyDescent="0.35">
      <c r="H707" t="s">
        <v>525</v>
      </c>
      <c r="I707">
        <v>706</v>
      </c>
      <c r="J707" t="s">
        <v>2153</v>
      </c>
    </row>
    <row r="708" spans="8:10" x14ac:dyDescent="0.35">
      <c r="H708" t="s">
        <v>971</v>
      </c>
      <c r="I708">
        <v>707</v>
      </c>
      <c r="J708" t="s">
        <v>2154</v>
      </c>
    </row>
    <row r="709" spans="8:10" x14ac:dyDescent="0.35">
      <c r="H709" t="s">
        <v>554</v>
      </c>
      <c r="I709">
        <v>708</v>
      </c>
      <c r="J709" t="s">
        <v>2155</v>
      </c>
    </row>
    <row r="710" spans="8:10" x14ac:dyDescent="0.35">
      <c r="H710" t="s">
        <v>555</v>
      </c>
      <c r="I710">
        <v>709</v>
      </c>
      <c r="J710" t="s">
        <v>2156</v>
      </c>
    </row>
    <row r="711" spans="8:10" x14ac:dyDescent="0.35">
      <c r="H711" t="s">
        <v>535</v>
      </c>
      <c r="I711">
        <v>710</v>
      </c>
      <c r="J711" t="s">
        <v>2157</v>
      </c>
    </row>
    <row r="712" spans="8:10" x14ac:dyDescent="0.35">
      <c r="H712" t="s">
        <v>556</v>
      </c>
      <c r="I712">
        <v>711</v>
      </c>
      <c r="J712" t="s">
        <v>2158</v>
      </c>
    </row>
    <row r="713" spans="8:10" x14ac:dyDescent="0.35">
      <c r="H713" t="s">
        <v>972</v>
      </c>
      <c r="I713">
        <v>712</v>
      </c>
      <c r="J713" t="s">
        <v>2159</v>
      </c>
    </row>
    <row r="714" spans="8:10" x14ac:dyDescent="0.35">
      <c r="H714" t="s">
        <v>973</v>
      </c>
      <c r="I714">
        <v>713</v>
      </c>
      <c r="J714" t="s">
        <v>2160</v>
      </c>
    </row>
    <row r="715" spans="8:10" x14ac:dyDescent="0.35">
      <c r="H715" t="s">
        <v>674</v>
      </c>
      <c r="I715">
        <v>714</v>
      </c>
      <c r="J715" t="s">
        <v>2161</v>
      </c>
    </row>
    <row r="716" spans="8:10" x14ac:dyDescent="0.35">
      <c r="H716" t="s">
        <v>557</v>
      </c>
      <c r="I716">
        <v>715</v>
      </c>
      <c r="J716" t="s">
        <v>2162</v>
      </c>
    </row>
    <row r="717" spans="8:10" x14ac:dyDescent="0.35">
      <c r="H717" t="s">
        <v>536</v>
      </c>
      <c r="I717">
        <v>716</v>
      </c>
      <c r="J717" t="s">
        <v>2163</v>
      </c>
    </row>
    <row r="718" spans="8:10" x14ac:dyDescent="0.35">
      <c r="H718" t="s">
        <v>576</v>
      </c>
      <c r="I718">
        <v>717</v>
      </c>
      <c r="J718" t="s">
        <v>2164</v>
      </c>
    </row>
    <row r="719" spans="8:10" x14ac:dyDescent="0.35">
      <c r="H719" t="s">
        <v>558</v>
      </c>
      <c r="I719">
        <v>718</v>
      </c>
      <c r="J719" t="s">
        <v>2165</v>
      </c>
    </row>
    <row r="720" spans="8:10" x14ac:dyDescent="0.35">
      <c r="H720" t="s">
        <v>537</v>
      </c>
      <c r="I720">
        <v>719</v>
      </c>
      <c r="J720" t="s">
        <v>2166</v>
      </c>
    </row>
    <row r="721" spans="8:10" x14ac:dyDescent="0.35">
      <c r="H721" t="s">
        <v>568</v>
      </c>
      <c r="I721">
        <v>720</v>
      </c>
      <c r="J721" t="s">
        <v>2167</v>
      </c>
    </row>
    <row r="722" spans="8:10" x14ac:dyDescent="0.35">
      <c r="H722" t="s">
        <v>974</v>
      </c>
      <c r="I722">
        <v>721</v>
      </c>
      <c r="J722" t="s">
        <v>2168</v>
      </c>
    </row>
    <row r="723" spans="8:10" x14ac:dyDescent="0.35">
      <c r="H723" t="s">
        <v>975</v>
      </c>
      <c r="I723">
        <v>722</v>
      </c>
      <c r="J723" t="s">
        <v>2169</v>
      </c>
    </row>
    <row r="724" spans="8:10" x14ac:dyDescent="0.35">
      <c r="H724" t="s">
        <v>559</v>
      </c>
      <c r="I724">
        <v>723</v>
      </c>
      <c r="J724" t="s">
        <v>2170</v>
      </c>
    </row>
    <row r="725" spans="8:10" x14ac:dyDescent="0.35">
      <c r="H725" t="s">
        <v>976</v>
      </c>
      <c r="I725">
        <v>724</v>
      </c>
      <c r="J725" t="s">
        <v>2171</v>
      </c>
    </row>
    <row r="726" spans="8:10" x14ac:dyDescent="0.35">
      <c r="H726" t="s">
        <v>977</v>
      </c>
      <c r="I726">
        <v>725</v>
      </c>
      <c r="J726" t="s">
        <v>2172</v>
      </c>
    </row>
    <row r="727" spans="8:10" x14ac:dyDescent="0.35">
      <c r="H727" t="s">
        <v>538</v>
      </c>
      <c r="I727">
        <v>726</v>
      </c>
      <c r="J727" t="s">
        <v>2173</v>
      </c>
    </row>
    <row r="728" spans="8:10" x14ac:dyDescent="0.35">
      <c r="H728" t="s">
        <v>978</v>
      </c>
      <c r="I728">
        <v>727</v>
      </c>
      <c r="J728" t="s">
        <v>2174</v>
      </c>
    </row>
    <row r="729" spans="8:10" x14ac:dyDescent="0.35">
      <c r="H729" t="s">
        <v>979</v>
      </c>
      <c r="I729">
        <v>728</v>
      </c>
      <c r="J729" t="s">
        <v>2175</v>
      </c>
    </row>
    <row r="730" spans="8:10" x14ac:dyDescent="0.35">
      <c r="H730" t="s">
        <v>980</v>
      </c>
      <c r="I730">
        <v>729</v>
      </c>
      <c r="J730" t="s">
        <v>2176</v>
      </c>
    </row>
    <row r="731" spans="8:10" x14ac:dyDescent="0.35">
      <c r="H731" t="s">
        <v>560</v>
      </c>
      <c r="I731">
        <v>730</v>
      </c>
      <c r="J731" t="s">
        <v>2177</v>
      </c>
    </row>
    <row r="732" spans="8:10" x14ac:dyDescent="0.35">
      <c r="H732" t="s">
        <v>526</v>
      </c>
      <c r="I732">
        <v>731</v>
      </c>
      <c r="J732" t="s">
        <v>2178</v>
      </c>
    </row>
    <row r="733" spans="8:10" x14ac:dyDescent="0.35">
      <c r="H733" t="s">
        <v>981</v>
      </c>
      <c r="I733">
        <v>732</v>
      </c>
      <c r="J733" t="s">
        <v>2179</v>
      </c>
    </row>
    <row r="734" spans="8:10" x14ac:dyDescent="0.35">
      <c r="H734" t="s">
        <v>982</v>
      </c>
      <c r="I734">
        <v>733</v>
      </c>
      <c r="J734" t="s">
        <v>2180</v>
      </c>
    </row>
    <row r="735" spans="8:10" x14ac:dyDescent="0.35">
      <c r="H735" t="s">
        <v>641</v>
      </c>
      <c r="I735">
        <v>734</v>
      </c>
      <c r="J735" t="s">
        <v>2181</v>
      </c>
    </row>
    <row r="736" spans="8:10" x14ac:dyDescent="0.35">
      <c r="H736" t="s">
        <v>983</v>
      </c>
      <c r="I736">
        <v>735</v>
      </c>
      <c r="J736" t="s">
        <v>2182</v>
      </c>
    </row>
    <row r="737" spans="8:10" x14ac:dyDescent="0.35">
      <c r="H737" t="s">
        <v>984</v>
      </c>
      <c r="I737">
        <v>736</v>
      </c>
      <c r="J737" t="s">
        <v>2183</v>
      </c>
    </row>
    <row r="738" spans="8:10" x14ac:dyDescent="0.35">
      <c r="H738" t="s">
        <v>1349</v>
      </c>
      <c r="I738">
        <v>737</v>
      </c>
      <c r="J738" t="s">
        <v>2184</v>
      </c>
    </row>
    <row r="739" spans="8:10" x14ac:dyDescent="0.35">
      <c r="H739" t="s">
        <v>539</v>
      </c>
      <c r="I739">
        <v>738</v>
      </c>
      <c r="J739" t="s">
        <v>2185</v>
      </c>
    </row>
    <row r="740" spans="8:10" x14ac:dyDescent="0.35">
      <c r="H740" t="s">
        <v>572</v>
      </c>
      <c r="I740">
        <v>739</v>
      </c>
      <c r="J740" t="s">
        <v>2186</v>
      </c>
    </row>
    <row r="741" spans="8:10" x14ac:dyDescent="0.35">
      <c r="H741" t="s">
        <v>561</v>
      </c>
      <c r="I741">
        <v>740</v>
      </c>
      <c r="J741" t="s">
        <v>2187</v>
      </c>
    </row>
    <row r="742" spans="8:10" x14ac:dyDescent="0.35">
      <c r="H742" t="s">
        <v>573</v>
      </c>
      <c r="I742">
        <v>741</v>
      </c>
      <c r="J742" t="s">
        <v>2188</v>
      </c>
    </row>
    <row r="743" spans="8:10" x14ac:dyDescent="0.35">
      <c r="H743" t="s">
        <v>562</v>
      </c>
      <c r="I743">
        <v>742</v>
      </c>
      <c r="J743" t="s">
        <v>2189</v>
      </c>
    </row>
    <row r="744" spans="8:10" x14ac:dyDescent="0.35">
      <c r="H744" t="s">
        <v>985</v>
      </c>
      <c r="I744">
        <v>743</v>
      </c>
      <c r="J744" t="s">
        <v>2190</v>
      </c>
    </row>
    <row r="745" spans="8:10" x14ac:dyDescent="0.35">
      <c r="H745" t="s">
        <v>986</v>
      </c>
      <c r="I745">
        <v>744</v>
      </c>
      <c r="J745" t="s">
        <v>2191</v>
      </c>
    </row>
    <row r="746" spans="8:10" x14ac:dyDescent="0.35">
      <c r="H746" t="s">
        <v>987</v>
      </c>
      <c r="I746">
        <v>745</v>
      </c>
      <c r="J746" t="s">
        <v>2192</v>
      </c>
    </row>
    <row r="747" spans="8:10" x14ac:dyDescent="0.35">
      <c r="H747" t="s">
        <v>988</v>
      </c>
      <c r="I747">
        <v>746</v>
      </c>
      <c r="J747" t="s">
        <v>2193</v>
      </c>
    </row>
    <row r="748" spans="8:10" x14ac:dyDescent="0.35">
      <c r="H748" t="s">
        <v>989</v>
      </c>
      <c r="I748">
        <v>747</v>
      </c>
      <c r="J748" t="s">
        <v>2194</v>
      </c>
    </row>
    <row r="749" spans="8:10" x14ac:dyDescent="0.35">
      <c r="H749" t="s">
        <v>990</v>
      </c>
      <c r="I749">
        <v>748</v>
      </c>
      <c r="J749" t="s">
        <v>2195</v>
      </c>
    </row>
    <row r="750" spans="8:10" x14ac:dyDescent="0.35">
      <c r="H750" t="s">
        <v>1281</v>
      </c>
      <c r="I750">
        <v>749</v>
      </c>
      <c r="J750" t="s">
        <v>2196</v>
      </c>
    </row>
    <row r="751" spans="8:10" x14ac:dyDescent="0.35">
      <c r="H751" t="s">
        <v>991</v>
      </c>
      <c r="I751">
        <v>750</v>
      </c>
      <c r="J751" t="s">
        <v>2197</v>
      </c>
    </row>
    <row r="752" spans="8:10" x14ac:dyDescent="0.35">
      <c r="H752" t="s">
        <v>1264</v>
      </c>
      <c r="I752">
        <v>751</v>
      </c>
      <c r="J752" t="s">
        <v>2198</v>
      </c>
    </row>
    <row r="753" spans="8:10" x14ac:dyDescent="0.35">
      <c r="H753" t="s">
        <v>574</v>
      </c>
      <c r="I753">
        <v>752</v>
      </c>
      <c r="J753" t="s">
        <v>2199</v>
      </c>
    </row>
    <row r="754" spans="8:10" x14ac:dyDescent="0.35">
      <c r="H754" t="s">
        <v>992</v>
      </c>
      <c r="I754">
        <v>753</v>
      </c>
      <c r="J754" t="s">
        <v>2200</v>
      </c>
    </row>
    <row r="755" spans="8:10" x14ac:dyDescent="0.35">
      <c r="H755" t="s">
        <v>993</v>
      </c>
      <c r="I755">
        <v>754</v>
      </c>
      <c r="J755" t="s">
        <v>2201</v>
      </c>
    </row>
    <row r="756" spans="8:10" x14ac:dyDescent="0.35">
      <c r="H756" t="s">
        <v>994</v>
      </c>
      <c r="I756">
        <v>755</v>
      </c>
      <c r="J756" t="s">
        <v>2202</v>
      </c>
    </row>
    <row r="757" spans="8:10" x14ac:dyDescent="0.35">
      <c r="H757" t="s">
        <v>1298</v>
      </c>
      <c r="I757">
        <v>756</v>
      </c>
      <c r="J757" t="s">
        <v>2203</v>
      </c>
    </row>
    <row r="758" spans="8:10" x14ac:dyDescent="0.35">
      <c r="H758" t="s">
        <v>995</v>
      </c>
      <c r="I758">
        <v>757</v>
      </c>
      <c r="J758" t="s">
        <v>2204</v>
      </c>
    </row>
    <row r="759" spans="8:10" x14ac:dyDescent="0.35">
      <c r="H759" t="s">
        <v>996</v>
      </c>
      <c r="I759">
        <v>758</v>
      </c>
      <c r="J759" t="s">
        <v>2205</v>
      </c>
    </row>
    <row r="760" spans="8:10" x14ac:dyDescent="0.35">
      <c r="H760" t="s">
        <v>563</v>
      </c>
      <c r="I760">
        <v>759</v>
      </c>
      <c r="J760" t="s">
        <v>2206</v>
      </c>
    </row>
    <row r="761" spans="8:10" x14ac:dyDescent="0.35">
      <c r="H761" t="s">
        <v>997</v>
      </c>
      <c r="I761">
        <v>760</v>
      </c>
      <c r="J761" t="s">
        <v>2207</v>
      </c>
    </row>
    <row r="762" spans="8:10" x14ac:dyDescent="0.35">
      <c r="H762" t="s">
        <v>564</v>
      </c>
      <c r="I762">
        <v>761</v>
      </c>
      <c r="J762" t="s">
        <v>2208</v>
      </c>
    </row>
    <row r="763" spans="8:10" x14ac:dyDescent="0.35">
      <c r="H763" t="s">
        <v>540</v>
      </c>
      <c r="I763">
        <v>762</v>
      </c>
      <c r="J763" t="s">
        <v>2209</v>
      </c>
    </row>
    <row r="764" spans="8:10" x14ac:dyDescent="0.35">
      <c r="H764" t="s">
        <v>998</v>
      </c>
      <c r="I764">
        <v>763</v>
      </c>
      <c r="J764" t="s">
        <v>2210</v>
      </c>
    </row>
    <row r="765" spans="8:10" x14ac:dyDescent="0.35">
      <c r="H765" t="s">
        <v>999</v>
      </c>
      <c r="I765">
        <v>764</v>
      </c>
      <c r="J765" t="s">
        <v>2211</v>
      </c>
    </row>
    <row r="766" spans="8:10" x14ac:dyDescent="0.35">
      <c r="H766" t="s">
        <v>1000</v>
      </c>
      <c r="I766">
        <v>765</v>
      </c>
      <c r="J766" t="s">
        <v>2212</v>
      </c>
    </row>
    <row r="767" spans="8:10" x14ac:dyDescent="0.35">
      <c r="H767" t="s">
        <v>565</v>
      </c>
      <c r="I767">
        <v>766</v>
      </c>
      <c r="J767" t="s">
        <v>2213</v>
      </c>
    </row>
    <row r="768" spans="8:10" x14ac:dyDescent="0.35">
      <c r="H768" t="s">
        <v>527</v>
      </c>
      <c r="I768">
        <v>767</v>
      </c>
      <c r="J768" t="s">
        <v>2214</v>
      </c>
    </row>
    <row r="769" spans="8:10" x14ac:dyDescent="0.35">
      <c r="H769" t="s">
        <v>1001</v>
      </c>
      <c r="I769">
        <v>768</v>
      </c>
      <c r="J769" t="s">
        <v>2215</v>
      </c>
    </row>
    <row r="770" spans="8:10" x14ac:dyDescent="0.35">
      <c r="H770" t="s">
        <v>1002</v>
      </c>
      <c r="I770">
        <v>769</v>
      </c>
      <c r="J770" t="s">
        <v>2216</v>
      </c>
    </row>
    <row r="771" spans="8:10" x14ac:dyDescent="0.35">
      <c r="H771" t="s">
        <v>571</v>
      </c>
      <c r="I771">
        <v>770</v>
      </c>
      <c r="J771" t="s">
        <v>2217</v>
      </c>
    </row>
    <row r="772" spans="8:10" x14ac:dyDescent="0.35">
      <c r="H772" t="s">
        <v>1003</v>
      </c>
      <c r="I772">
        <v>771</v>
      </c>
      <c r="J772" t="s">
        <v>2218</v>
      </c>
    </row>
    <row r="773" spans="8:10" x14ac:dyDescent="0.35">
      <c r="H773" t="s">
        <v>1004</v>
      </c>
      <c r="I773">
        <v>772</v>
      </c>
      <c r="J773" t="s">
        <v>2219</v>
      </c>
    </row>
    <row r="774" spans="8:10" x14ac:dyDescent="0.35">
      <c r="H774" t="s">
        <v>1005</v>
      </c>
      <c r="I774">
        <v>773</v>
      </c>
      <c r="J774" t="s">
        <v>2220</v>
      </c>
    </row>
    <row r="775" spans="8:10" x14ac:dyDescent="0.35">
      <c r="H775" t="s">
        <v>1006</v>
      </c>
      <c r="I775">
        <v>774</v>
      </c>
      <c r="J775" t="s">
        <v>2221</v>
      </c>
    </row>
    <row r="776" spans="8:10" x14ac:dyDescent="0.35">
      <c r="H776" t="s">
        <v>1007</v>
      </c>
      <c r="I776">
        <v>775</v>
      </c>
      <c r="J776" t="s">
        <v>2222</v>
      </c>
    </row>
    <row r="777" spans="8:10" x14ac:dyDescent="0.35">
      <c r="H777" t="s">
        <v>528</v>
      </c>
      <c r="I777">
        <v>776</v>
      </c>
      <c r="J777" t="s">
        <v>2223</v>
      </c>
    </row>
    <row r="778" spans="8:10" x14ac:dyDescent="0.35">
      <c r="H778" t="s">
        <v>1008</v>
      </c>
      <c r="I778">
        <v>777</v>
      </c>
      <c r="J778" t="s">
        <v>2224</v>
      </c>
    </row>
    <row r="779" spans="8:10" x14ac:dyDescent="0.35">
      <c r="H779" t="s">
        <v>1258</v>
      </c>
      <c r="I779">
        <v>778</v>
      </c>
      <c r="J779" t="s">
        <v>2225</v>
      </c>
    </row>
    <row r="780" spans="8:10" x14ac:dyDescent="0.35">
      <c r="H780" t="s">
        <v>1009</v>
      </c>
      <c r="I780">
        <v>779</v>
      </c>
      <c r="J780" t="s">
        <v>2226</v>
      </c>
    </row>
    <row r="781" spans="8:10" x14ac:dyDescent="0.35">
      <c r="H781" t="s">
        <v>1010</v>
      </c>
      <c r="I781">
        <v>780</v>
      </c>
      <c r="J781" t="s">
        <v>2227</v>
      </c>
    </row>
    <row r="782" spans="8:10" x14ac:dyDescent="0.35">
      <c r="H782" t="s">
        <v>566</v>
      </c>
      <c r="I782">
        <v>781</v>
      </c>
      <c r="J782" t="s">
        <v>2228</v>
      </c>
    </row>
    <row r="783" spans="8:10" x14ac:dyDescent="0.35">
      <c r="H783" t="s">
        <v>1011</v>
      </c>
      <c r="I783">
        <v>782</v>
      </c>
      <c r="J783" t="s">
        <v>2229</v>
      </c>
    </row>
    <row r="784" spans="8:10" x14ac:dyDescent="0.35">
      <c r="H784" t="s">
        <v>1012</v>
      </c>
      <c r="I784">
        <v>783</v>
      </c>
      <c r="J784" t="s">
        <v>2230</v>
      </c>
    </row>
    <row r="785" spans="8:10" x14ac:dyDescent="0.35">
      <c r="H785" t="s">
        <v>1013</v>
      </c>
      <c r="I785">
        <v>784</v>
      </c>
      <c r="J785" t="s">
        <v>2231</v>
      </c>
    </row>
    <row r="786" spans="8:10" x14ac:dyDescent="0.35">
      <c r="H786" t="s">
        <v>1282</v>
      </c>
      <c r="I786">
        <v>785</v>
      </c>
      <c r="J786" t="s">
        <v>2232</v>
      </c>
    </row>
    <row r="787" spans="8:10" x14ac:dyDescent="0.35">
      <c r="H787" t="s">
        <v>1014</v>
      </c>
      <c r="I787">
        <v>786</v>
      </c>
      <c r="J787" t="s">
        <v>2233</v>
      </c>
    </row>
    <row r="788" spans="8:10" x14ac:dyDescent="0.35">
      <c r="H788" t="s">
        <v>1015</v>
      </c>
      <c r="I788">
        <v>787</v>
      </c>
      <c r="J788" t="s">
        <v>2234</v>
      </c>
    </row>
    <row r="789" spans="8:10" x14ac:dyDescent="0.35">
      <c r="H789" t="s">
        <v>529</v>
      </c>
      <c r="I789">
        <v>788</v>
      </c>
      <c r="J789" t="s">
        <v>2235</v>
      </c>
    </row>
    <row r="790" spans="8:10" x14ac:dyDescent="0.35">
      <c r="H790" t="s">
        <v>530</v>
      </c>
      <c r="I790">
        <v>789</v>
      </c>
      <c r="J790" t="s">
        <v>2236</v>
      </c>
    </row>
    <row r="791" spans="8:10" x14ac:dyDescent="0.35">
      <c r="H791" t="s">
        <v>531</v>
      </c>
      <c r="I791">
        <v>790</v>
      </c>
      <c r="J791" t="s">
        <v>2237</v>
      </c>
    </row>
    <row r="792" spans="8:10" x14ac:dyDescent="0.35">
      <c r="H792" t="s">
        <v>1016</v>
      </c>
      <c r="I792">
        <v>791</v>
      </c>
      <c r="J792" t="s">
        <v>2238</v>
      </c>
    </row>
    <row r="793" spans="8:10" x14ac:dyDescent="0.35">
      <c r="H793" t="s">
        <v>1017</v>
      </c>
      <c r="I793">
        <v>792</v>
      </c>
      <c r="J793" t="s">
        <v>2239</v>
      </c>
    </row>
    <row r="794" spans="8:10" x14ac:dyDescent="0.35">
      <c r="H794" t="s">
        <v>541</v>
      </c>
      <c r="I794">
        <v>793</v>
      </c>
      <c r="J794" t="s">
        <v>2240</v>
      </c>
    </row>
    <row r="795" spans="8:10" x14ac:dyDescent="0.35">
      <c r="H795" t="s">
        <v>1018</v>
      </c>
      <c r="I795">
        <v>794</v>
      </c>
      <c r="J795" t="s">
        <v>2241</v>
      </c>
    </row>
    <row r="796" spans="8:10" x14ac:dyDescent="0.35">
      <c r="H796" t="s">
        <v>542</v>
      </c>
      <c r="I796">
        <v>795</v>
      </c>
      <c r="J796" t="s">
        <v>2242</v>
      </c>
    </row>
    <row r="797" spans="8:10" x14ac:dyDescent="0.35">
      <c r="H797" t="s">
        <v>1019</v>
      </c>
      <c r="I797">
        <v>796</v>
      </c>
      <c r="J797" t="s">
        <v>2243</v>
      </c>
    </row>
    <row r="798" spans="8:10" x14ac:dyDescent="0.35">
      <c r="H798" t="s">
        <v>577</v>
      </c>
      <c r="I798">
        <v>797</v>
      </c>
      <c r="J798" t="s">
        <v>2244</v>
      </c>
    </row>
    <row r="799" spans="8:10" x14ac:dyDescent="0.35">
      <c r="H799" t="s">
        <v>1020</v>
      </c>
      <c r="I799">
        <v>798</v>
      </c>
      <c r="J799" t="s">
        <v>2245</v>
      </c>
    </row>
    <row r="800" spans="8:10" x14ac:dyDescent="0.35">
      <c r="H800" t="s">
        <v>1021</v>
      </c>
      <c r="I800">
        <v>799</v>
      </c>
      <c r="J800" t="s">
        <v>2246</v>
      </c>
    </row>
    <row r="801" spans="8:10" x14ac:dyDescent="0.35">
      <c r="H801" t="s">
        <v>1022</v>
      </c>
      <c r="I801">
        <v>800</v>
      </c>
      <c r="J801" t="s">
        <v>2247</v>
      </c>
    </row>
    <row r="802" spans="8:10" x14ac:dyDescent="0.35">
      <c r="H802" t="s">
        <v>1023</v>
      </c>
      <c r="I802">
        <v>801</v>
      </c>
      <c r="J802" t="s">
        <v>2248</v>
      </c>
    </row>
    <row r="803" spans="8:10" x14ac:dyDescent="0.35">
      <c r="H803" t="s">
        <v>1024</v>
      </c>
      <c r="I803">
        <v>802</v>
      </c>
      <c r="J803" t="s">
        <v>2249</v>
      </c>
    </row>
    <row r="804" spans="8:10" x14ac:dyDescent="0.35">
      <c r="H804" t="s">
        <v>478</v>
      </c>
      <c r="I804">
        <v>803</v>
      </c>
      <c r="J804" t="s">
        <v>2250</v>
      </c>
    </row>
    <row r="805" spans="8:10" x14ac:dyDescent="0.35">
      <c r="H805" t="s">
        <v>1025</v>
      </c>
      <c r="I805">
        <v>804</v>
      </c>
      <c r="J805" t="s">
        <v>2251</v>
      </c>
    </row>
    <row r="806" spans="8:10" x14ac:dyDescent="0.35">
      <c r="H806" t="s">
        <v>595</v>
      </c>
      <c r="I806">
        <v>805</v>
      </c>
      <c r="J806" t="s">
        <v>2252</v>
      </c>
    </row>
    <row r="807" spans="8:10" x14ac:dyDescent="0.35">
      <c r="H807" t="s">
        <v>596</v>
      </c>
      <c r="I807">
        <v>806</v>
      </c>
      <c r="J807" t="s">
        <v>2253</v>
      </c>
    </row>
    <row r="808" spans="8:10" x14ac:dyDescent="0.35">
      <c r="H808" t="s">
        <v>1026</v>
      </c>
      <c r="I808">
        <v>807</v>
      </c>
      <c r="J808" t="s">
        <v>2254</v>
      </c>
    </row>
    <row r="809" spans="8:10" x14ac:dyDescent="0.35">
      <c r="H809" t="s">
        <v>1027</v>
      </c>
      <c r="I809">
        <v>808</v>
      </c>
      <c r="J809" t="s">
        <v>2255</v>
      </c>
    </row>
    <row r="810" spans="8:10" x14ac:dyDescent="0.35">
      <c r="H810" t="s">
        <v>1028</v>
      </c>
      <c r="I810">
        <v>809</v>
      </c>
      <c r="J810" t="s">
        <v>2256</v>
      </c>
    </row>
    <row r="811" spans="8:10" x14ac:dyDescent="0.35">
      <c r="H811" t="s">
        <v>594</v>
      </c>
      <c r="I811">
        <v>810</v>
      </c>
      <c r="J811" t="s">
        <v>2257</v>
      </c>
    </row>
    <row r="812" spans="8:10" x14ac:dyDescent="0.35">
      <c r="H812" t="s">
        <v>1350</v>
      </c>
      <c r="I812">
        <v>811</v>
      </c>
      <c r="J812" t="s">
        <v>2258</v>
      </c>
    </row>
    <row r="813" spans="8:10" x14ac:dyDescent="0.35">
      <c r="H813" t="s">
        <v>592</v>
      </c>
      <c r="I813">
        <v>812</v>
      </c>
      <c r="J813" t="s">
        <v>2259</v>
      </c>
    </row>
    <row r="814" spans="8:10" x14ac:dyDescent="0.35">
      <c r="H814" t="s">
        <v>601</v>
      </c>
      <c r="I814">
        <v>813</v>
      </c>
      <c r="J814" t="s">
        <v>2260</v>
      </c>
    </row>
    <row r="815" spans="8:10" x14ac:dyDescent="0.35">
      <c r="H815" t="s">
        <v>1029</v>
      </c>
      <c r="I815">
        <v>814</v>
      </c>
      <c r="J815" t="s">
        <v>2261</v>
      </c>
    </row>
    <row r="816" spans="8:10" x14ac:dyDescent="0.35">
      <c r="H816" t="s">
        <v>1030</v>
      </c>
      <c r="I816">
        <v>815</v>
      </c>
      <c r="J816" t="s">
        <v>2262</v>
      </c>
    </row>
    <row r="817" spans="8:10" x14ac:dyDescent="0.35">
      <c r="H817" t="s">
        <v>602</v>
      </c>
      <c r="I817">
        <v>816</v>
      </c>
      <c r="J817" t="s">
        <v>2263</v>
      </c>
    </row>
    <row r="818" spans="8:10" x14ac:dyDescent="0.35">
      <c r="H818" t="s">
        <v>598</v>
      </c>
      <c r="I818">
        <v>817</v>
      </c>
      <c r="J818" t="s">
        <v>2264</v>
      </c>
    </row>
    <row r="819" spans="8:10" x14ac:dyDescent="0.35">
      <c r="H819" t="s">
        <v>600</v>
      </c>
      <c r="I819">
        <v>818</v>
      </c>
      <c r="J819" t="s">
        <v>2265</v>
      </c>
    </row>
    <row r="820" spans="8:10" x14ac:dyDescent="0.35">
      <c r="H820" t="s">
        <v>1031</v>
      </c>
      <c r="I820">
        <v>819</v>
      </c>
      <c r="J820" t="s">
        <v>2266</v>
      </c>
    </row>
    <row r="821" spans="8:10" x14ac:dyDescent="0.35">
      <c r="H821" t="s">
        <v>1299</v>
      </c>
      <c r="I821">
        <v>820</v>
      </c>
      <c r="J821" t="s">
        <v>2267</v>
      </c>
    </row>
    <row r="822" spans="8:10" x14ac:dyDescent="0.35">
      <c r="H822" t="s">
        <v>605</v>
      </c>
      <c r="I822">
        <v>821</v>
      </c>
      <c r="J822" t="s">
        <v>2268</v>
      </c>
    </row>
    <row r="823" spans="8:10" x14ac:dyDescent="0.35">
      <c r="H823" t="s">
        <v>1032</v>
      </c>
      <c r="I823">
        <v>822</v>
      </c>
      <c r="J823" t="s">
        <v>2269</v>
      </c>
    </row>
    <row r="824" spans="8:10" x14ac:dyDescent="0.35">
      <c r="H824" t="s">
        <v>1300</v>
      </c>
      <c r="I824">
        <v>823</v>
      </c>
      <c r="J824" t="s">
        <v>2270</v>
      </c>
    </row>
    <row r="825" spans="8:10" x14ac:dyDescent="0.35">
      <c r="H825" t="s">
        <v>619</v>
      </c>
      <c r="I825">
        <v>824</v>
      </c>
      <c r="J825" t="s">
        <v>2271</v>
      </c>
    </row>
    <row r="826" spans="8:10" x14ac:dyDescent="0.35">
      <c r="H826" t="s">
        <v>1033</v>
      </c>
      <c r="I826">
        <v>825</v>
      </c>
      <c r="J826" t="s">
        <v>2272</v>
      </c>
    </row>
    <row r="827" spans="8:10" x14ac:dyDescent="0.35">
      <c r="H827" t="s">
        <v>1034</v>
      </c>
      <c r="I827">
        <v>826</v>
      </c>
      <c r="J827" t="s">
        <v>2273</v>
      </c>
    </row>
    <row r="828" spans="8:10" x14ac:dyDescent="0.35">
      <c r="H828" t="s">
        <v>620</v>
      </c>
      <c r="I828">
        <v>827</v>
      </c>
      <c r="J828" t="s">
        <v>2274</v>
      </c>
    </row>
    <row r="829" spans="8:10" x14ac:dyDescent="0.35">
      <c r="H829" t="s">
        <v>1035</v>
      </c>
      <c r="I829">
        <v>828</v>
      </c>
      <c r="J829" t="s">
        <v>2275</v>
      </c>
    </row>
    <row r="830" spans="8:10" x14ac:dyDescent="0.35">
      <c r="H830" t="s">
        <v>1036</v>
      </c>
      <c r="I830">
        <v>829</v>
      </c>
      <c r="J830" t="s">
        <v>2276</v>
      </c>
    </row>
    <row r="831" spans="8:10" x14ac:dyDescent="0.35">
      <c r="H831" t="s">
        <v>1351</v>
      </c>
      <c r="I831">
        <v>830</v>
      </c>
      <c r="J831" t="s">
        <v>2277</v>
      </c>
    </row>
    <row r="832" spans="8:10" x14ac:dyDescent="0.35">
      <c r="H832" t="s">
        <v>621</v>
      </c>
      <c r="I832">
        <v>831</v>
      </c>
      <c r="J832" t="s">
        <v>2278</v>
      </c>
    </row>
    <row r="833" spans="8:10" x14ac:dyDescent="0.35">
      <c r="H833" t="s">
        <v>1375</v>
      </c>
      <c r="I833">
        <v>832</v>
      </c>
      <c r="J833" t="s">
        <v>2279</v>
      </c>
    </row>
    <row r="834" spans="8:10" x14ac:dyDescent="0.35">
      <c r="H834" t="s">
        <v>1037</v>
      </c>
      <c r="I834">
        <v>833</v>
      </c>
      <c r="J834" t="s">
        <v>2280</v>
      </c>
    </row>
    <row r="835" spans="8:10" x14ac:dyDescent="0.35">
      <c r="H835" t="s">
        <v>1038</v>
      </c>
      <c r="I835">
        <v>834</v>
      </c>
      <c r="J835" t="s">
        <v>2281</v>
      </c>
    </row>
    <row r="836" spans="8:10" x14ac:dyDescent="0.35">
      <c r="H836" t="s">
        <v>622</v>
      </c>
      <c r="I836">
        <v>835</v>
      </c>
      <c r="J836" t="s">
        <v>2282</v>
      </c>
    </row>
    <row r="837" spans="8:10" x14ac:dyDescent="0.35">
      <c r="H837" t="s">
        <v>626</v>
      </c>
      <c r="I837">
        <v>836</v>
      </c>
      <c r="J837" t="s">
        <v>2283</v>
      </c>
    </row>
    <row r="838" spans="8:10" x14ac:dyDescent="0.35">
      <c r="H838" t="s">
        <v>1039</v>
      </c>
      <c r="I838">
        <v>837</v>
      </c>
      <c r="J838" t="s">
        <v>2284</v>
      </c>
    </row>
    <row r="839" spans="8:10" x14ac:dyDescent="0.35">
      <c r="H839" t="s">
        <v>1040</v>
      </c>
      <c r="I839">
        <v>838</v>
      </c>
      <c r="J839" t="s">
        <v>2285</v>
      </c>
    </row>
    <row r="840" spans="8:10" x14ac:dyDescent="0.35">
      <c r="H840" t="s">
        <v>1041</v>
      </c>
      <c r="I840">
        <v>839</v>
      </c>
      <c r="J840" t="s">
        <v>2286</v>
      </c>
    </row>
    <row r="841" spans="8:10" x14ac:dyDescent="0.35">
      <c r="H841" t="s">
        <v>677</v>
      </c>
      <c r="I841">
        <v>840</v>
      </c>
      <c r="J841" t="s">
        <v>2287</v>
      </c>
    </row>
    <row r="842" spans="8:10" x14ac:dyDescent="0.35">
      <c r="H842" t="s">
        <v>1042</v>
      </c>
      <c r="I842">
        <v>841</v>
      </c>
      <c r="J842" t="s">
        <v>2288</v>
      </c>
    </row>
    <row r="843" spans="8:10" x14ac:dyDescent="0.35">
      <c r="H843" t="s">
        <v>630</v>
      </c>
      <c r="I843">
        <v>842</v>
      </c>
      <c r="J843" t="s">
        <v>2289</v>
      </c>
    </row>
    <row r="844" spans="8:10" x14ac:dyDescent="0.35">
      <c r="H844" t="s">
        <v>1385</v>
      </c>
      <c r="I844">
        <v>843</v>
      </c>
      <c r="J844" t="s">
        <v>2290</v>
      </c>
    </row>
    <row r="845" spans="8:10" x14ac:dyDescent="0.35">
      <c r="H845" t="s">
        <v>1043</v>
      </c>
      <c r="I845">
        <v>844</v>
      </c>
      <c r="J845" t="s">
        <v>2291</v>
      </c>
    </row>
    <row r="846" spans="8:10" x14ac:dyDescent="0.35">
      <c r="H846" t="s">
        <v>1044</v>
      </c>
      <c r="I846">
        <v>845</v>
      </c>
      <c r="J846" t="s">
        <v>2292</v>
      </c>
    </row>
    <row r="847" spans="8:10" x14ac:dyDescent="0.35">
      <c r="H847" t="s">
        <v>1045</v>
      </c>
      <c r="I847">
        <v>846</v>
      </c>
      <c r="J847" t="s">
        <v>2293</v>
      </c>
    </row>
    <row r="848" spans="8:10" x14ac:dyDescent="0.35">
      <c r="H848" t="s">
        <v>1046</v>
      </c>
      <c r="I848">
        <v>847</v>
      </c>
      <c r="J848" t="s">
        <v>2294</v>
      </c>
    </row>
    <row r="849" spans="8:10" x14ac:dyDescent="0.35">
      <c r="H849" t="s">
        <v>637</v>
      </c>
      <c r="I849">
        <v>848</v>
      </c>
      <c r="J849" t="s">
        <v>2295</v>
      </c>
    </row>
    <row r="850" spans="8:10" x14ac:dyDescent="0.35">
      <c r="H850" t="s">
        <v>636</v>
      </c>
      <c r="I850">
        <v>849</v>
      </c>
      <c r="J850" t="s">
        <v>2296</v>
      </c>
    </row>
    <row r="851" spans="8:10" x14ac:dyDescent="0.35">
      <c r="H851" t="s">
        <v>1047</v>
      </c>
      <c r="I851">
        <v>850</v>
      </c>
      <c r="J851" t="s">
        <v>2297</v>
      </c>
    </row>
    <row r="852" spans="8:10" x14ac:dyDescent="0.35">
      <c r="H852" t="s">
        <v>642</v>
      </c>
      <c r="I852">
        <v>851</v>
      </c>
      <c r="J852" t="s">
        <v>2298</v>
      </c>
    </row>
    <row r="853" spans="8:10" x14ac:dyDescent="0.35">
      <c r="H853" t="s">
        <v>1048</v>
      </c>
      <c r="I853">
        <v>852</v>
      </c>
      <c r="J853" t="s">
        <v>2299</v>
      </c>
    </row>
    <row r="854" spans="8:10" x14ac:dyDescent="0.35">
      <c r="H854" t="s">
        <v>1049</v>
      </c>
      <c r="I854">
        <v>853</v>
      </c>
      <c r="J854" t="s">
        <v>2300</v>
      </c>
    </row>
    <row r="855" spans="8:10" x14ac:dyDescent="0.35">
      <c r="H855" t="s">
        <v>1050</v>
      </c>
      <c r="I855">
        <v>854</v>
      </c>
      <c r="J855" t="s">
        <v>2301</v>
      </c>
    </row>
    <row r="856" spans="8:10" x14ac:dyDescent="0.35">
      <c r="H856" t="s">
        <v>1051</v>
      </c>
      <c r="I856">
        <v>855</v>
      </c>
      <c r="J856" t="s">
        <v>2302</v>
      </c>
    </row>
    <row r="857" spans="8:10" x14ac:dyDescent="0.35">
      <c r="H857" t="s">
        <v>1052</v>
      </c>
      <c r="I857">
        <v>856</v>
      </c>
      <c r="J857" t="s">
        <v>2303</v>
      </c>
    </row>
    <row r="858" spans="8:10" x14ac:dyDescent="0.35">
      <c r="H858" t="s">
        <v>1053</v>
      </c>
      <c r="I858">
        <v>857</v>
      </c>
      <c r="J858" t="s">
        <v>2304</v>
      </c>
    </row>
    <row r="859" spans="8:10" x14ac:dyDescent="0.35">
      <c r="H859" t="s">
        <v>646</v>
      </c>
      <c r="I859">
        <v>858</v>
      </c>
      <c r="J859" t="s">
        <v>2305</v>
      </c>
    </row>
    <row r="860" spans="8:10" x14ac:dyDescent="0.35">
      <c r="H860" t="s">
        <v>643</v>
      </c>
      <c r="I860">
        <v>859</v>
      </c>
      <c r="J860" t="s">
        <v>2306</v>
      </c>
    </row>
    <row r="861" spans="8:10" x14ac:dyDescent="0.35">
      <c r="H861" t="s">
        <v>1054</v>
      </c>
      <c r="I861">
        <v>860</v>
      </c>
      <c r="J861" t="s">
        <v>2307</v>
      </c>
    </row>
    <row r="862" spans="8:10" x14ac:dyDescent="0.35">
      <c r="H862" t="s">
        <v>1055</v>
      </c>
      <c r="I862">
        <v>861</v>
      </c>
      <c r="J862" t="s">
        <v>2308</v>
      </c>
    </row>
    <row r="863" spans="8:10" x14ac:dyDescent="0.35">
      <c r="H863" t="s">
        <v>1056</v>
      </c>
      <c r="I863">
        <v>862</v>
      </c>
      <c r="J863" t="s">
        <v>2309</v>
      </c>
    </row>
    <row r="864" spans="8:10" x14ac:dyDescent="0.35">
      <c r="H864" t="s">
        <v>1057</v>
      </c>
      <c r="I864">
        <v>863</v>
      </c>
      <c r="J864" t="s">
        <v>2310</v>
      </c>
    </row>
    <row r="865" spans="8:10" x14ac:dyDescent="0.35">
      <c r="H865" t="s">
        <v>644</v>
      </c>
      <c r="I865">
        <v>864</v>
      </c>
      <c r="J865" t="s">
        <v>2311</v>
      </c>
    </row>
    <row r="866" spans="8:10" x14ac:dyDescent="0.35">
      <c r="H866" t="s">
        <v>1058</v>
      </c>
      <c r="I866">
        <v>865</v>
      </c>
      <c r="J866" t="s">
        <v>2312</v>
      </c>
    </row>
    <row r="867" spans="8:10" x14ac:dyDescent="0.35">
      <c r="H867" t="s">
        <v>1059</v>
      </c>
      <c r="I867">
        <v>866</v>
      </c>
      <c r="J867" t="s">
        <v>2313</v>
      </c>
    </row>
    <row r="868" spans="8:10" x14ac:dyDescent="0.35">
      <c r="H868" t="s">
        <v>1060</v>
      </c>
      <c r="I868">
        <v>867</v>
      </c>
      <c r="J868" t="s">
        <v>2314</v>
      </c>
    </row>
    <row r="869" spans="8:10" x14ac:dyDescent="0.35">
      <c r="H869" t="s">
        <v>1061</v>
      </c>
      <c r="I869">
        <v>868</v>
      </c>
      <c r="J869" t="s">
        <v>2315</v>
      </c>
    </row>
    <row r="870" spans="8:10" x14ac:dyDescent="0.35">
      <c r="H870" t="s">
        <v>1062</v>
      </c>
      <c r="I870">
        <v>869</v>
      </c>
      <c r="J870" t="s">
        <v>2316</v>
      </c>
    </row>
    <row r="871" spans="8:10" x14ac:dyDescent="0.35">
      <c r="H871" t="s">
        <v>1063</v>
      </c>
      <c r="I871">
        <v>870</v>
      </c>
      <c r="J871" t="s">
        <v>2317</v>
      </c>
    </row>
    <row r="872" spans="8:10" x14ac:dyDescent="0.35">
      <c r="H872" t="s">
        <v>1064</v>
      </c>
      <c r="I872">
        <v>871</v>
      </c>
      <c r="J872" t="s">
        <v>2318</v>
      </c>
    </row>
    <row r="873" spans="8:10" x14ac:dyDescent="0.35">
      <c r="H873" t="s">
        <v>1065</v>
      </c>
      <c r="I873">
        <v>872</v>
      </c>
      <c r="J873" t="s">
        <v>2319</v>
      </c>
    </row>
    <row r="874" spans="8:10" x14ac:dyDescent="0.35">
      <c r="H874" t="s">
        <v>1066</v>
      </c>
      <c r="I874">
        <v>873</v>
      </c>
      <c r="J874" t="s">
        <v>2320</v>
      </c>
    </row>
    <row r="875" spans="8:10" x14ac:dyDescent="0.35">
      <c r="H875" t="s">
        <v>1067</v>
      </c>
      <c r="I875">
        <v>874</v>
      </c>
      <c r="J875" t="s">
        <v>2321</v>
      </c>
    </row>
    <row r="876" spans="8:10" x14ac:dyDescent="0.35">
      <c r="H876" t="s">
        <v>1068</v>
      </c>
      <c r="I876">
        <v>875</v>
      </c>
      <c r="J876" t="s">
        <v>2322</v>
      </c>
    </row>
    <row r="877" spans="8:10" x14ac:dyDescent="0.35">
      <c r="H877" t="s">
        <v>1069</v>
      </c>
      <c r="I877">
        <v>876</v>
      </c>
      <c r="J877" t="s">
        <v>2323</v>
      </c>
    </row>
    <row r="878" spans="8:10" x14ac:dyDescent="0.35">
      <c r="H878" t="s">
        <v>1070</v>
      </c>
      <c r="I878">
        <v>877</v>
      </c>
      <c r="J878" t="s">
        <v>2324</v>
      </c>
    </row>
    <row r="879" spans="8:10" x14ac:dyDescent="0.35">
      <c r="H879" t="s">
        <v>1071</v>
      </c>
      <c r="I879">
        <v>878</v>
      </c>
      <c r="J879" t="s">
        <v>2325</v>
      </c>
    </row>
    <row r="880" spans="8:10" x14ac:dyDescent="0.35">
      <c r="H880" t="s">
        <v>1072</v>
      </c>
      <c r="I880">
        <v>879</v>
      </c>
      <c r="J880" t="s">
        <v>2326</v>
      </c>
    </row>
    <row r="881" spans="8:10" x14ac:dyDescent="0.35">
      <c r="H881" t="s">
        <v>1073</v>
      </c>
      <c r="I881">
        <v>880</v>
      </c>
      <c r="J881" t="s">
        <v>2327</v>
      </c>
    </row>
    <row r="882" spans="8:10" x14ac:dyDescent="0.35">
      <c r="H882" t="s">
        <v>1074</v>
      </c>
      <c r="I882">
        <v>881</v>
      </c>
      <c r="J882" t="s">
        <v>2328</v>
      </c>
    </row>
    <row r="883" spans="8:10" x14ac:dyDescent="0.35">
      <c r="H883" t="s">
        <v>1075</v>
      </c>
      <c r="I883">
        <v>882</v>
      </c>
      <c r="J883" t="s">
        <v>2329</v>
      </c>
    </row>
    <row r="884" spans="8:10" x14ac:dyDescent="0.35">
      <c r="H884" t="s">
        <v>1076</v>
      </c>
      <c r="I884">
        <v>883</v>
      </c>
      <c r="J884" t="s">
        <v>2330</v>
      </c>
    </row>
    <row r="885" spans="8:10" x14ac:dyDescent="0.35">
      <c r="H885" t="s">
        <v>1077</v>
      </c>
      <c r="I885">
        <v>884</v>
      </c>
      <c r="J885" t="s">
        <v>2331</v>
      </c>
    </row>
    <row r="886" spans="8:10" x14ac:dyDescent="0.35">
      <c r="H886" t="s">
        <v>1078</v>
      </c>
      <c r="I886">
        <v>885</v>
      </c>
      <c r="J886" t="s">
        <v>2332</v>
      </c>
    </row>
    <row r="887" spans="8:10" x14ac:dyDescent="0.35">
      <c r="H887" t="s">
        <v>640</v>
      </c>
      <c r="I887">
        <v>886</v>
      </c>
      <c r="J887" t="s">
        <v>2333</v>
      </c>
    </row>
    <row r="888" spans="8:10" x14ac:dyDescent="0.35">
      <c r="H888" t="s">
        <v>1079</v>
      </c>
      <c r="I888">
        <v>887</v>
      </c>
      <c r="J888" t="s">
        <v>2334</v>
      </c>
    </row>
    <row r="889" spans="8:10" x14ac:dyDescent="0.35">
      <c r="H889" t="s">
        <v>1080</v>
      </c>
      <c r="I889">
        <v>888</v>
      </c>
      <c r="J889" t="s">
        <v>2335</v>
      </c>
    </row>
    <row r="890" spans="8:10" x14ac:dyDescent="0.35">
      <c r="H890" t="s">
        <v>1081</v>
      </c>
      <c r="I890">
        <v>889</v>
      </c>
      <c r="J890" t="s">
        <v>2336</v>
      </c>
    </row>
    <row r="891" spans="8:10" x14ac:dyDescent="0.35">
      <c r="H891" t="s">
        <v>1283</v>
      </c>
      <c r="I891">
        <v>890</v>
      </c>
      <c r="J891" t="s">
        <v>2337</v>
      </c>
    </row>
    <row r="892" spans="8:10" x14ac:dyDescent="0.35">
      <c r="H892" t="s">
        <v>645</v>
      </c>
      <c r="I892">
        <v>891</v>
      </c>
      <c r="J892" t="s">
        <v>2338</v>
      </c>
    </row>
    <row r="893" spans="8:10" x14ac:dyDescent="0.35">
      <c r="H893" t="s">
        <v>1082</v>
      </c>
      <c r="I893">
        <v>892</v>
      </c>
      <c r="J893" t="s">
        <v>2339</v>
      </c>
    </row>
    <row r="894" spans="8:10" x14ac:dyDescent="0.35">
      <c r="H894" t="s">
        <v>1083</v>
      </c>
      <c r="I894">
        <v>893</v>
      </c>
      <c r="J894" t="s">
        <v>2340</v>
      </c>
    </row>
    <row r="895" spans="8:10" x14ac:dyDescent="0.35">
      <c r="H895" t="s">
        <v>1084</v>
      </c>
      <c r="I895">
        <v>894</v>
      </c>
      <c r="J895" t="s">
        <v>2341</v>
      </c>
    </row>
    <row r="896" spans="8:10" x14ac:dyDescent="0.35">
      <c r="H896" t="s">
        <v>1085</v>
      </c>
      <c r="I896">
        <v>895</v>
      </c>
      <c r="J896" t="s">
        <v>2342</v>
      </c>
    </row>
    <row r="897" spans="8:10" x14ac:dyDescent="0.35">
      <c r="H897" t="s">
        <v>1086</v>
      </c>
      <c r="I897">
        <v>896</v>
      </c>
      <c r="J897" t="s">
        <v>2343</v>
      </c>
    </row>
    <row r="898" spans="8:10" x14ac:dyDescent="0.35">
      <c r="H898" t="s">
        <v>1087</v>
      </c>
      <c r="I898">
        <v>897</v>
      </c>
      <c r="J898" t="s">
        <v>2344</v>
      </c>
    </row>
    <row r="899" spans="8:10" x14ac:dyDescent="0.35">
      <c r="H899" t="s">
        <v>1088</v>
      </c>
      <c r="I899">
        <v>898</v>
      </c>
      <c r="J899" t="s">
        <v>2345</v>
      </c>
    </row>
    <row r="900" spans="8:10" x14ac:dyDescent="0.35">
      <c r="H900" t="s">
        <v>1089</v>
      </c>
      <c r="I900">
        <v>899</v>
      </c>
      <c r="J900" t="s">
        <v>2346</v>
      </c>
    </row>
    <row r="901" spans="8:10" x14ac:dyDescent="0.35">
      <c r="H901" t="s">
        <v>1090</v>
      </c>
      <c r="I901">
        <v>900</v>
      </c>
      <c r="J901" t="s">
        <v>2347</v>
      </c>
    </row>
    <row r="902" spans="8:10" x14ac:dyDescent="0.35">
      <c r="H902" t="s">
        <v>1302</v>
      </c>
      <c r="I902">
        <v>901</v>
      </c>
      <c r="J902" t="s">
        <v>2348</v>
      </c>
    </row>
    <row r="903" spans="8:10" x14ac:dyDescent="0.35">
      <c r="H903" t="s">
        <v>1091</v>
      </c>
      <c r="I903">
        <v>902</v>
      </c>
      <c r="J903" t="s">
        <v>2349</v>
      </c>
    </row>
    <row r="904" spans="8:10" x14ac:dyDescent="0.35">
      <c r="H904" t="s">
        <v>1092</v>
      </c>
      <c r="I904">
        <v>903</v>
      </c>
      <c r="J904" t="s">
        <v>2350</v>
      </c>
    </row>
    <row r="905" spans="8:10" x14ac:dyDescent="0.35">
      <c r="H905" t="s">
        <v>1093</v>
      </c>
      <c r="I905">
        <v>904</v>
      </c>
      <c r="J905" t="s">
        <v>2351</v>
      </c>
    </row>
    <row r="906" spans="8:10" x14ac:dyDescent="0.35">
      <c r="H906" t="s">
        <v>1094</v>
      </c>
      <c r="I906">
        <v>905</v>
      </c>
      <c r="J906" t="s">
        <v>2352</v>
      </c>
    </row>
    <row r="907" spans="8:10" x14ac:dyDescent="0.35">
      <c r="H907" t="s">
        <v>1274</v>
      </c>
      <c r="I907">
        <v>906</v>
      </c>
      <c r="J907" t="s">
        <v>2353</v>
      </c>
    </row>
    <row r="908" spans="8:10" x14ac:dyDescent="0.35">
      <c r="H908" t="s">
        <v>657</v>
      </c>
      <c r="I908">
        <v>907</v>
      </c>
      <c r="J908" t="s">
        <v>2354</v>
      </c>
    </row>
    <row r="909" spans="8:10" x14ac:dyDescent="0.35">
      <c r="H909" t="s">
        <v>1095</v>
      </c>
      <c r="I909">
        <v>908</v>
      </c>
      <c r="J909" t="s">
        <v>2355</v>
      </c>
    </row>
    <row r="910" spans="8:10" x14ac:dyDescent="0.35">
      <c r="H910" t="s">
        <v>1096</v>
      </c>
      <c r="I910">
        <v>909</v>
      </c>
      <c r="J910" t="s">
        <v>2356</v>
      </c>
    </row>
    <row r="911" spans="8:10" x14ac:dyDescent="0.35">
      <c r="H911" t="s">
        <v>1097</v>
      </c>
      <c r="I911">
        <v>910</v>
      </c>
      <c r="J911" t="s">
        <v>2357</v>
      </c>
    </row>
    <row r="912" spans="8:10" x14ac:dyDescent="0.35">
      <c r="H912" t="s">
        <v>1098</v>
      </c>
      <c r="I912">
        <v>911</v>
      </c>
      <c r="J912" t="s">
        <v>2358</v>
      </c>
    </row>
    <row r="913" spans="8:10" x14ac:dyDescent="0.35">
      <c r="H913" t="s">
        <v>1099</v>
      </c>
      <c r="I913">
        <v>912</v>
      </c>
      <c r="J913" t="s">
        <v>2359</v>
      </c>
    </row>
    <row r="914" spans="8:10" x14ac:dyDescent="0.35">
      <c r="H914" t="s">
        <v>1303</v>
      </c>
      <c r="I914">
        <v>913</v>
      </c>
      <c r="J914" t="s">
        <v>2360</v>
      </c>
    </row>
    <row r="915" spans="8:10" x14ac:dyDescent="0.35">
      <c r="H915" t="s">
        <v>1100</v>
      </c>
      <c r="I915">
        <v>914</v>
      </c>
      <c r="J915" t="s">
        <v>2361</v>
      </c>
    </row>
    <row r="916" spans="8:10" x14ac:dyDescent="0.35">
      <c r="H916" t="s">
        <v>1101</v>
      </c>
      <c r="I916">
        <v>915</v>
      </c>
      <c r="J916" t="s">
        <v>2362</v>
      </c>
    </row>
    <row r="917" spans="8:10" x14ac:dyDescent="0.35">
      <c r="H917" t="s">
        <v>1102</v>
      </c>
      <c r="I917">
        <v>916</v>
      </c>
      <c r="J917" t="s">
        <v>2363</v>
      </c>
    </row>
    <row r="918" spans="8:10" x14ac:dyDescent="0.35">
      <c r="H918" t="s">
        <v>1103</v>
      </c>
      <c r="I918">
        <v>917</v>
      </c>
      <c r="J918" t="s">
        <v>2364</v>
      </c>
    </row>
    <row r="919" spans="8:10" x14ac:dyDescent="0.35">
      <c r="H919" t="s">
        <v>1334</v>
      </c>
      <c r="I919">
        <v>918</v>
      </c>
      <c r="J919" t="s">
        <v>2365</v>
      </c>
    </row>
    <row r="920" spans="8:10" x14ac:dyDescent="0.35">
      <c r="H920" t="s">
        <v>1104</v>
      </c>
      <c r="I920">
        <v>919</v>
      </c>
      <c r="J920" t="s">
        <v>2366</v>
      </c>
    </row>
    <row r="921" spans="8:10" x14ac:dyDescent="0.35">
      <c r="H921" t="s">
        <v>1105</v>
      </c>
      <c r="I921">
        <v>920</v>
      </c>
      <c r="J921" t="s">
        <v>2367</v>
      </c>
    </row>
    <row r="922" spans="8:10" x14ac:dyDescent="0.35">
      <c r="H922" t="s">
        <v>1106</v>
      </c>
      <c r="I922">
        <v>921</v>
      </c>
      <c r="J922" t="s">
        <v>2368</v>
      </c>
    </row>
    <row r="923" spans="8:10" x14ac:dyDescent="0.35">
      <c r="H923" t="s">
        <v>1107</v>
      </c>
      <c r="I923">
        <v>922</v>
      </c>
      <c r="J923" t="s">
        <v>2369</v>
      </c>
    </row>
    <row r="924" spans="8:10" x14ac:dyDescent="0.35">
      <c r="H924" t="s">
        <v>1108</v>
      </c>
      <c r="I924">
        <v>923</v>
      </c>
      <c r="J924" t="s">
        <v>2370</v>
      </c>
    </row>
    <row r="925" spans="8:10" x14ac:dyDescent="0.35">
      <c r="H925" t="s">
        <v>1109</v>
      </c>
      <c r="I925">
        <v>924</v>
      </c>
      <c r="J925" t="s">
        <v>2371</v>
      </c>
    </row>
    <row r="926" spans="8:10" x14ac:dyDescent="0.35">
      <c r="H926" t="s">
        <v>1110</v>
      </c>
      <c r="I926">
        <v>925</v>
      </c>
      <c r="J926" t="s">
        <v>2372</v>
      </c>
    </row>
    <row r="927" spans="8:10" x14ac:dyDescent="0.35">
      <c r="H927" t="s">
        <v>1111</v>
      </c>
      <c r="I927">
        <v>926</v>
      </c>
      <c r="J927" t="s">
        <v>2373</v>
      </c>
    </row>
    <row r="928" spans="8:10" x14ac:dyDescent="0.35">
      <c r="H928" t="s">
        <v>1112</v>
      </c>
      <c r="I928">
        <v>927</v>
      </c>
      <c r="J928" t="s">
        <v>2374</v>
      </c>
    </row>
    <row r="929" spans="8:10" x14ac:dyDescent="0.35">
      <c r="H929" t="s">
        <v>1113</v>
      </c>
      <c r="I929">
        <v>928</v>
      </c>
      <c r="J929" t="s">
        <v>2375</v>
      </c>
    </row>
    <row r="930" spans="8:10" x14ac:dyDescent="0.35">
      <c r="H930" t="s">
        <v>1114</v>
      </c>
      <c r="I930">
        <v>929</v>
      </c>
      <c r="J930" t="s">
        <v>2376</v>
      </c>
    </row>
    <row r="931" spans="8:10" x14ac:dyDescent="0.35">
      <c r="H931" t="s">
        <v>1115</v>
      </c>
      <c r="I931">
        <v>930</v>
      </c>
      <c r="J931" t="s">
        <v>2377</v>
      </c>
    </row>
    <row r="932" spans="8:10" x14ac:dyDescent="0.35">
      <c r="H932" t="s">
        <v>1116</v>
      </c>
      <c r="I932">
        <v>931</v>
      </c>
      <c r="J932" t="s">
        <v>2378</v>
      </c>
    </row>
    <row r="933" spans="8:10" x14ac:dyDescent="0.35">
      <c r="H933" t="s">
        <v>1117</v>
      </c>
      <c r="I933">
        <v>932</v>
      </c>
      <c r="J933" t="s">
        <v>2379</v>
      </c>
    </row>
    <row r="934" spans="8:10" x14ac:dyDescent="0.35">
      <c r="H934" t="s">
        <v>1118</v>
      </c>
      <c r="I934">
        <v>933</v>
      </c>
      <c r="J934" t="s">
        <v>2380</v>
      </c>
    </row>
    <row r="935" spans="8:10" x14ac:dyDescent="0.35">
      <c r="H935" t="s">
        <v>1119</v>
      </c>
      <c r="I935">
        <v>934</v>
      </c>
      <c r="J935" t="s">
        <v>2381</v>
      </c>
    </row>
    <row r="936" spans="8:10" x14ac:dyDescent="0.35">
      <c r="H936" t="s">
        <v>1120</v>
      </c>
      <c r="I936">
        <v>935</v>
      </c>
      <c r="J936" t="s">
        <v>2382</v>
      </c>
    </row>
    <row r="937" spans="8:10" x14ac:dyDescent="0.35">
      <c r="H937" t="s">
        <v>1121</v>
      </c>
      <c r="I937">
        <v>936</v>
      </c>
      <c r="J937" t="s">
        <v>2383</v>
      </c>
    </row>
    <row r="938" spans="8:10" x14ac:dyDescent="0.35">
      <c r="H938" t="s">
        <v>1122</v>
      </c>
      <c r="I938">
        <v>937</v>
      </c>
      <c r="J938" t="s">
        <v>2384</v>
      </c>
    </row>
    <row r="939" spans="8:10" x14ac:dyDescent="0.35">
      <c r="H939" t="s">
        <v>1123</v>
      </c>
      <c r="I939">
        <v>938</v>
      </c>
      <c r="J939" t="s">
        <v>2385</v>
      </c>
    </row>
    <row r="940" spans="8:10" x14ac:dyDescent="0.35">
      <c r="H940" t="s">
        <v>1124</v>
      </c>
      <c r="I940">
        <v>939</v>
      </c>
      <c r="J940" t="s">
        <v>2386</v>
      </c>
    </row>
    <row r="941" spans="8:10" x14ac:dyDescent="0.35">
      <c r="H941" t="s">
        <v>1125</v>
      </c>
      <c r="I941">
        <v>940</v>
      </c>
      <c r="J941" t="s">
        <v>2387</v>
      </c>
    </row>
    <row r="942" spans="8:10" x14ac:dyDescent="0.35">
      <c r="H942" t="s">
        <v>1126</v>
      </c>
      <c r="I942">
        <v>941</v>
      </c>
      <c r="J942" t="s">
        <v>2388</v>
      </c>
    </row>
    <row r="943" spans="8:10" x14ac:dyDescent="0.35">
      <c r="H943" t="s">
        <v>1127</v>
      </c>
      <c r="I943">
        <v>942</v>
      </c>
      <c r="J943" t="s">
        <v>2389</v>
      </c>
    </row>
    <row r="944" spans="8:10" x14ac:dyDescent="0.35">
      <c r="H944" t="s">
        <v>1128</v>
      </c>
      <c r="I944">
        <v>943</v>
      </c>
      <c r="J944" t="s">
        <v>2390</v>
      </c>
    </row>
    <row r="945" spans="8:10" x14ac:dyDescent="0.35">
      <c r="H945" t="s">
        <v>668</v>
      </c>
      <c r="I945">
        <v>944</v>
      </c>
      <c r="J945" t="s">
        <v>2391</v>
      </c>
    </row>
    <row r="946" spans="8:10" x14ac:dyDescent="0.35">
      <c r="H946" t="s">
        <v>1129</v>
      </c>
      <c r="I946">
        <v>945</v>
      </c>
      <c r="J946" t="s">
        <v>2392</v>
      </c>
    </row>
    <row r="947" spans="8:10" x14ac:dyDescent="0.35">
      <c r="H947" t="s">
        <v>666</v>
      </c>
      <c r="I947">
        <v>946</v>
      </c>
      <c r="J947" t="s">
        <v>2393</v>
      </c>
    </row>
    <row r="948" spans="8:10" x14ac:dyDescent="0.35">
      <c r="H948" t="s">
        <v>1130</v>
      </c>
      <c r="I948">
        <v>947</v>
      </c>
      <c r="J948" t="s">
        <v>2394</v>
      </c>
    </row>
    <row r="949" spans="8:10" x14ac:dyDescent="0.35">
      <c r="H949" t="s">
        <v>1131</v>
      </c>
      <c r="I949">
        <v>948</v>
      </c>
      <c r="J949" t="s">
        <v>2395</v>
      </c>
    </row>
    <row r="950" spans="8:10" x14ac:dyDescent="0.35">
      <c r="H950" t="s">
        <v>1132</v>
      </c>
      <c r="I950">
        <v>949</v>
      </c>
      <c r="J950" t="s">
        <v>2396</v>
      </c>
    </row>
    <row r="951" spans="8:10" x14ac:dyDescent="0.35">
      <c r="H951" t="s">
        <v>1133</v>
      </c>
      <c r="I951">
        <v>950</v>
      </c>
      <c r="J951" t="s">
        <v>2397</v>
      </c>
    </row>
    <row r="952" spans="8:10" x14ac:dyDescent="0.35">
      <c r="H952" t="s">
        <v>1134</v>
      </c>
      <c r="I952">
        <v>951</v>
      </c>
      <c r="J952" t="s">
        <v>2398</v>
      </c>
    </row>
    <row r="953" spans="8:10" x14ac:dyDescent="0.35">
      <c r="H953" t="s">
        <v>1135</v>
      </c>
      <c r="I953">
        <v>952</v>
      </c>
      <c r="J953" t="s">
        <v>2399</v>
      </c>
    </row>
    <row r="954" spans="8:10" x14ac:dyDescent="0.35">
      <c r="H954" t="s">
        <v>664</v>
      </c>
      <c r="I954">
        <v>953</v>
      </c>
      <c r="J954" t="s">
        <v>2400</v>
      </c>
    </row>
    <row r="955" spans="8:10" x14ac:dyDescent="0.35">
      <c r="H955" t="s">
        <v>1136</v>
      </c>
      <c r="I955">
        <v>954</v>
      </c>
      <c r="J955" t="s">
        <v>2401</v>
      </c>
    </row>
    <row r="956" spans="8:10" x14ac:dyDescent="0.35">
      <c r="H956" t="s">
        <v>1137</v>
      </c>
      <c r="I956">
        <v>955</v>
      </c>
      <c r="J956" t="s">
        <v>2402</v>
      </c>
    </row>
    <row r="957" spans="8:10" x14ac:dyDescent="0.35">
      <c r="H957" t="s">
        <v>1138</v>
      </c>
      <c r="I957">
        <v>956</v>
      </c>
      <c r="J957" t="s">
        <v>2403</v>
      </c>
    </row>
    <row r="958" spans="8:10" x14ac:dyDescent="0.35">
      <c r="H958" t="s">
        <v>1139</v>
      </c>
      <c r="I958">
        <v>957</v>
      </c>
      <c r="J958" t="s">
        <v>2404</v>
      </c>
    </row>
    <row r="959" spans="8:10" x14ac:dyDescent="0.35">
      <c r="H959" t="s">
        <v>1140</v>
      </c>
      <c r="I959">
        <v>958</v>
      </c>
      <c r="J959" t="s">
        <v>2405</v>
      </c>
    </row>
    <row r="960" spans="8:10" x14ac:dyDescent="0.35">
      <c r="H960" t="s">
        <v>665</v>
      </c>
      <c r="I960">
        <v>959</v>
      </c>
      <c r="J960" t="s">
        <v>2406</v>
      </c>
    </row>
    <row r="961" spans="8:10" x14ac:dyDescent="0.35">
      <c r="H961" t="s">
        <v>1141</v>
      </c>
      <c r="I961">
        <v>960</v>
      </c>
      <c r="J961" t="s">
        <v>2407</v>
      </c>
    </row>
    <row r="962" spans="8:10" x14ac:dyDescent="0.35">
      <c r="H962" t="s">
        <v>1142</v>
      </c>
      <c r="I962">
        <v>961</v>
      </c>
      <c r="J962" t="s">
        <v>2408</v>
      </c>
    </row>
    <row r="963" spans="8:10" x14ac:dyDescent="0.35">
      <c r="H963" t="s">
        <v>1143</v>
      </c>
      <c r="I963">
        <v>962</v>
      </c>
      <c r="J963" t="s">
        <v>2409</v>
      </c>
    </row>
    <row r="964" spans="8:10" x14ac:dyDescent="0.35">
      <c r="H964" t="s">
        <v>1144</v>
      </c>
      <c r="I964">
        <v>963</v>
      </c>
      <c r="J964" t="s">
        <v>2410</v>
      </c>
    </row>
    <row r="965" spans="8:10" x14ac:dyDescent="0.35">
      <c r="H965" t="s">
        <v>1145</v>
      </c>
      <c r="I965">
        <v>964</v>
      </c>
      <c r="J965" t="s">
        <v>2411</v>
      </c>
    </row>
    <row r="966" spans="8:10" x14ac:dyDescent="0.35">
      <c r="H966" t="s">
        <v>1146</v>
      </c>
      <c r="I966">
        <v>965</v>
      </c>
      <c r="J966" t="s">
        <v>2412</v>
      </c>
    </row>
    <row r="967" spans="8:10" x14ac:dyDescent="0.35">
      <c r="H967" t="s">
        <v>1147</v>
      </c>
      <c r="I967">
        <v>966</v>
      </c>
      <c r="J967" t="s">
        <v>2413</v>
      </c>
    </row>
    <row r="968" spans="8:10" x14ac:dyDescent="0.35">
      <c r="H968" t="s">
        <v>1148</v>
      </c>
      <c r="I968">
        <v>967</v>
      </c>
      <c r="J968" t="s">
        <v>2414</v>
      </c>
    </row>
    <row r="969" spans="8:10" x14ac:dyDescent="0.35">
      <c r="H969" t="s">
        <v>1149</v>
      </c>
      <c r="I969">
        <v>968</v>
      </c>
      <c r="J969" t="s">
        <v>2415</v>
      </c>
    </row>
    <row r="970" spans="8:10" x14ac:dyDescent="0.35">
      <c r="H970" t="s">
        <v>1150</v>
      </c>
      <c r="I970">
        <v>969</v>
      </c>
      <c r="J970" t="s">
        <v>2416</v>
      </c>
    </row>
    <row r="971" spans="8:10" x14ac:dyDescent="0.35">
      <c r="H971" t="s">
        <v>1151</v>
      </c>
      <c r="I971">
        <v>970</v>
      </c>
      <c r="J971" t="s">
        <v>2417</v>
      </c>
    </row>
    <row r="972" spans="8:10" x14ac:dyDescent="0.35">
      <c r="H972" t="s">
        <v>1152</v>
      </c>
      <c r="I972">
        <v>971</v>
      </c>
      <c r="J972" t="s">
        <v>2418</v>
      </c>
    </row>
    <row r="973" spans="8:10" x14ac:dyDescent="0.35">
      <c r="H973" t="s">
        <v>1153</v>
      </c>
      <c r="I973">
        <v>972</v>
      </c>
      <c r="J973" t="s">
        <v>2419</v>
      </c>
    </row>
    <row r="974" spans="8:10" x14ac:dyDescent="0.35">
      <c r="H974" t="s">
        <v>1154</v>
      </c>
      <c r="I974">
        <v>973</v>
      </c>
      <c r="J974" t="s">
        <v>2420</v>
      </c>
    </row>
    <row r="975" spans="8:10" x14ac:dyDescent="0.35">
      <c r="H975" t="s">
        <v>667</v>
      </c>
      <c r="I975">
        <v>974</v>
      </c>
      <c r="J975" t="s">
        <v>2421</v>
      </c>
    </row>
    <row r="976" spans="8:10" x14ac:dyDescent="0.35">
      <c r="H976" t="s">
        <v>1155</v>
      </c>
      <c r="I976">
        <v>975</v>
      </c>
      <c r="J976" t="s">
        <v>2422</v>
      </c>
    </row>
    <row r="977" spans="8:10" x14ac:dyDescent="0.35">
      <c r="H977" t="s">
        <v>1156</v>
      </c>
      <c r="I977">
        <v>976</v>
      </c>
      <c r="J977" t="s">
        <v>2423</v>
      </c>
    </row>
    <row r="978" spans="8:10" x14ac:dyDescent="0.35">
      <c r="H978" t="s">
        <v>1157</v>
      </c>
      <c r="I978">
        <v>977</v>
      </c>
      <c r="J978" t="s">
        <v>2424</v>
      </c>
    </row>
    <row r="979" spans="8:10" x14ac:dyDescent="0.35">
      <c r="H979" t="s">
        <v>675</v>
      </c>
      <c r="I979">
        <v>978</v>
      </c>
      <c r="J979" t="s">
        <v>2425</v>
      </c>
    </row>
    <row r="980" spans="8:10" x14ac:dyDescent="0.35">
      <c r="H980" t="s">
        <v>1158</v>
      </c>
      <c r="I980">
        <v>979</v>
      </c>
      <c r="J980" t="s">
        <v>2426</v>
      </c>
    </row>
    <row r="981" spans="8:10" x14ac:dyDescent="0.35">
      <c r="H981" t="s">
        <v>1159</v>
      </c>
      <c r="I981">
        <v>980</v>
      </c>
      <c r="J981" t="s">
        <v>2427</v>
      </c>
    </row>
    <row r="982" spans="8:10" x14ac:dyDescent="0.35">
      <c r="H982" t="s">
        <v>1259</v>
      </c>
      <c r="I982">
        <v>981</v>
      </c>
      <c r="J982" t="s">
        <v>2428</v>
      </c>
    </row>
    <row r="983" spans="8:10" x14ac:dyDescent="0.35">
      <c r="H983" t="s">
        <v>1260</v>
      </c>
      <c r="I983">
        <v>982</v>
      </c>
      <c r="J983" t="s">
        <v>2429</v>
      </c>
    </row>
    <row r="984" spans="8:10" x14ac:dyDescent="0.35">
      <c r="H984" t="s">
        <v>1261</v>
      </c>
      <c r="I984">
        <v>983</v>
      </c>
      <c r="J984" t="s">
        <v>2430</v>
      </c>
    </row>
    <row r="985" spans="8:10" x14ac:dyDescent="0.35">
      <c r="H985" t="s">
        <v>1262</v>
      </c>
      <c r="I985">
        <v>984</v>
      </c>
      <c r="J985" t="s">
        <v>2431</v>
      </c>
    </row>
    <row r="986" spans="8:10" x14ac:dyDescent="0.35">
      <c r="H986" t="s">
        <v>1265</v>
      </c>
      <c r="I986">
        <v>985</v>
      </c>
      <c r="J986" t="s">
        <v>2432</v>
      </c>
    </row>
    <row r="987" spans="8:10" x14ac:dyDescent="0.35">
      <c r="H987" t="s">
        <v>1266</v>
      </c>
      <c r="I987">
        <v>986</v>
      </c>
      <c r="J987" t="s">
        <v>2433</v>
      </c>
    </row>
    <row r="988" spans="8:10" x14ac:dyDescent="0.35">
      <c r="H988" t="s">
        <v>1267</v>
      </c>
      <c r="I988">
        <v>987</v>
      </c>
      <c r="J988" t="s">
        <v>2434</v>
      </c>
    </row>
    <row r="989" spans="8:10" x14ac:dyDescent="0.35">
      <c r="H989" t="s">
        <v>1268</v>
      </c>
      <c r="I989">
        <v>988</v>
      </c>
      <c r="J989" t="s">
        <v>2435</v>
      </c>
    </row>
    <row r="990" spans="8:10" x14ac:dyDescent="0.35">
      <c r="H990" t="s">
        <v>1269</v>
      </c>
      <c r="I990">
        <v>989</v>
      </c>
      <c r="J990" t="s">
        <v>2436</v>
      </c>
    </row>
    <row r="991" spans="8:10" x14ac:dyDescent="0.35">
      <c r="H991" t="s">
        <v>1270</v>
      </c>
      <c r="I991">
        <v>990</v>
      </c>
      <c r="J991" t="s">
        <v>2437</v>
      </c>
    </row>
    <row r="992" spans="8:10" x14ac:dyDescent="0.35">
      <c r="H992" t="s">
        <v>1271</v>
      </c>
      <c r="I992">
        <v>991</v>
      </c>
      <c r="J992" t="s">
        <v>2438</v>
      </c>
    </row>
    <row r="993" spans="8:10" x14ac:dyDescent="0.35">
      <c r="H993" t="s">
        <v>1272</v>
      </c>
      <c r="I993">
        <v>992</v>
      </c>
      <c r="J993" t="s">
        <v>2439</v>
      </c>
    </row>
    <row r="994" spans="8:10" x14ac:dyDescent="0.35">
      <c r="H994" t="s">
        <v>520</v>
      </c>
      <c r="I994">
        <v>993</v>
      </c>
      <c r="J994" t="s">
        <v>2440</v>
      </c>
    </row>
    <row r="995" spans="8:10" x14ac:dyDescent="0.35">
      <c r="H995" t="s">
        <v>1275</v>
      </c>
      <c r="I995">
        <v>994</v>
      </c>
      <c r="J995" t="s">
        <v>2441</v>
      </c>
    </row>
    <row r="996" spans="8:10" x14ac:dyDescent="0.35">
      <c r="H996" t="s">
        <v>1276</v>
      </c>
      <c r="I996">
        <v>995</v>
      </c>
      <c r="J996" t="s">
        <v>2442</v>
      </c>
    </row>
    <row r="997" spans="8:10" x14ac:dyDescent="0.35">
      <c r="H997" t="s">
        <v>1277</v>
      </c>
      <c r="I997">
        <v>996</v>
      </c>
      <c r="J997" t="s">
        <v>2443</v>
      </c>
    </row>
    <row r="998" spans="8:10" x14ac:dyDescent="0.35">
      <c r="H998" t="s">
        <v>1278</v>
      </c>
      <c r="I998">
        <v>997</v>
      </c>
      <c r="J998" t="s">
        <v>2444</v>
      </c>
    </row>
    <row r="999" spans="8:10" x14ac:dyDescent="0.35">
      <c r="H999" t="s">
        <v>1284</v>
      </c>
      <c r="I999">
        <v>998</v>
      </c>
      <c r="J999" t="s">
        <v>2445</v>
      </c>
    </row>
    <row r="1000" spans="8:10" x14ac:dyDescent="0.35">
      <c r="H1000" t="s">
        <v>1285</v>
      </c>
      <c r="I1000">
        <v>999</v>
      </c>
      <c r="J1000" t="s">
        <v>2446</v>
      </c>
    </row>
    <row r="1001" spans="8:10" x14ac:dyDescent="0.35">
      <c r="H1001" t="s">
        <v>1286</v>
      </c>
      <c r="I1001">
        <v>1000</v>
      </c>
      <c r="J1001" t="s">
        <v>2447</v>
      </c>
    </row>
    <row r="1002" spans="8:10" x14ac:dyDescent="0.35">
      <c r="H1002" t="s">
        <v>1287</v>
      </c>
      <c r="I1002">
        <v>1001</v>
      </c>
      <c r="J1002" t="s">
        <v>2448</v>
      </c>
    </row>
    <row r="1003" spans="8:10" x14ac:dyDescent="0.35">
      <c r="H1003" t="s">
        <v>1288</v>
      </c>
      <c r="I1003">
        <v>1002</v>
      </c>
      <c r="J1003" t="s">
        <v>2449</v>
      </c>
    </row>
    <row r="1004" spans="8:10" x14ac:dyDescent="0.35">
      <c r="H1004" t="s">
        <v>1289</v>
      </c>
      <c r="I1004">
        <v>1003</v>
      </c>
      <c r="J1004" t="s">
        <v>2450</v>
      </c>
    </row>
    <row r="1005" spans="8:10" x14ac:dyDescent="0.35">
      <c r="H1005" t="s">
        <v>1304</v>
      </c>
      <c r="I1005">
        <v>1004</v>
      </c>
      <c r="J1005" t="s">
        <v>2451</v>
      </c>
    </row>
    <row r="1006" spans="8:10" x14ac:dyDescent="0.35">
      <c r="H1006" t="s">
        <v>1305</v>
      </c>
      <c r="I1006">
        <v>1005</v>
      </c>
      <c r="J1006" t="s">
        <v>2452</v>
      </c>
    </row>
    <row r="1007" spans="8:10" x14ac:dyDescent="0.35">
      <c r="H1007" t="s">
        <v>1306</v>
      </c>
      <c r="I1007">
        <v>1006</v>
      </c>
      <c r="J1007" t="s">
        <v>2453</v>
      </c>
    </row>
    <row r="1008" spans="8:10" x14ac:dyDescent="0.35">
      <c r="H1008" t="s">
        <v>1307</v>
      </c>
      <c r="I1008">
        <v>1007</v>
      </c>
      <c r="J1008" t="s">
        <v>2454</v>
      </c>
    </row>
    <row r="1009" spans="8:10" x14ac:dyDescent="0.35">
      <c r="H1009" t="s">
        <v>1308</v>
      </c>
      <c r="I1009">
        <v>1008</v>
      </c>
      <c r="J1009" t="s">
        <v>2455</v>
      </c>
    </row>
    <row r="1010" spans="8:10" x14ac:dyDescent="0.35">
      <c r="H1010" t="s">
        <v>1309</v>
      </c>
      <c r="I1010">
        <v>1009</v>
      </c>
      <c r="J1010" t="s">
        <v>2456</v>
      </c>
    </row>
    <row r="1011" spans="8:10" x14ac:dyDescent="0.35">
      <c r="H1011" t="s">
        <v>1310</v>
      </c>
      <c r="I1011">
        <v>1010</v>
      </c>
      <c r="J1011" t="s">
        <v>2457</v>
      </c>
    </row>
    <row r="1012" spans="8:10" x14ac:dyDescent="0.35">
      <c r="H1012" t="s">
        <v>1311</v>
      </c>
      <c r="I1012">
        <v>1011</v>
      </c>
      <c r="J1012" t="s">
        <v>2458</v>
      </c>
    </row>
    <row r="1013" spans="8:10" x14ac:dyDescent="0.35">
      <c r="H1013" t="s">
        <v>1312</v>
      </c>
      <c r="I1013">
        <v>1012</v>
      </c>
      <c r="J1013" t="s">
        <v>2459</v>
      </c>
    </row>
    <row r="1014" spans="8:10" x14ac:dyDescent="0.35">
      <c r="H1014" t="s">
        <v>1313</v>
      </c>
      <c r="I1014">
        <v>1013</v>
      </c>
      <c r="J1014" t="s">
        <v>2460</v>
      </c>
    </row>
    <row r="1015" spans="8:10" x14ac:dyDescent="0.35">
      <c r="H1015" t="s">
        <v>1314</v>
      </c>
      <c r="I1015">
        <v>1014</v>
      </c>
      <c r="J1015" t="s">
        <v>2461</v>
      </c>
    </row>
    <row r="1016" spans="8:10" x14ac:dyDescent="0.35">
      <c r="H1016" t="s">
        <v>1315</v>
      </c>
      <c r="I1016">
        <v>1015</v>
      </c>
      <c r="J1016" t="s">
        <v>2462</v>
      </c>
    </row>
    <row r="1017" spans="8:10" x14ac:dyDescent="0.35">
      <c r="H1017" t="s">
        <v>1316</v>
      </c>
      <c r="I1017">
        <v>1016</v>
      </c>
      <c r="J1017" t="s">
        <v>2463</v>
      </c>
    </row>
    <row r="1018" spans="8:10" x14ac:dyDescent="0.35">
      <c r="H1018" t="s">
        <v>1317</v>
      </c>
      <c r="I1018">
        <v>1017</v>
      </c>
      <c r="J1018" t="s">
        <v>2464</v>
      </c>
    </row>
    <row r="1019" spans="8:10" x14ac:dyDescent="0.35">
      <c r="H1019" t="s">
        <v>1318</v>
      </c>
      <c r="I1019">
        <v>1018</v>
      </c>
      <c r="J1019" t="s">
        <v>2465</v>
      </c>
    </row>
    <row r="1020" spans="8:10" x14ac:dyDescent="0.35">
      <c r="H1020" t="s">
        <v>1319</v>
      </c>
      <c r="I1020">
        <v>1019</v>
      </c>
      <c r="J1020" t="s">
        <v>2466</v>
      </c>
    </row>
    <row r="1021" spans="8:10" x14ac:dyDescent="0.35">
      <c r="H1021" t="s">
        <v>1320</v>
      </c>
      <c r="I1021">
        <v>1020</v>
      </c>
      <c r="J1021" t="s">
        <v>2467</v>
      </c>
    </row>
    <row r="1022" spans="8:10" x14ac:dyDescent="0.35">
      <c r="H1022" t="s">
        <v>1321</v>
      </c>
      <c r="I1022">
        <v>1021</v>
      </c>
      <c r="J1022" t="s">
        <v>2468</v>
      </c>
    </row>
    <row r="1023" spans="8:10" x14ac:dyDescent="0.35">
      <c r="H1023" t="s">
        <v>1322</v>
      </c>
      <c r="I1023">
        <v>1022</v>
      </c>
      <c r="J1023" t="s">
        <v>2469</v>
      </c>
    </row>
    <row r="1024" spans="8:10" x14ac:dyDescent="0.35">
      <c r="H1024" t="s">
        <v>1323</v>
      </c>
      <c r="I1024">
        <v>1023</v>
      </c>
      <c r="J1024" t="s">
        <v>2470</v>
      </c>
    </row>
    <row r="1025" spans="8:10" x14ac:dyDescent="0.35">
      <c r="H1025" t="s">
        <v>1324</v>
      </c>
      <c r="I1025">
        <v>1024</v>
      </c>
      <c r="J1025" t="s">
        <v>2471</v>
      </c>
    </row>
    <row r="1026" spans="8:10" x14ac:dyDescent="0.35">
      <c r="H1026" t="s">
        <v>1325</v>
      </c>
      <c r="I1026">
        <v>1025</v>
      </c>
      <c r="J1026" t="s">
        <v>2472</v>
      </c>
    </row>
    <row r="1027" spans="8:10" x14ac:dyDescent="0.35">
      <c r="H1027" t="s">
        <v>1326</v>
      </c>
      <c r="I1027">
        <v>1026</v>
      </c>
      <c r="J1027" t="s">
        <v>2473</v>
      </c>
    </row>
    <row r="1028" spans="8:10" x14ac:dyDescent="0.35">
      <c r="H1028" t="s">
        <v>1327</v>
      </c>
      <c r="I1028">
        <v>1027</v>
      </c>
      <c r="J1028" t="s">
        <v>2474</v>
      </c>
    </row>
    <row r="1029" spans="8:10" x14ac:dyDescent="0.35">
      <c r="H1029" t="s">
        <v>1328</v>
      </c>
      <c r="I1029">
        <v>1028</v>
      </c>
      <c r="J1029" t="s">
        <v>2475</v>
      </c>
    </row>
    <row r="1030" spans="8:10" x14ac:dyDescent="0.35">
      <c r="H1030" t="s">
        <v>1329</v>
      </c>
      <c r="I1030">
        <v>1029</v>
      </c>
      <c r="J1030" t="s">
        <v>2476</v>
      </c>
    </row>
    <row r="1031" spans="8:10" x14ac:dyDescent="0.35">
      <c r="H1031" t="s">
        <v>1330</v>
      </c>
      <c r="I1031">
        <v>1030</v>
      </c>
      <c r="J1031" t="s">
        <v>2477</v>
      </c>
    </row>
    <row r="1032" spans="8:10" x14ac:dyDescent="0.35">
      <c r="H1032" t="s">
        <v>1331</v>
      </c>
      <c r="I1032">
        <v>1031</v>
      </c>
      <c r="J1032" t="s">
        <v>2478</v>
      </c>
    </row>
    <row r="1033" spans="8:10" x14ac:dyDescent="0.35">
      <c r="H1033" t="s">
        <v>1335</v>
      </c>
      <c r="I1033">
        <v>1032</v>
      </c>
      <c r="J1033" t="s">
        <v>2479</v>
      </c>
    </row>
    <row r="1034" spans="8:10" x14ac:dyDescent="0.35">
      <c r="H1034" t="s">
        <v>1336</v>
      </c>
      <c r="I1034">
        <v>1033</v>
      </c>
      <c r="J1034" t="s">
        <v>2480</v>
      </c>
    </row>
    <row r="1035" spans="8:10" x14ac:dyDescent="0.35">
      <c r="H1035" t="s">
        <v>1337</v>
      </c>
      <c r="I1035">
        <v>1034</v>
      </c>
      <c r="J1035" t="s">
        <v>2481</v>
      </c>
    </row>
    <row r="1036" spans="8:10" x14ac:dyDescent="0.35">
      <c r="H1036" t="s">
        <v>1338</v>
      </c>
      <c r="I1036">
        <v>1035</v>
      </c>
      <c r="J1036" t="s">
        <v>2482</v>
      </c>
    </row>
    <row r="1037" spans="8:10" x14ac:dyDescent="0.35">
      <c r="H1037" t="s">
        <v>1339</v>
      </c>
      <c r="I1037">
        <v>1036</v>
      </c>
      <c r="J1037" t="s">
        <v>2483</v>
      </c>
    </row>
    <row r="1038" spans="8:10" x14ac:dyDescent="0.35">
      <c r="H1038" t="s">
        <v>1340</v>
      </c>
      <c r="I1038">
        <v>1037</v>
      </c>
      <c r="J1038" t="s">
        <v>2484</v>
      </c>
    </row>
    <row r="1039" spans="8:10" x14ac:dyDescent="0.35">
      <c r="H1039" t="s">
        <v>1341</v>
      </c>
      <c r="I1039">
        <v>1038</v>
      </c>
      <c r="J1039" t="s">
        <v>2485</v>
      </c>
    </row>
    <row r="1040" spans="8:10" x14ac:dyDescent="0.35">
      <c r="H1040" t="s">
        <v>1342</v>
      </c>
      <c r="I1040">
        <v>1039</v>
      </c>
      <c r="J1040" t="s">
        <v>2486</v>
      </c>
    </row>
    <row r="1041" spans="8:10" x14ac:dyDescent="0.35">
      <c r="H1041" t="s">
        <v>1343</v>
      </c>
      <c r="I1041">
        <v>1040</v>
      </c>
      <c r="J1041" t="s">
        <v>2487</v>
      </c>
    </row>
    <row r="1042" spans="8:10" x14ac:dyDescent="0.35">
      <c r="H1042" t="s">
        <v>1344</v>
      </c>
      <c r="I1042">
        <v>1041</v>
      </c>
      <c r="J1042" t="s">
        <v>2488</v>
      </c>
    </row>
    <row r="1043" spans="8:10" x14ac:dyDescent="0.35">
      <c r="H1043" t="s">
        <v>1352</v>
      </c>
      <c r="I1043">
        <v>1042</v>
      </c>
      <c r="J1043" t="s">
        <v>2489</v>
      </c>
    </row>
    <row r="1044" spans="8:10" x14ac:dyDescent="0.35">
      <c r="H1044" t="s">
        <v>1353</v>
      </c>
      <c r="I1044">
        <v>1043</v>
      </c>
      <c r="J1044" t="s">
        <v>2490</v>
      </c>
    </row>
    <row r="1045" spans="8:10" x14ac:dyDescent="0.35">
      <c r="H1045" t="s">
        <v>1354</v>
      </c>
      <c r="I1045">
        <v>1044</v>
      </c>
      <c r="J1045" t="s">
        <v>2491</v>
      </c>
    </row>
    <row r="1046" spans="8:10" x14ac:dyDescent="0.35">
      <c r="H1046" t="s">
        <v>1355</v>
      </c>
      <c r="I1046">
        <v>1045</v>
      </c>
      <c r="J1046" t="s">
        <v>2492</v>
      </c>
    </row>
    <row r="1047" spans="8:10" x14ac:dyDescent="0.35">
      <c r="H1047" t="s">
        <v>1356</v>
      </c>
      <c r="I1047">
        <v>1046</v>
      </c>
      <c r="J1047" t="s">
        <v>2493</v>
      </c>
    </row>
    <row r="1048" spans="8:10" x14ac:dyDescent="0.35">
      <c r="H1048" t="s">
        <v>1357</v>
      </c>
      <c r="I1048">
        <v>1047</v>
      </c>
      <c r="J1048" t="s">
        <v>2494</v>
      </c>
    </row>
    <row r="1049" spans="8:10" x14ac:dyDescent="0.35">
      <c r="H1049" t="s">
        <v>1358</v>
      </c>
      <c r="I1049">
        <v>1048</v>
      </c>
      <c r="J1049" t="s">
        <v>2495</v>
      </c>
    </row>
    <row r="1050" spans="8:10" x14ac:dyDescent="0.35">
      <c r="H1050" t="s">
        <v>1359</v>
      </c>
      <c r="I1050">
        <v>1049</v>
      </c>
      <c r="J1050" t="s">
        <v>2496</v>
      </c>
    </row>
    <row r="1051" spans="8:10" x14ac:dyDescent="0.35">
      <c r="H1051" t="s">
        <v>1360</v>
      </c>
      <c r="I1051">
        <v>1050</v>
      </c>
      <c r="J1051" t="s">
        <v>2497</v>
      </c>
    </row>
    <row r="1052" spans="8:10" x14ac:dyDescent="0.35">
      <c r="H1052" t="s">
        <v>1361</v>
      </c>
      <c r="I1052">
        <v>1051</v>
      </c>
      <c r="J1052" t="s">
        <v>2498</v>
      </c>
    </row>
    <row r="1053" spans="8:10" x14ac:dyDescent="0.35">
      <c r="H1053" t="s">
        <v>1362</v>
      </c>
      <c r="I1053">
        <v>1052</v>
      </c>
      <c r="J1053" t="s">
        <v>2499</v>
      </c>
    </row>
    <row r="1054" spans="8:10" x14ac:dyDescent="0.35">
      <c r="H1054" t="s">
        <v>1363</v>
      </c>
      <c r="I1054">
        <v>1053</v>
      </c>
      <c r="J1054" t="s">
        <v>2500</v>
      </c>
    </row>
    <row r="1055" spans="8:10" x14ac:dyDescent="0.35">
      <c r="H1055" t="s">
        <v>1364</v>
      </c>
      <c r="I1055">
        <v>1054</v>
      </c>
      <c r="J1055" t="s">
        <v>2501</v>
      </c>
    </row>
    <row r="1056" spans="8:10" x14ac:dyDescent="0.35">
      <c r="H1056" t="s">
        <v>1365</v>
      </c>
      <c r="I1056">
        <v>1055</v>
      </c>
      <c r="J1056" t="s">
        <v>2502</v>
      </c>
    </row>
    <row r="1057" spans="8:10" x14ac:dyDescent="0.35">
      <c r="H1057" t="s">
        <v>1366</v>
      </c>
      <c r="I1057">
        <v>1056</v>
      </c>
      <c r="J1057" t="s">
        <v>2503</v>
      </c>
    </row>
    <row r="1058" spans="8:10" x14ac:dyDescent="0.35">
      <c r="H1058" t="s">
        <v>1367</v>
      </c>
      <c r="I1058">
        <v>1057</v>
      </c>
      <c r="J1058" t="s">
        <v>2504</v>
      </c>
    </row>
    <row r="1059" spans="8:10" x14ac:dyDescent="0.35">
      <c r="H1059" t="s">
        <v>1378</v>
      </c>
      <c r="I1059">
        <v>1058</v>
      </c>
      <c r="J1059" t="s">
        <v>2505</v>
      </c>
    </row>
    <row r="1060" spans="8:10" x14ac:dyDescent="0.35">
      <c r="H1060" t="s">
        <v>1379</v>
      </c>
      <c r="I1060">
        <v>1059</v>
      </c>
      <c r="J1060" t="s">
        <v>2506</v>
      </c>
    </row>
    <row r="1061" spans="8:10" x14ac:dyDescent="0.35">
      <c r="H1061" t="s">
        <v>1380</v>
      </c>
      <c r="I1061">
        <v>1060</v>
      </c>
      <c r="J1061" t="s">
        <v>2507</v>
      </c>
    </row>
    <row r="1062" spans="8:10" x14ac:dyDescent="0.35">
      <c r="H1062" t="s">
        <v>1381</v>
      </c>
      <c r="I1062">
        <v>1061</v>
      </c>
      <c r="J1062" t="s">
        <v>2508</v>
      </c>
    </row>
    <row r="1063" spans="8:10" x14ac:dyDescent="0.35">
      <c r="H1063" t="s">
        <v>1382</v>
      </c>
      <c r="I1063">
        <v>1062</v>
      </c>
      <c r="J1063" t="s">
        <v>2509</v>
      </c>
    </row>
    <row r="1064" spans="8:10" x14ac:dyDescent="0.35">
      <c r="H1064" t="s">
        <v>1383</v>
      </c>
      <c r="I1064">
        <v>1063</v>
      </c>
      <c r="J1064" t="s">
        <v>2510</v>
      </c>
    </row>
    <row r="1065" spans="8:10" x14ac:dyDescent="0.35">
      <c r="H1065" t="s">
        <v>1386</v>
      </c>
      <c r="I1065">
        <v>1064</v>
      </c>
      <c r="J1065" t="s">
        <v>2511</v>
      </c>
    </row>
    <row r="1066" spans="8:10" x14ac:dyDescent="0.35">
      <c r="H1066" t="s">
        <v>1387</v>
      </c>
      <c r="I1066">
        <v>1065</v>
      </c>
      <c r="J1066" t="s">
        <v>2512</v>
      </c>
    </row>
    <row r="1067" spans="8:10" x14ac:dyDescent="0.35">
      <c r="H1067" t="s">
        <v>1388</v>
      </c>
      <c r="I1067">
        <v>1066</v>
      </c>
      <c r="J1067" t="s">
        <v>2513</v>
      </c>
    </row>
    <row r="1068" spans="8:10" x14ac:dyDescent="0.35">
      <c r="H1068" t="s">
        <v>578</v>
      </c>
      <c r="I1068">
        <v>1067</v>
      </c>
      <c r="J1068" t="s">
        <v>2514</v>
      </c>
    </row>
    <row r="1069" spans="8:10" x14ac:dyDescent="0.35">
      <c r="H1069" t="s">
        <v>398</v>
      </c>
      <c r="I1069">
        <v>1068</v>
      </c>
      <c r="J1069" t="s">
        <v>2515</v>
      </c>
    </row>
    <row r="1070" spans="8:10" x14ac:dyDescent="0.35">
      <c r="H1070" t="s">
        <v>447</v>
      </c>
      <c r="I1070">
        <v>1069</v>
      </c>
      <c r="J1070" t="s">
        <v>2516</v>
      </c>
    </row>
    <row r="1071" spans="8:10" x14ac:dyDescent="0.35">
      <c r="H1071" t="s">
        <v>518</v>
      </c>
      <c r="I1071">
        <v>1070</v>
      </c>
      <c r="J1071" t="s">
        <v>2517</v>
      </c>
    </row>
    <row r="1072" spans="8:10" x14ac:dyDescent="0.35">
      <c r="H1072" t="s">
        <v>448</v>
      </c>
      <c r="I1072">
        <v>1071</v>
      </c>
      <c r="J1072" t="s">
        <v>2518</v>
      </c>
    </row>
    <row r="1073" spans="8:10" x14ac:dyDescent="0.35">
      <c r="H1073" t="s">
        <v>402</v>
      </c>
      <c r="I1073">
        <v>1072</v>
      </c>
      <c r="J1073" t="s">
        <v>2519</v>
      </c>
    </row>
    <row r="1074" spans="8:10" x14ac:dyDescent="0.35">
      <c r="H1074" t="s">
        <v>1165</v>
      </c>
      <c r="I1074">
        <v>1073</v>
      </c>
      <c r="J1074" t="s">
        <v>2520</v>
      </c>
    </row>
    <row r="1075" spans="8:10" x14ac:dyDescent="0.35">
      <c r="H1075" t="s">
        <v>1166</v>
      </c>
      <c r="I1075">
        <v>1074</v>
      </c>
      <c r="J1075" t="s">
        <v>2521</v>
      </c>
    </row>
    <row r="1076" spans="8:10" x14ac:dyDescent="0.35">
      <c r="H1076" t="s">
        <v>406</v>
      </c>
      <c r="I1076">
        <v>1075</v>
      </c>
      <c r="J1076" t="s">
        <v>2522</v>
      </c>
    </row>
    <row r="1077" spans="8:10" x14ac:dyDescent="0.35">
      <c r="H1077" t="s">
        <v>1167</v>
      </c>
      <c r="I1077">
        <v>1076</v>
      </c>
      <c r="J1077" t="s">
        <v>2523</v>
      </c>
    </row>
    <row r="1078" spans="8:10" x14ac:dyDescent="0.35">
      <c r="H1078" t="s">
        <v>449</v>
      </c>
      <c r="I1078">
        <v>1077</v>
      </c>
      <c r="J1078" t="s">
        <v>2524</v>
      </c>
    </row>
    <row r="1079" spans="8:10" x14ac:dyDescent="0.35">
      <c r="H1079" t="s">
        <v>1172</v>
      </c>
      <c r="I1079">
        <v>1078</v>
      </c>
      <c r="J1079" t="s">
        <v>2525</v>
      </c>
    </row>
    <row r="1080" spans="8:10" x14ac:dyDescent="0.35">
      <c r="H1080" t="s">
        <v>1368</v>
      </c>
      <c r="I1080">
        <v>1079</v>
      </c>
      <c r="J1080" t="s">
        <v>2526</v>
      </c>
    </row>
    <row r="1081" spans="8:10" x14ac:dyDescent="0.35">
      <c r="H1081" t="s">
        <v>450</v>
      </c>
      <c r="I1081">
        <v>1080</v>
      </c>
      <c r="J1081" t="s">
        <v>2527</v>
      </c>
    </row>
    <row r="1082" spans="8:10" x14ac:dyDescent="0.35">
      <c r="H1082" t="s">
        <v>451</v>
      </c>
      <c r="I1082">
        <v>1081</v>
      </c>
      <c r="J1082" t="s">
        <v>2528</v>
      </c>
    </row>
    <row r="1083" spans="8:10" x14ac:dyDescent="0.35">
      <c r="H1083" t="s">
        <v>412</v>
      </c>
      <c r="I1083">
        <v>1082</v>
      </c>
      <c r="J1083" t="s">
        <v>2529</v>
      </c>
    </row>
    <row r="1084" spans="8:10" x14ac:dyDescent="0.35">
      <c r="H1084" t="s">
        <v>1175</v>
      </c>
      <c r="I1084">
        <v>1083</v>
      </c>
      <c r="J1084" t="s">
        <v>2530</v>
      </c>
    </row>
    <row r="1085" spans="8:10" x14ac:dyDescent="0.35">
      <c r="H1085" t="s">
        <v>452</v>
      </c>
      <c r="I1085">
        <v>1084</v>
      </c>
      <c r="J1085" t="s">
        <v>2531</v>
      </c>
    </row>
    <row r="1086" spans="8:10" x14ac:dyDescent="0.35">
      <c r="H1086" t="s">
        <v>453</v>
      </c>
      <c r="I1086">
        <v>1085</v>
      </c>
      <c r="J1086" t="s">
        <v>2532</v>
      </c>
    </row>
    <row r="1087" spans="8:10" x14ac:dyDescent="0.35">
      <c r="H1087" t="s">
        <v>1176</v>
      </c>
      <c r="I1087">
        <v>1086</v>
      </c>
      <c r="J1087" t="s">
        <v>2533</v>
      </c>
    </row>
    <row r="1088" spans="8:10" x14ac:dyDescent="0.35">
      <c r="H1088" t="s">
        <v>454</v>
      </c>
      <c r="I1088">
        <v>1087</v>
      </c>
      <c r="J1088" t="s">
        <v>2534</v>
      </c>
    </row>
    <row r="1089" spans="8:10" x14ac:dyDescent="0.35">
      <c r="H1089" t="s">
        <v>1177</v>
      </c>
      <c r="I1089">
        <v>1088</v>
      </c>
      <c r="J1089" t="s">
        <v>2535</v>
      </c>
    </row>
    <row r="1090" spans="8:10" x14ac:dyDescent="0.35">
      <c r="H1090" t="s">
        <v>1178</v>
      </c>
      <c r="I1090">
        <v>1089</v>
      </c>
      <c r="J1090" t="s">
        <v>2536</v>
      </c>
    </row>
    <row r="1091" spans="8:10" x14ac:dyDescent="0.35">
      <c r="H1091" t="s">
        <v>414</v>
      </c>
      <c r="I1091">
        <v>1090</v>
      </c>
      <c r="J1091" t="s">
        <v>2537</v>
      </c>
    </row>
    <row r="1092" spans="8:10" x14ac:dyDescent="0.35">
      <c r="H1092" t="s">
        <v>415</v>
      </c>
      <c r="I1092">
        <v>1091</v>
      </c>
      <c r="J1092" t="s">
        <v>2538</v>
      </c>
    </row>
    <row r="1093" spans="8:10" x14ac:dyDescent="0.35">
      <c r="H1093" t="s">
        <v>456</v>
      </c>
      <c r="I1093">
        <v>1092</v>
      </c>
      <c r="J1093" t="s">
        <v>2539</v>
      </c>
    </row>
    <row r="1094" spans="8:10" x14ac:dyDescent="0.35">
      <c r="H1094" t="s">
        <v>417</v>
      </c>
      <c r="I1094">
        <v>1093</v>
      </c>
      <c r="J1094" t="s">
        <v>2540</v>
      </c>
    </row>
    <row r="1095" spans="8:10" x14ac:dyDescent="0.35">
      <c r="H1095" t="s">
        <v>418</v>
      </c>
      <c r="I1095">
        <v>1094</v>
      </c>
      <c r="J1095" t="s">
        <v>2541</v>
      </c>
    </row>
    <row r="1096" spans="8:10" x14ac:dyDescent="0.35">
      <c r="H1096" t="s">
        <v>1181</v>
      </c>
      <c r="I1096">
        <v>1095</v>
      </c>
      <c r="J1096" t="s">
        <v>2542</v>
      </c>
    </row>
    <row r="1097" spans="8:10" x14ac:dyDescent="0.35">
      <c r="H1097" t="s">
        <v>419</v>
      </c>
      <c r="I1097">
        <v>1096</v>
      </c>
      <c r="J1097" t="s">
        <v>2543</v>
      </c>
    </row>
    <row r="1098" spans="8:10" x14ac:dyDescent="0.35">
      <c r="H1098" t="s">
        <v>420</v>
      </c>
      <c r="I1098">
        <v>1097</v>
      </c>
      <c r="J1098" t="s">
        <v>2544</v>
      </c>
    </row>
    <row r="1099" spans="8:10" x14ac:dyDescent="0.35">
      <c r="H1099" t="s">
        <v>1182</v>
      </c>
      <c r="I1099">
        <v>1098</v>
      </c>
      <c r="J1099" t="s">
        <v>2545</v>
      </c>
    </row>
    <row r="1100" spans="8:10" x14ac:dyDescent="0.35">
      <c r="H1100" t="s">
        <v>421</v>
      </c>
      <c r="I1100">
        <v>1099</v>
      </c>
      <c r="J1100" t="s">
        <v>2546</v>
      </c>
    </row>
    <row r="1101" spans="8:10" x14ac:dyDescent="0.35">
      <c r="H1101" t="s">
        <v>457</v>
      </c>
      <c r="I1101">
        <v>1100</v>
      </c>
      <c r="J1101" t="s">
        <v>2547</v>
      </c>
    </row>
    <row r="1102" spans="8:10" x14ac:dyDescent="0.35">
      <c r="H1102" t="s">
        <v>422</v>
      </c>
      <c r="I1102">
        <v>1101</v>
      </c>
      <c r="J1102" t="s">
        <v>2548</v>
      </c>
    </row>
    <row r="1103" spans="8:10" x14ac:dyDescent="0.35">
      <c r="H1103" t="s">
        <v>423</v>
      </c>
      <c r="I1103">
        <v>1102</v>
      </c>
      <c r="J1103" t="s">
        <v>2549</v>
      </c>
    </row>
    <row r="1104" spans="8:10" x14ac:dyDescent="0.35">
      <c r="H1104" t="s">
        <v>424</v>
      </c>
      <c r="I1104">
        <v>1103</v>
      </c>
      <c r="J1104" t="s">
        <v>2550</v>
      </c>
    </row>
    <row r="1105" spans="8:10" x14ac:dyDescent="0.35">
      <c r="H1105" t="s">
        <v>1183</v>
      </c>
      <c r="I1105">
        <v>1104</v>
      </c>
      <c r="J1105" t="s">
        <v>2551</v>
      </c>
    </row>
    <row r="1106" spans="8:10" x14ac:dyDescent="0.35">
      <c r="H1106" t="s">
        <v>458</v>
      </c>
      <c r="I1106">
        <v>1105</v>
      </c>
      <c r="J1106" t="s">
        <v>2552</v>
      </c>
    </row>
    <row r="1107" spans="8:10" x14ac:dyDescent="0.35">
      <c r="H1107" t="s">
        <v>623</v>
      </c>
      <c r="I1107">
        <v>1106</v>
      </c>
      <c r="J1107" t="s">
        <v>2553</v>
      </c>
    </row>
    <row r="1108" spans="8:10" x14ac:dyDescent="0.35">
      <c r="H1108" t="s">
        <v>459</v>
      </c>
      <c r="I1108">
        <v>1107</v>
      </c>
      <c r="J1108" t="s">
        <v>2554</v>
      </c>
    </row>
    <row r="1109" spans="8:10" x14ac:dyDescent="0.35">
      <c r="H1109" t="s">
        <v>460</v>
      </c>
      <c r="I1109">
        <v>1108</v>
      </c>
      <c r="J1109" t="s">
        <v>2555</v>
      </c>
    </row>
    <row r="1110" spans="8:10" x14ac:dyDescent="0.35">
      <c r="H1110" t="s">
        <v>1184</v>
      </c>
      <c r="I1110">
        <v>1109</v>
      </c>
      <c r="J1110" t="s">
        <v>2556</v>
      </c>
    </row>
    <row r="1111" spans="8:10" x14ac:dyDescent="0.35">
      <c r="H1111" t="s">
        <v>627</v>
      </c>
      <c r="I1111">
        <v>1110</v>
      </c>
      <c r="J1111" t="s">
        <v>2557</v>
      </c>
    </row>
    <row r="1112" spans="8:10" x14ac:dyDescent="0.35">
      <c r="H1112" t="s">
        <v>425</v>
      </c>
      <c r="I1112">
        <v>1111</v>
      </c>
      <c r="J1112" t="s">
        <v>2558</v>
      </c>
    </row>
    <row r="1113" spans="8:10" x14ac:dyDescent="0.35">
      <c r="H1113" t="s">
        <v>461</v>
      </c>
      <c r="I1113">
        <v>1112</v>
      </c>
      <c r="J1113" t="s">
        <v>2559</v>
      </c>
    </row>
    <row r="1114" spans="8:10" x14ac:dyDescent="0.35">
      <c r="H1114" t="s">
        <v>426</v>
      </c>
      <c r="I1114">
        <v>1113</v>
      </c>
      <c r="J1114" t="s">
        <v>2560</v>
      </c>
    </row>
    <row r="1115" spans="8:10" x14ac:dyDescent="0.35">
      <c r="H1115" t="s">
        <v>427</v>
      </c>
      <c r="I1115">
        <v>1114</v>
      </c>
      <c r="J1115" t="s">
        <v>2561</v>
      </c>
    </row>
    <row r="1116" spans="8:10" x14ac:dyDescent="0.35">
      <c r="H1116" t="s">
        <v>428</v>
      </c>
      <c r="I1116">
        <v>1115</v>
      </c>
      <c r="J1116" t="s">
        <v>2562</v>
      </c>
    </row>
    <row r="1117" spans="8:10" x14ac:dyDescent="0.35">
      <c r="H1117" t="s">
        <v>519</v>
      </c>
      <c r="I1117">
        <v>1116</v>
      </c>
      <c r="J1117" t="s">
        <v>2563</v>
      </c>
    </row>
    <row r="1118" spans="8:10" x14ac:dyDescent="0.35">
      <c r="H1118" t="s">
        <v>429</v>
      </c>
      <c r="I1118">
        <v>1117</v>
      </c>
      <c r="J1118" t="s">
        <v>2564</v>
      </c>
    </row>
    <row r="1119" spans="8:10" x14ac:dyDescent="0.35">
      <c r="H1119" t="s">
        <v>462</v>
      </c>
      <c r="I1119">
        <v>1118</v>
      </c>
      <c r="J1119" t="s">
        <v>2565</v>
      </c>
    </row>
    <row r="1120" spans="8:10" x14ac:dyDescent="0.35">
      <c r="H1120" t="s">
        <v>579</v>
      </c>
      <c r="I1120">
        <v>1119</v>
      </c>
      <c r="J1120" t="s">
        <v>2566</v>
      </c>
    </row>
    <row r="1121" spans="8:10" x14ac:dyDescent="0.35">
      <c r="H1121" t="s">
        <v>1185</v>
      </c>
      <c r="I1121">
        <v>1120</v>
      </c>
      <c r="J1121" t="s">
        <v>2567</v>
      </c>
    </row>
    <row r="1122" spans="8:10" x14ac:dyDescent="0.35">
      <c r="H1122" t="s">
        <v>1186</v>
      </c>
      <c r="I1122">
        <v>1121</v>
      </c>
      <c r="J1122" t="s">
        <v>2568</v>
      </c>
    </row>
    <row r="1123" spans="8:10" x14ac:dyDescent="0.35">
      <c r="H1123" t="s">
        <v>430</v>
      </c>
      <c r="I1123">
        <v>1122</v>
      </c>
      <c r="J1123" t="s">
        <v>2569</v>
      </c>
    </row>
    <row r="1124" spans="8:10" x14ac:dyDescent="0.35">
      <c r="H1124" t="s">
        <v>1187</v>
      </c>
      <c r="I1124">
        <v>1123</v>
      </c>
      <c r="J1124" t="s">
        <v>2570</v>
      </c>
    </row>
    <row r="1125" spans="8:10" x14ac:dyDescent="0.35">
      <c r="H1125" t="s">
        <v>1188</v>
      </c>
      <c r="I1125">
        <v>1124</v>
      </c>
      <c r="J1125" t="s">
        <v>2571</v>
      </c>
    </row>
    <row r="1126" spans="8:10" x14ac:dyDescent="0.35">
      <c r="H1126" t="s">
        <v>431</v>
      </c>
      <c r="I1126">
        <v>1125</v>
      </c>
      <c r="J1126" t="s">
        <v>2572</v>
      </c>
    </row>
    <row r="1127" spans="8:10" x14ac:dyDescent="0.35">
      <c r="H1127" t="s">
        <v>432</v>
      </c>
      <c r="I1127">
        <v>1126</v>
      </c>
      <c r="J1127" t="s">
        <v>2573</v>
      </c>
    </row>
    <row r="1128" spans="8:10" x14ac:dyDescent="0.35">
      <c r="H1128" t="s">
        <v>433</v>
      </c>
      <c r="I1128">
        <v>1127</v>
      </c>
      <c r="J1128" t="s">
        <v>2574</v>
      </c>
    </row>
    <row r="1129" spans="8:10" x14ac:dyDescent="0.35">
      <c r="H1129" t="s">
        <v>434</v>
      </c>
      <c r="I1129">
        <v>1128</v>
      </c>
      <c r="J1129" t="s">
        <v>2575</v>
      </c>
    </row>
    <row r="1130" spans="8:10" x14ac:dyDescent="0.35">
      <c r="H1130" t="s">
        <v>435</v>
      </c>
      <c r="I1130">
        <v>1129</v>
      </c>
      <c r="J1130" t="s">
        <v>2576</v>
      </c>
    </row>
    <row r="1131" spans="8:10" x14ac:dyDescent="0.35">
      <c r="H1131" t="s">
        <v>624</v>
      </c>
      <c r="I1131">
        <v>1130</v>
      </c>
      <c r="J1131" t="s">
        <v>2577</v>
      </c>
    </row>
    <row r="1132" spans="8:10" x14ac:dyDescent="0.35">
      <c r="H1132" t="s">
        <v>1189</v>
      </c>
      <c r="I1132">
        <v>1131</v>
      </c>
      <c r="J1132" t="s">
        <v>2578</v>
      </c>
    </row>
    <row r="1133" spans="8:10" x14ac:dyDescent="0.35">
      <c r="H1133" t="s">
        <v>436</v>
      </c>
      <c r="I1133">
        <v>1132</v>
      </c>
      <c r="J1133" t="s">
        <v>2579</v>
      </c>
    </row>
    <row r="1134" spans="8:10" x14ac:dyDescent="0.35">
      <c r="H1134" t="s">
        <v>437</v>
      </c>
      <c r="I1134">
        <v>1133</v>
      </c>
      <c r="J1134" t="s">
        <v>2580</v>
      </c>
    </row>
    <row r="1135" spans="8:10" x14ac:dyDescent="0.35">
      <c r="H1135" t="s">
        <v>1190</v>
      </c>
      <c r="I1135">
        <v>1134</v>
      </c>
      <c r="J1135" t="s">
        <v>2581</v>
      </c>
    </row>
    <row r="1136" spans="8:10" x14ac:dyDescent="0.35">
      <c r="H1136" t="s">
        <v>1191</v>
      </c>
      <c r="I1136">
        <v>1135</v>
      </c>
      <c r="J1136" t="s">
        <v>2582</v>
      </c>
    </row>
    <row r="1137" spans="8:10" x14ac:dyDescent="0.35">
      <c r="H1137" t="s">
        <v>1194</v>
      </c>
      <c r="I1137">
        <v>1136</v>
      </c>
      <c r="J1137" t="s">
        <v>2583</v>
      </c>
    </row>
    <row r="1138" spans="8:10" x14ac:dyDescent="0.35">
      <c r="H1138" t="s">
        <v>438</v>
      </c>
      <c r="I1138">
        <v>1137</v>
      </c>
      <c r="J1138" t="s">
        <v>2584</v>
      </c>
    </row>
    <row r="1139" spans="8:10" x14ac:dyDescent="0.35">
      <c r="H1139" t="s">
        <v>439</v>
      </c>
      <c r="I1139">
        <v>1138</v>
      </c>
      <c r="J1139" t="s">
        <v>2585</v>
      </c>
    </row>
    <row r="1140" spans="8:10" x14ac:dyDescent="0.35">
      <c r="H1140" t="s">
        <v>463</v>
      </c>
      <c r="I1140">
        <v>1139</v>
      </c>
      <c r="J1140" t="s">
        <v>2586</v>
      </c>
    </row>
    <row r="1141" spans="8:10" x14ac:dyDescent="0.35">
      <c r="H1141" t="s">
        <v>580</v>
      </c>
      <c r="I1141">
        <v>1140</v>
      </c>
      <c r="J1141" t="s">
        <v>2587</v>
      </c>
    </row>
    <row r="1142" spans="8:10" x14ac:dyDescent="0.35">
      <c r="H1142" t="s">
        <v>1195</v>
      </c>
      <c r="I1142">
        <v>1141</v>
      </c>
      <c r="J1142" t="s">
        <v>2588</v>
      </c>
    </row>
    <row r="1143" spans="8:10" x14ac:dyDescent="0.35">
      <c r="H1143" t="s">
        <v>1196</v>
      </c>
      <c r="I1143">
        <v>1142</v>
      </c>
      <c r="J1143" t="s">
        <v>2589</v>
      </c>
    </row>
    <row r="1144" spans="8:10" x14ac:dyDescent="0.35">
      <c r="H1144" t="s">
        <v>464</v>
      </c>
      <c r="I1144">
        <v>1143</v>
      </c>
      <c r="J1144" t="s">
        <v>2590</v>
      </c>
    </row>
    <row r="1145" spans="8:10" x14ac:dyDescent="0.35">
      <c r="H1145" t="s">
        <v>440</v>
      </c>
      <c r="I1145">
        <v>1144</v>
      </c>
      <c r="J1145" t="s">
        <v>2591</v>
      </c>
    </row>
    <row r="1146" spans="8:10" x14ac:dyDescent="0.35">
      <c r="H1146" t="s">
        <v>465</v>
      </c>
      <c r="I1146">
        <v>1145</v>
      </c>
      <c r="J1146" t="s">
        <v>2592</v>
      </c>
    </row>
    <row r="1147" spans="8:10" x14ac:dyDescent="0.35">
      <c r="H1147" t="s">
        <v>466</v>
      </c>
      <c r="I1147">
        <v>1146</v>
      </c>
      <c r="J1147" t="s">
        <v>2593</v>
      </c>
    </row>
    <row r="1148" spans="8:10" x14ac:dyDescent="0.35">
      <c r="H1148" t="s">
        <v>1197</v>
      </c>
      <c r="I1148">
        <v>1147</v>
      </c>
      <c r="J1148" t="s">
        <v>2594</v>
      </c>
    </row>
    <row r="1149" spans="8:10" x14ac:dyDescent="0.35">
      <c r="H1149" t="s">
        <v>469</v>
      </c>
      <c r="I1149">
        <v>1148</v>
      </c>
      <c r="J1149" t="s">
        <v>2595</v>
      </c>
    </row>
    <row r="1150" spans="8:10" x14ac:dyDescent="0.35">
      <c r="H1150" t="s">
        <v>581</v>
      </c>
      <c r="I1150">
        <v>1149</v>
      </c>
      <c r="J1150" t="s">
        <v>2596</v>
      </c>
    </row>
    <row r="1151" spans="8:10" x14ac:dyDescent="0.35">
      <c r="H1151" t="s">
        <v>441</v>
      </c>
      <c r="I1151">
        <v>1150</v>
      </c>
      <c r="J1151" t="s">
        <v>2597</v>
      </c>
    </row>
    <row r="1152" spans="8:10" x14ac:dyDescent="0.35">
      <c r="H1152" t="s">
        <v>443</v>
      </c>
      <c r="I1152">
        <v>1151</v>
      </c>
      <c r="J1152" t="s">
        <v>2598</v>
      </c>
    </row>
    <row r="1153" spans="8:10" x14ac:dyDescent="0.35">
      <c r="H1153" t="s">
        <v>585</v>
      </c>
      <c r="I1153">
        <v>1152</v>
      </c>
      <c r="J1153" t="s">
        <v>2599</v>
      </c>
    </row>
    <row r="1154" spans="8:10" x14ac:dyDescent="0.35">
      <c r="H1154" t="s">
        <v>444</v>
      </c>
      <c r="I1154">
        <v>1153</v>
      </c>
      <c r="J1154" t="s">
        <v>2600</v>
      </c>
    </row>
    <row r="1155" spans="8:10" x14ac:dyDescent="0.35">
      <c r="H1155" t="s">
        <v>467</v>
      </c>
      <c r="I1155">
        <v>1154</v>
      </c>
      <c r="J1155" t="s">
        <v>2601</v>
      </c>
    </row>
    <row r="1156" spans="8:10" x14ac:dyDescent="0.35">
      <c r="H1156" t="s">
        <v>468</v>
      </c>
      <c r="I1156">
        <v>1155</v>
      </c>
      <c r="J1156" t="s">
        <v>2602</v>
      </c>
    </row>
    <row r="1157" spans="8:10" x14ac:dyDescent="0.35">
      <c r="H1157" t="s">
        <v>445</v>
      </c>
      <c r="I1157">
        <v>1156</v>
      </c>
      <c r="J1157" t="s">
        <v>2603</v>
      </c>
    </row>
    <row r="1158" spans="8:10" x14ac:dyDescent="0.35">
      <c r="H1158" t="s">
        <v>1198</v>
      </c>
      <c r="I1158">
        <v>1157</v>
      </c>
      <c r="J1158" t="s">
        <v>2604</v>
      </c>
    </row>
    <row r="1159" spans="8:10" x14ac:dyDescent="0.35">
      <c r="H1159" t="s">
        <v>1199</v>
      </c>
      <c r="I1159">
        <v>1158</v>
      </c>
      <c r="J1159" t="s">
        <v>2605</v>
      </c>
    </row>
    <row r="1160" spans="8:10" x14ac:dyDescent="0.35">
      <c r="H1160" t="s">
        <v>1200</v>
      </c>
      <c r="I1160">
        <v>1159</v>
      </c>
      <c r="J1160" t="s">
        <v>2606</v>
      </c>
    </row>
    <row r="1161" spans="8:10" x14ac:dyDescent="0.35">
      <c r="H1161" t="s">
        <v>1201</v>
      </c>
      <c r="I1161">
        <v>1160</v>
      </c>
      <c r="J1161" t="s">
        <v>2607</v>
      </c>
    </row>
    <row r="1162" spans="8:10" x14ac:dyDescent="0.35">
      <c r="H1162" t="s">
        <v>446</v>
      </c>
      <c r="I1162">
        <v>1161</v>
      </c>
      <c r="J1162" t="s">
        <v>2608</v>
      </c>
    </row>
    <row r="1163" spans="8:10" x14ac:dyDescent="0.35">
      <c r="H1163" t="s">
        <v>474</v>
      </c>
      <c r="I1163">
        <v>1162</v>
      </c>
      <c r="J1163" t="s">
        <v>2609</v>
      </c>
    </row>
    <row r="1164" spans="8:10" x14ac:dyDescent="0.35">
      <c r="H1164" t="s">
        <v>1202</v>
      </c>
      <c r="I1164">
        <v>1163</v>
      </c>
      <c r="J1164" t="s">
        <v>2610</v>
      </c>
    </row>
    <row r="1165" spans="8:10" x14ac:dyDescent="0.35">
      <c r="H1165" t="s">
        <v>498</v>
      </c>
      <c r="I1165">
        <v>1164</v>
      </c>
      <c r="J1165" t="s">
        <v>2611</v>
      </c>
    </row>
    <row r="1166" spans="8:10" x14ac:dyDescent="0.35">
      <c r="H1166" t="s">
        <v>1203</v>
      </c>
      <c r="I1166">
        <v>1165</v>
      </c>
      <c r="J1166" t="s">
        <v>2612</v>
      </c>
    </row>
    <row r="1167" spans="8:10" x14ac:dyDescent="0.35">
      <c r="H1167" t="s">
        <v>506</v>
      </c>
      <c r="I1167">
        <v>1166</v>
      </c>
      <c r="J1167" t="s">
        <v>2613</v>
      </c>
    </row>
    <row r="1168" spans="8:10" x14ac:dyDescent="0.35">
      <c r="H1168" t="s">
        <v>1204</v>
      </c>
      <c r="I1168">
        <v>1167</v>
      </c>
      <c r="J1168" t="s">
        <v>2614</v>
      </c>
    </row>
    <row r="1169" spans="8:10" x14ac:dyDescent="0.35">
      <c r="H1169" t="s">
        <v>517</v>
      </c>
      <c r="I1169">
        <v>1168</v>
      </c>
      <c r="J1169" t="s">
        <v>2615</v>
      </c>
    </row>
    <row r="1170" spans="8:10" x14ac:dyDescent="0.35">
      <c r="H1170" t="s">
        <v>1205</v>
      </c>
      <c r="I1170">
        <v>1169</v>
      </c>
      <c r="J1170" t="s">
        <v>2616</v>
      </c>
    </row>
    <row r="1171" spans="8:10" x14ac:dyDescent="0.35">
      <c r="H1171" t="s">
        <v>582</v>
      </c>
      <c r="I1171">
        <v>1170</v>
      </c>
      <c r="J1171" t="s">
        <v>2617</v>
      </c>
    </row>
    <row r="1172" spans="8:10" x14ac:dyDescent="0.35">
      <c r="H1172" t="s">
        <v>586</v>
      </c>
      <c r="I1172">
        <v>1171</v>
      </c>
      <c r="J1172" t="s">
        <v>2618</v>
      </c>
    </row>
    <row r="1173" spans="8:10" x14ac:dyDescent="0.35">
      <c r="H1173" t="s">
        <v>1206</v>
      </c>
      <c r="I1173">
        <v>1172</v>
      </c>
      <c r="J1173" t="s">
        <v>2619</v>
      </c>
    </row>
    <row r="1174" spans="8:10" x14ac:dyDescent="0.35">
      <c r="H1174" t="s">
        <v>1207</v>
      </c>
      <c r="I1174">
        <v>1173</v>
      </c>
      <c r="J1174" t="s">
        <v>2620</v>
      </c>
    </row>
    <row r="1175" spans="8:10" x14ac:dyDescent="0.35">
      <c r="H1175" t="s">
        <v>1208</v>
      </c>
      <c r="I1175">
        <v>1174</v>
      </c>
      <c r="J1175" t="s">
        <v>2621</v>
      </c>
    </row>
    <row r="1176" spans="8:10" x14ac:dyDescent="0.35">
      <c r="H1176" t="s">
        <v>1209</v>
      </c>
      <c r="I1176">
        <v>1175</v>
      </c>
      <c r="J1176" t="s">
        <v>2622</v>
      </c>
    </row>
    <row r="1177" spans="8:10" x14ac:dyDescent="0.35">
      <c r="H1177" t="s">
        <v>1210</v>
      </c>
      <c r="I1177">
        <v>1176</v>
      </c>
      <c r="J1177" t="s">
        <v>2623</v>
      </c>
    </row>
    <row r="1178" spans="8:10" x14ac:dyDescent="0.35">
      <c r="H1178" t="s">
        <v>1211</v>
      </c>
      <c r="I1178">
        <v>1177</v>
      </c>
      <c r="J1178" t="s">
        <v>2624</v>
      </c>
    </row>
    <row r="1179" spans="8:10" x14ac:dyDescent="0.35">
      <c r="H1179" t="s">
        <v>583</v>
      </c>
      <c r="I1179">
        <v>1178</v>
      </c>
      <c r="J1179" t="s">
        <v>2625</v>
      </c>
    </row>
    <row r="1180" spans="8:10" x14ac:dyDescent="0.35">
      <c r="H1180" t="s">
        <v>584</v>
      </c>
      <c r="I1180">
        <v>1179</v>
      </c>
      <c r="J1180" t="s">
        <v>2626</v>
      </c>
    </row>
    <row r="1181" spans="8:10" x14ac:dyDescent="0.35">
      <c r="H1181" t="s">
        <v>1212</v>
      </c>
      <c r="I1181">
        <v>1180</v>
      </c>
      <c r="J1181" t="s">
        <v>2627</v>
      </c>
    </row>
    <row r="1182" spans="8:10" x14ac:dyDescent="0.35">
      <c r="H1182" t="s">
        <v>1263</v>
      </c>
      <c r="I1182">
        <v>1181</v>
      </c>
      <c r="J1182" t="s">
        <v>2628</v>
      </c>
    </row>
    <row r="1183" spans="8:10" x14ac:dyDescent="0.35">
      <c r="H1183" t="s">
        <v>597</v>
      </c>
      <c r="I1183">
        <v>1182</v>
      </c>
      <c r="J1183" t="s">
        <v>2629</v>
      </c>
    </row>
    <row r="1184" spans="8:10" x14ac:dyDescent="0.35">
      <c r="H1184" t="s">
        <v>1213</v>
      </c>
      <c r="I1184">
        <v>1183</v>
      </c>
      <c r="J1184" t="s">
        <v>2630</v>
      </c>
    </row>
    <row r="1185" spans="8:10" x14ac:dyDescent="0.35">
      <c r="H1185" t="s">
        <v>606</v>
      </c>
      <c r="I1185">
        <v>1184</v>
      </c>
      <c r="J1185" t="s">
        <v>2631</v>
      </c>
    </row>
    <row r="1186" spans="8:10" x14ac:dyDescent="0.35">
      <c r="H1186" t="s">
        <v>1214</v>
      </c>
      <c r="I1186">
        <v>1185</v>
      </c>
      <c r="J1186" t="s">
        <v>2632</v>
      </c>
    </row>
    <row r="1187" spans="8:10" x14ac:dyDescent="0.35">
      <c r="H1187" t="s">
        <v>1215</v>
      </c>
      <c r="I1187">
        <v>1186</v>
      </c>
      <c r="J1187" t="s">
        <v>2633</v>
      </c>
    </row>
    <row r="1188" spans="8:10" x14ac:dyDescent="0.35">
      <c r="H1188" t="s">
        <v>1216</v>
      </c>
      <c r="I1188">
        <v>1187</v>
      </c>
      <c r="J1188" t="s">
        <v>2634</v>
      </c>
    </row>
    <row r="1189" spans="8:10" x14ac:dyDescent="0.35">
      <c r="H1189" t="s">
        <v>1217</v>
      </c>
      <c r="I1189">
        <v>1188</v>
      </c>
      <c r="J1189" t="s">
        <v>2635</v>
      </c>
    </row>
    <row r="1190" spans="8:10" x14ac:dyDescent="0.35">
      <c r="H1190" t="s">
        <v>1218</v>
      </c>
      <c r="I1190">
        <v>1189</v>
      </c>
      <c r="J1190" t="s">
        <v>2636</v>
      </c>
    </row>
    <row r="1191" spans="8:10" x14ac:dyDescent="0.35">
      <c r="H1191" t="s">
        <v>628</v>
      </c>
      <c r="I1191">
        <v>1190</v>
      </c>
      <c r="J1191" t="s">
        <v>2637</v>
      </c>
    </row>
    <row r="1192" spans="8:10" x14ac:dyDescent="0.35">
      <c r="H1192" t="s">
        <v>1219</v>
      </c>
      <c r="I1192">
        <v>1191</v>
      </c>
      <c r="J1192" t="s">
        <v>2638</v>
      </c>
    </row>
    <row r="1193" spans="8:10" x14ac:dyDescent="0.35">
      <c r="H1193" t="s">
        <v>629</v>
      </c>
      <c r="I1193">
        <v>1192</v>
      </c>
      <c r="J1193" t="s">
        <v>2639</v>
      </c>
    </row>
    <row r="1194" spans="8:10" x14ac:dyDescent="0.35">
      <c r="H1194" t="s">
        <v>1220</v>
      </c>
      <c r="I1194">
        <v>1193</v>
      </c>
      <c r="J1194" t="s">
        <v>2640</v>
      </c>
    </row>
    <row r="1195" spans="8:10" x14ac:dyDescent="0.35">
      <c r="H1195" t="s">
        <v>1221</v>
      </c>
      <c r="I1195">
        <v>1194</v>
      </c>
      <c r="J1195" t="s">
        <v>2641</v>
      </c>
    </row>
    <row r="1196" spans="8:10" x14ac:dyDescent="0.35">
      <c r="H1196" t="s">
        <v>678</v>
      </c>
      <c r="I1196">
        <v>1195</v>
      </c>
      <c r="J1196" t="s">
        <v>2642</v>
      </c>
    </row>
    <row r="1197" spans="8:10" x14ac:dyDescent="0.35">
      <c r="H1197" t="s">
        <v>647</v>
      </c>
      <c r="I1197">
        <v>1196</v>
      </c>
      <c r="J1197" t="s">
        <v>2643</v>
      </c>
    </row>
    <row r="1198" spans="8:10" x14ac:dyDescent="0.35">
      <c r="H1198" t="s">
        <v>1222</v>
      </c>
      <c r="I1198">
        <v>1197</v>
      </c>
      <c r="J1198" t="s">
        <v>2644</v>
      </c>
    </row>
    <row r="1199" spans="8:10" x14ac:dyDescent="0.35">
      <c r="H1199" t="s">
        <v>1223</v>
      </c>
      <c r="I1199">
        <v>1198</v>
      </c>
      <c r="J1199" t="s">
        <v>2645</v>
      </c>
    </row>
    <row r="1200" spans="8:10" x14ac:dyDescent="0.35">
      <c r="H1200" t="s">
        <v>1224</v>
      </c>
      <c r="I1200">
        <v>1199</v>
      </c>
      <c r="J1200" t="s">
        <v>2646</v>
      </c>
    </row>
    <row r="1201" spans="8:10" x14ac:dyDescent="0.35">
      <c r="H1201" t="s">
        <v>1225</v>
      </c>
      <c r="I1201">
        <v>1200</v>
      </c>
      <c r="J1201" t="s">
        <v>2647</v>
      </c>
    </row>
    <row r="1202" spans="8:10" x14ac:dyDescent="0.35">
      <c r="H1202" t="s">
        <v>648</v>
      </c>
      <c r="I1202">
        <v>1201</v>
      </c>
      <c r="J1202" t="s">
        <v>2648</v>
      </c>
    </row>
    <row r="1203" spans="8:10" x14ac:dyDescent="0.35">
      <c r="H1203" t="s">
        <v>1273</v>
      </c>
      <c r="I1203">
        <v>1202</v>
      </c>
      <c r="J1203" t="s">
        <v>2649</v>
      </c>
    </row>
    <row r="1204" spans="8:10" x14ac:dyDescent="0.35">
      <c r="H1204" t="s">
        <v>1226</v>
      </c>
      <c r="I1204">
        <v>1203</v>
      </c>
      <c r="J1204" t="s">
        <v>2650</v>
      </c>
    </row>
    <row r="1205" spans="8:10" x14ac:dyDescent="0.35">
      <c r="H1205" t="s">
        <v>650</v>
      </c>
      <c r="I1205">
        <v>1204</v>
      </c>
      <c r="J1205" t="s">
        <v>2651</v>
      </c>
    </row>
    <row r="1206" spans="8:10" x14ac:dyDescent="0.35">
      <c r="H1206" t="s">
        <v>1227</v>
      </c>
      <c r="I1206">
        <v>1205</v>
      </c>
      <c r="J1206" t="s">
        <v>2652</v>
      </c>
    </row>
    <row r="1207" spans="8:10" x14ac:dyDescent="0.35">
      <c r="H1207" t="s">
        <v>1228</v>
      </c>
      <c r="I1207">
        <v>1206</v>
      </c>
      <c r="J1207" t="s">
        <v>2653</v>
      </c>
    </row>
    <row r="1208" spans="8:10" x14ac:dyDescent="0.35">
      <c r="H1208" t="s">
        <v>651</v>
      </c>
      <c r="I1208">
        <v>1207</v>
      </c>
      <c r="J1208" t="s">
        <v>2654</v>
      </c>
    </row>
    <row r="1209" spans="8:10" x14ac:dyDescent="0.35">
      <c r="H1209" t="s">
        <v>649</v>
      </c>
      <c r="I1209">
        <v>1208</v>
      </c>
      <c r="J1209" t="s">
        <v>2655</v>
      </c>
    </row>
    <row r="1210" spans="8:10" x14ac:dyDescent="0.35">
      <c r="H1210" t="s">
        <v>652</v>
      </c>
      <c r="I1210">
        <v>1209</v>
      </c>
      <c r="J1210" t="s">
        <v>2656</v>
      </c>
    </row>
    <row r="1211" spans="8:10" x14ac:dyDescent="0.35">
      <c r="H1211" t="s">
        <v>1229</v>
      </c>
      <c r="I1211">
        <v>1210</v>
      </c>
      <c r="J1211" t="s">
        <v>2657</v>
      </c>
    </row>
    <row r="1212" spans="8:10" x14ac:dyDescent="0.35">
      <c r="H1212" t="s">
        <v>653</v>
      </c>
      <c r="I1212">
        <v>1211</v>
      </c>
      <c r="J1212" t="s">
        <v>2658</v>
      </c>
    </row>
    <row r="1213" spans="8:10" x14ac:dyDescent="0.35">
      <c r="H1213" t="s">
        <v>1230</v>
      </c>
      <c r="I1213">
        <v>1212</v>
      </c>
      <c r="J1213" t="s">
        <v>2659</v>
      </c>
    </row>
    <row r="1214" spans="8:10" x14ac:dyDescent="0.35">
      <c r="H1214" t="s">
        <v>1231</v>
      </c>
      <c r="I1214">
        <v>1213</v>
      </c>
      <c r="J1214" t="s">
        <v>2660</v>
      </c>
    </row>
    <row r="1215" spans="8:10" x14ac:dyDescent="0.35">
      <c r="H1215" t="s">
        <v>1232</v>
      </c>
      <c r="I1215">
        <v>1214</v>
      </c>
      <c r="J1215" t="s">
        <v>2661</v>
      </c>
    </row>
    <row r="1216" spans="8:10" x14ac:dyDescent="0.35">
      <c r="H1216" t="s">
        <v>1233</v>
      </c>
      <c r="I1216">
        <v>1215</v>
      </c>
      <c r="J1216" t="s">
        <v>2662</v>
      </c>
    </row>
    <row r="1217" spans="8:10" x14ac:dyDescent="0.35">
      <c r="H1217" t="s">
        <v>654</v>
      </c>
      <c r="I1217">
        <v>1216</v>
      </c>
      <c r="J1217" t="s">
        <v>2663</v>
      </c>
    </row>
    <row r="1218" spans="8:10" x14ac:dyDescent="0.35">
      <c r="H1218" t="s">
        <v>1234</v>
      </c>
      <c r="I1218">
        <v>1217</v>
      </c>
      <c r="J1218" t="s">
        <v>2664</v>
      </c>
    </row>
    <row r="1219" spans="8:10" x14ac:dyDescent="0.35">
      <c r="H1219" t="s">
        <v>1235</v>
      </c>
      <c r="I1219">
        <v>1218</v>
      </c>
      <c r="J1219" t="s">
        <v>2665</v>
      </c>
    </row>
    <row r="1220" spans="8:10" x14ac:dyDescent="0.35">
      <c r="H1220" t="s">
        <v>658</v>
      </c>
      <c r="I1220">
        <v>1219</v>
      </c>
      <c r="J1220" t="s">
        <v>2666</v>
      </c>
    </row>
    <row r="1221" spans="8:10" x14ac:dyDescent="0.35">
      <c r="H1221" t="s">
        <v>1236</v>
      </c>
      <c r="I1221">
        <v>1220</v>
      </c>
      <c r="J1221" t="s">
        <v>2667</v>
      </c>
    </row>
    <row r="1222" spans="8:10" x14ac:dyDescent="0.35">
      <c r="H1222" t="s">
        <v>1237</v>
      </c>
      <c r="I1222">
        <v>1221</v>
      </c>
      <c r="J1222" t="s">
        <v>2668</v>
      </c>
    </row>
    <row r="1223" spans="8:10" x14ac:dyDescent="0.35">
      <c r="H1223" t="s">
        <v>1238</v>
      </c>
      <c r="I1223">
        <v>1222</v>
      </c>
      <c r="J1223" t="s">
        <v>2669</v>
      </c>
    </row>
    <row r="1224" spans="8:10" x14ac:dyDescent="0.35">
      <c r="H1224" t="s">
        <v>1239</v>
      </c>
      <c r="I1224">
        <v>1223</v>
      </c>
      <c r="J1224" t="s">
        <v>2670</v>
      </c>
    </row>
    <row r="1225" spans="8:10" x14ac:dyDescent="0.35">
      <c r="H1225" t="s">
        <v>1240</v>
      </c>
      <c r="I1225">
        <v>1224</v>
      </c>
      <c r="J1225" t="s">
        <v>2671</v>
      </c>
    </row>
    <row r="1226" spans="8:10" x14ac:dyDescent="0.35">
      <c r="H1226" t="s">
        <v>1241</v>
      </c>
      <c r="I1226">
        <v>1225</v>
      </c>
      <c r="J1226" t="s">
        <v>2672</v>
      </c>
    </row>
    <row r="1227" spans="8:10" x14ac:dyDescent="0.35">
      <c r="H1227" t="s">
        <v>1242</v>
      </c>
      <c r="I1227">
        <v>1226</v>
      </c>
      <c r="J1227" t="s">
        <v>2673</v>
      </c>
    </row>
    <row r="1228" spans="8:10" x14ac:dyDescent="0.35">
      <c r="H1228" t="s">
        <v>1243</v>
      </c>
      <c r="I1228">
        <v>1227</v>
      </c>
      <c r="J1228" t="s">
        <v>2674</v>
      </c>
    </row>
    <row r="1229" spans="8:10" x14ac:dyDescent="0.35">
      <c r="H1229" t="s">
        <v>1245</v>
      </c>
      <c r="I1229">
        <v>1228</v>
      </c>
      <c r="J1229" t="s">
        <v>2675</v>
      </c>
    </row>
    <row r="1230" spans="8:10" x14ac:dyDescent="0.35">
      <c r="H1230" t="s">
        <v>1246</v>
      </c>
      <c r="I1230">
        <v>1229</v>
      </c>
      <c r="J1230" t="s">
        <v>2676</v>
      </c>
    </row>
    <row r="1231" spans="8:10" x14ac:dyDescent="0.35">
      <c r="H1231" t="s">
        <v>1247</v>
      </c>
      <c r="I1231">
        <v>1230</v>
      </c>
      <c r="J1231" t="s">
        <v>2677</v>
      </c>
    </row>
    <row r="1232" spans="8:10" x14ac:dyDescent="0.35">
      <c r="H1232" t="s">
        <v>670</v>
      </c>
      <c r="I1232">
        <v>1231</v>
      </c>
      <c r="J1232" t="s">
        <v>2678</v>
      </c>
    </row>
    <row r="1233" spans="8:10" x14ac:dyDescent="0.35">
      <c r="H1233" t="s">
        <v>1248</v>
      </c>
      <c r="I1233">
        <v>1232</v>
      </c>
      <c r="J1233" t="s">
        <v>2679</v>
      </c>
    </row>
    <row r="1234" spans="8:10" x14ac:dyDescent="0.35">
      <c r="H1234" t="s">
        <v>1249</v>
      </c>
      <c r="I1234">
        <v>1233</v>
      </c>
      <c r="J1234" t="s">
        <v>2680</v>
      </c>
    </row>
    <row r="1235" spans="8:10" x14ac:dyDescent="0.35">
      <c r="H1235" t="s">
        <v>1250</v>
      </c>
      <c r="I1235">
        <v>1234</v>
      </c>
      <c r="J1235" t="s">
        <v>2681</v>
      </c>
    </row>
    <row r="1236" spans="8:10" x14ac:dyDescent="0.35">
      <c r="H1236" t="s">
        <v>669</v>
      </c>
      <c r="I1236">
        <v>1235</v>
      </c>
      <c r="J1236" t="s">
        <v>2682</v>
      </c>
    </row>
    <row r="1237" spans="8:10" x14ac:dyDescent="0.35">
      <c r="H1237" t="s">
        <v>1251</v>
      </c>
      <c r="I1237">
        <v>1236</v>
      </c>
      <c r="J1237" t="s">
        <v>2683</v>
      </c>
    </row>
    <row r="1238" spans="8:10" x14ac:dyDescent="0.35">
      <c r="H1238" t="s">
        <v>1252</v>
      </c>
      <c r="I1238">
        <v>1237</v>
      </c>
      <c r="J1238" t="s">
        <v>2684</v>
      </c>
    </row>
    <row r="1239" spans="8:10" x14ac:dyDescent="0.35">
      <c r="H1239" t="s">
        <v>1253</v>
      </c>
      <c r="I1239">
        <v>1238</v>
      </c>
      <c r="J1239" t="s">
        <v>2685</v>
      </c>
    </row>
    <row r="1240" spans="8:10" x14ac:dyDescent="0.35">
      <c r="H1240" t="s">
        <v>1254</v>
      </c>
      <c r="I1240">
        <v>1239</v>
      </c>
      <c r="J1240" t="s">
        <v>2686</v>
      </c>
    </row>
    <row r="1241" spans="8:10" x14ac:dyDescent="0.35">
      <c r="H1241" t="s">
        <v>1255</v>
      </c>
      <c r="I1241">
        <v>1240</v>
      </c>
      <c r="J1241" t="s">
        <v>2687</v>
      </c>
    </row>
    <row r="1242" spans="8:10" x14ac:dyDescent="0.35">
      <c r="H1242" t="s">
        <v>1256</v>
      </c>
      <c r="I1242">
        <v>1241</v>
      </c>
      <c r="J1242" t="s">
        <v>2688</v>
      </c>
    </row>
    <row r="1243" spans="8:10" x14ac:dyDescent="0.35">
      <c r="H1243" t="s">
        <v>1290</v>
      </c>
      <c r="I1243">
        <v>1242</v>
      </c>
      <c r="J1243" t="s">
        <v>2689</v>
      </c>
    </row>
    <row r="1244" spans="8:10" x14ac:dyDescent="0.35">
      <c r="H1244" t="s">
        <v>1291</v>
      </c>
      <c r="I1244">
        <v>1243</v>
      </c>
      <c r="J1244" t="s">
        <v>2690</v>
      </c>
    </row>
    <row r="1245" spans="8:10" x14ac:dyDescent="0.35">
      <c r="H1245" t="s">
        <v>1332</v>
      </c>
      <c r="I1245">
        <v>1244</v>
      </c>
      <c r="J1245" t="s">
        <v>2691</v>
      </c>
    </row>
    <row r="1246" spans="8:10" x14ac:dyDescent="0.35">
      <c r="H1246" t="s">
        <v>1345</v>
      </c>
      <c r="I1246">
        <v>1245</v>
      </c>
      <c r="J1246" t="s">
        <v>2692</v>
      </c>
    </row>
    <row r="1247" spans="8:10" x14ac:dyDescent="0.35">
      <c r="H1247" t="s">
        <v>1346</v>
      </c>
      <c r="I1247">
        <v>1246</v>
      </c>
      <c r="J1247" t="s">
        <v>2693</v>
      </c>
    </row>
    <row r="1248" spans="8:10" x14ac:dyDescent="0.35">
      <c r="H1248" t="s">
        <v>1347</v>
      </c>
      <c r="I1248">
        <v>1247</v>
      </c>
      <c r="J1248" t="s">
        <v>2694</v>
      </c>
    </row>
    <row r="1249" spans="8:10" x14ac:dyDescent="0.35">
      <c r="H1249" t="s">
        <v>1369</v>
      </c>
      <c r="I1249">
        <v>1248</v>
      </c>
      <c r="J1249" t="s">
        <v>2695</v>
      </c>
    </row>
    <row r="1250" spans="8:10" x14ac:dyDescent="0.35">
      <c r="H1250" t="s">
        <v>1384</v>
      </c>
      <c r="I1250">
        <v>1249</v>
      </c>
      <c r="J1250" t="s">
        <v>2696</v>
      </c>
    </row>
  </sheetData>
  <autoFilter ref="H1:H1250" xr:uid="{ADBE73F1-0FAF-4359-8F25-D6C6AEF9F14D}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4D384-DACA-499C-A3B1-A955BC82DF69}">
  <sheetPr codeName="Planilha6"/>
  <dimension ref="A1:I45"/>
  <sheetViews>
    <sheetView showGridLines="0" zoomScaleNormal="100" workbookViewId="0">
      <pane ySplit="1" topLeftCell="A2" activePane="bottomLeft" state="frozen"/>
      <selection pane="bottomLeft"/>
    </sheetView>
  </sheetViews>
  <sheetFormatPr defaultColWidth="13.26953125" defaultRowHeight="14.5" x14ac:dyDescent="0.35"/>
  <cols>
    <col min="1" max="1" width="13.1796875" bestFit="1" customWidth="1"/>
    <col min="2" max="2" width="29.26953125" bestFit="1" customWidth="1"/>
    <col min="3" max="4" width="28.453125" bestFit="1" customWidth="1"/>
  </cols>
  <sheetData>
    <row r="1" spans="1:9" s="44" customFormat="1" x14ac:dyDescent="0.35">
      <c r="A1">
        <v>1</v>
      </c>
      <c r="B1" t="s">
        <v>1400</v>
      </c>
      <c r="C1" s="71" t="s">
        <v>2715</v>
      </c>
      <c r="D1" s="71"/>
    </row>
    <row r="2" spans="1:9" s="44" customFormat="1" x14ac:dyDescent="0.35">
      <c r="A2">
        <v>3</v>
      </c>
      <c r="B2" t="s">
        <v>1402</v>
      </c>
      <c r="C2" s="71" t="s">
        <v>2715</v>
      </c>
      <c r="D2" s="71"/>
      <c r="H2"/>
    </row>
    <row r="3" spans="1:9" s="44" customFormat="1" x14ac:dyDescent="0.35">
      <c r="A3">
        <v>4</v>
      </c>
      <c r="B3" t="s">
        <v>1403</v>
      </c>
      <c r="C3" s="71" t="s">
        <v>2715</v>
      </c>
      <c r="D3" s="71"/>
      <c r="H3"/>
      <c r="I3" s="44" t="s">
        <v>1394</v>
      </c>
    </row>
    <row r="4" spans="1:9" s="44" customFormat="1" x14ac:dyDescent="0.35">
      <c r="A4">
        <v>5</v>
      </c>
      <c r="B4" t="s">
        <v>1404</v>
      </c>
      <c r="C4" s="71" t="s">
        <v>2715</v>
      </c>
      <c r="D4" s="71"/>
      <c r="H4"/>
      <c r="I4" s="64" t="s">
        <v>1395</v>
      </c>
    </row>
    <row r="5" spans="1:9" s="44" customFormat="1" x14ac:dyDescent="0.35">
      <c r="A5">
        <v>6</v>
      </c>
      <c r="B5" t="s">
        <v>1405</v>
      </c>
      <c r="C5" s="71" t="s">
        <v>2715</v>
      </c>
      <c r="D5" s="71"/>
      <c r="H5"/>
    </row>
    <row r="6" spans="1:9" s="44" customFormat="1" x14ac:dyDescent="0.35">
      <c r="A6">
        <v>7</v>
      </c>
      <c r="B6" t="s">
        <v>1406</v>
      </c>
      <c r="C6" s="71" t="s">
        <v>2715</v>
      </c>
      <c r="D6" s="71"/>
      <c r="H6"/>
    </row>
    <row r="7" spans="1:9" s="44" customFormat="1" x14ac:dyDescent="0.35">
      <c r="A7">
        <v>8</v>
      </c>
      <c r="B7" t="s">
        <v>1407</v>
      </c>
      <c r="C7" s="71" t="s">
        <v>2715</v>
      </c>
      <c r="D7" s="71"/>
      <c r="H7"/>
    </row>
    <row r="8" spans="1:9" s="44" customFormat="1" x14ac:dyDescent="0.35">
      <c r="A8">
        <v>9</v>
      </c>
      <c r="B8" t="s">
        <v>1408</v>
      </c>
      <c r="C8" s="71" t="s">
        <v>2715</v>
      </c>
      <c r="D8" s="71"/>
      <c r="H8"/>
    </row>
    <row r="9" spans="1:9" s="44" customFormat="1" x14ac:dyDescent="0.35">
      <c r="A9">
        <v>10</v>
      </c>
      <c r="B9" t="s">
        <v>1409</v>
      </c>
      <c r="C9" s="71" t="s">
        <v>2715</v>
      </c>
      <c r="D9" s="71"/>
      <c r="H9"/>
    </row>
    <row r="10" spans="1:9" s="44" customFormat="1" x14ac:dyDescent="0.35">
      <c r="A10">
        <v>11</v>
      </c>
      <c r="B10" t="s">
        <v>1410</v>
      </c>
      <c r="C10" s="71" t="s">
        <v>2715</v>
      </c>
      <c r="D10" s="71"/>
      <c r="H10"/>
    </row>
    <row r="11" spans="1:9" s="44" customFormat="1" x14ac:dyDescent="0.35">
      <c r="A11">
        <v>12</v>
      </c>
      <c r="B11" t="s">
        <v>1411</v>
      </c>
      <c r="C11" s="71" t="s">
        <v>2715</v>
      </c>
      <c r="D11" s="71"/>
      <c r="H11"/>
    </row>
    <row r="12" spans="1:9" s="44" customFormat="1" x14ac:dyDescent="0.35">
      <c r="A12">
        <v>13</v>
      </c>
      <c r="B12" t="s">
        <v>1412</v>
      </c>
      <c r="C12" s="71" t="s">
        <v>2715</v>
      </c>
      <c r="D12" s="71"/>
      <c r="H12"/>
    </row>
    <row r="13" spans="1:9" s="44" customFormat="1" x14ac:dyDescent="0.35">
      <c r="A13">
        <v>14</v>
      </c>
      <c r="B13" t="s">
        <v>1413</v>
      </c>
      <c r="C13" s="71" t="s">
        <v>2715</v>
      </c>
      <c r="D13" s="71"/>
      <c r="H13"/>
    </row>
    <row r="14" spans="1:9" s="44" customFormat="1" x14ac:dyDescent="0.35">
      <c r="A14">
        <v>15</v>
      </c>
      <c r="B14" t="s">
        <v>1414</v>
      </c>
      <c r="C14" s="71" t="s">
        <v>2715</v>
      </c>
      <c r="D14" s="71"/>
      <c r="H14"/>
    </row>
    <row r="15" spans="1:9" s="44" customFormat="1" x14ac:dyDescent="0.35">
      <c r="A15">
        <v>16</v>
      </c>
      <c r="B15" t="s">
        <v>1415</v>
      </c>
      <c r="C15" s="71" t="s">
        <v>2715</v>
      </c>
      <c r="D15" s="71"/>
      <c r="H15"/>
    </row>
    <row r="16" spans="1:9" s="44" customFormat="1" x14ac:dyDescent="0.35">
      <c r="A16">
        <v>17</v>
      </c>
      <c r="B16" t="s">
        <v>1416</v>
      </c>
      <c r="C16" s="71" t="s">
        <v>2715</v>
      </c>
      <c r="D16" s="71"/>
      <c r="H16"/>
    </row>
    <row r="17" spans="1:8" s="44" customFormat="1" x14ac:dyDescent="0.35">
      <c r="A17">
        <v>18</v>
      </c>
      <c r="B17" t="s">
        <v>1417</v>
      </c>
      <c r="C17" s="71" t="s">
        <v>2715</v>
      </c>
      <c r="D17" s="71"/>
      <c r="H17"/>
    </row>
    <row r="18" spans="1:8" s="44" customFormat="1" x14ac:dyDescent="0.35">
      <c r="A18">
        <v>19</v>
      </c>
      <c r="B18" t="s">
        <v>1418</v>
      </c>
      <c r="C18" s="71" t="s">
        <v>2715</v>
      </c>
      <c r="D18" s="71"/>
      <c r="H18"/>
    </row>
    <row r="19" spans="1:8" s="44" customFormat="1" x14ac:dyDescent="0.35">
      <c r="A19">
        <v>20</v>
      </c>
      <c r="B19" t="s">
        <v>1419</v>
      </c>
      <c r="C19" s="71" t="s">
        <v>2715</v>
      </c>
      <c r="D19" s="71"/>
      <c r="H19"/>
    </row>
    <row r="20" spans="1:8" s="44" customFormat="1" x14ac:dyDescent="0.35">
      <c r="A20">
        <v>21</v>
      </c>
      <c r="B20" t="s">
        <v>1420</v>
      </c>
      <c r="C20" s="71" t="s">
        <v>2715</v>
      </c>
      <c r="D20" s="71"/>
      <c r="H20"/>
    </row>
    <row r="21" spans="1:8" s="44" customFormat="1" x14ac:dyDescent="0.35">
      <c r="A21">
        <v>22</v>
      </c>
      <c r="B21" t="s">
        <v>1421</v>
      </c>
      <c r="C21" s="71" t="s">
        <v>2715</v>
      </c>
      <c r="D21" s="71"/>
      <c r="H21"/>
    </row>
    <row r="22" spans="1:8" s="44" customFormat="1" x14ac:dyDescent="0.35">
      <c r="A22">
        <v>23</v>
      </c>
      <c r="B22" t="s">
        <v>1422</v>
      </c>
      <c r="C22" s="71" t="s">
        <v>2715</v>
      </c>
      <c r="D22" s="71"/>
      <c r="H22"/>
    </row>
    <row r="23" spans="1:8" s="44" customFormat="1" x14ac:dyDescent="0.35">
      <c r="A23">
        <v>24</v>
      </c>
      <c r="B23" t="s">
        <v>1423</v>
      </c>
      <c r="C23" s="71" t="s">
        <v>2715</v>
      </c>
      <c r="D23" s="71"/>
      <c r="H23"/>
    </row>
    <row r="24" spans="1:8" s="44" customFormat="1" x14ac:dyDescent="0.35">
      <c r="A24">
        <v>25</v>
      </c>
      <c r="B24" t="s">
        <v>1424</v>
      </c>
      <c r="C24" s="71" t="s">
        <v>2715</v>
      </c>
      <c r="D24" s="71"/>
      <c r="H24"/>
    </row>
    <row r="25" spans="1:8" s="44" customFormat="1" x14ac:dyDescent="0.35">
      <c r="A25">
        <v>26</v>
      </c>
      <c r="B25" t="s">
        <v>1425</v>
      </c>
      <c r="C25" s="71" t="s">
        <v>2715</v>
      </c>
      <c r="D25" s="71"/>
      <c r="H25"/>
    </row>
    <row r="26" spans="1:8" s="44" customFormat="1" x14ac:dyDescent="0.35">
      <c r="A26">
        <v>27</v>
      </c>
      <c r="B26" t="s">
        <v>1426</v>
      </c>
      <c r="C26" s="71" t="s">
        <v>2715</v>
      </c>
      <c r="D26" s="71"/>
      <c r="H26"/>
    </row>
    <row r="27" spans="1:8" s="44" customFormat="1" x14ac:dyDescent="0.35">
      <c r="A27">
        <v>28</v>
      </c>
      <c r="B27" t="s">
        <v>1427</v>
      </c>
      <c r="C27" s="71" t="s">
        <v>2715</v>
      </c>
      <c r="D27" s="71"/>
      <c r="H27"/>
    </row>
    <row r="28" spans="1:8" s="44" customFormat="1" x14ac:dyDescent="0.35">
      <c r="A28">
        <v>29</v>
      </c>
      <c r="B28" t="s">
        <v>1428</v>
      </c>
      <c r="C28" s="71" t="s">
        <v>2715</v>
      </c>
      <c r="D28" s="71"/>
      <c r="H28"/>
    </row>
    <row r="29" spans="1:8" s="44" customFormat="1" x14ac:dyDescent="0.35">
      <c r="A29">
        <v>30</v>
      </c>
      <c r="B29" t="s">
        <v>1429</v>
      </c>
      <c r="C29" s="71" t="s">
        <v>2715</v>
      </c>
      <c r="D29" s="71"/>
      <c r="H29"/>
    </row>
    <row r="30" spans="1:8" s="44" customFormat="1" x14ac:dyDescent="0.35">
      <c r="A30">
        <v>31</v>
      </c>
      <c r="B30" t="s">
        <v>1430</v>
      </c>
      <c r="C30" s="71" t="s">
        <v>2715</v>
      </c>
      <c r="D30" s="71"/>
      <c r="H30"/>
    </row>
    <row r="31" spans="1:8" s="44" customFormat="1" x14ac:dyDescent="0.35">
      <c r="A31">
        <v>32</v>
      </c>
      <c r="B31" t="s">
        <v>1431</v>
      </c>
      <c r="C31" s="71" t="s">
        <v>2715</v>
      </c>
      <c r="D31" s="71"/>
      <c r="H31"/>
    </row>
    <row r="32" spans="1:8" s="44" customFormat="1" x14ac:dyDescent="0.35">
      <c r="A32">
        <v>33</v>
      </c>
      <c r="B32" t="s">
        <v>1432</v>
      </c>
      <c r="C32" s="71" t="s">
        <v>2715</v>
      </c>
      <c r="D32" s="71"/>
      <c r="H32"/>
    </row>
    <row r="33" spans="1:8" s="44" customFormat="1" x14ac:dyDescent="0.35">
      <c r="A33">
        <v>34</v>
      </c>
      <c r="B33" t="s">
        <v>1433</v>
      </c>
      <c r="C33" s="71" t="s">
        <v>2715</v>
      </c>
      <c r="D33" s="71"/>
      <c r="H33"/>
    </row>
    <row r="34" spans="1:8" s="44" customFormat="1" x14ac:dyDescent="0.35">
      <c r="A34">
        <v>35</v>
      </c>
      <c r="B34" t="s">
        <v>1434</v>
      </c>
      <c r="C34" s="71" t="s">
        <v>2715</v>
      </c>
      <c r="D34" s="71"/>
      <c r="H34"/>
    </row>
    <row r="35" spans="1:8" s="44" customFormat="1" x14ac:dyDescent="0.35">
      <c r="A35">
        <v>36</v>
      </c>
      <c r="B35" t="s">
        <v>1435</v>
      </c>
      <c r="C35" s="71" t="s">
        <v>2715</v>
      </c>
      <c r="D35" s="71"/>
      <c r="H35"/>
    </row>
    <row r="36" spans="1:8" s="44" customFormat="1" x14ac:dyDescent="0.35">
      <c r="A36">
        <v>37</v>
      </c>
      <c r="B36" t="s">
        <v>1436</v>
      </c>
      <c r="C36" s="71" t="s">
        <v>2715</v>
      </c>
      <c r="D36" s="71"/>
      <c r="H36"/>
    </row>
    <row r="37" spans="1:8" s="44" customFormat="1" x14ac:dyDescent="0.35">
      <c r="A37">
        <v>38</v>
      </c>
      <c r="B37" t="s">
        <v>1437</v>
      </c>
      <c r="C37" s="71" t="s">
        <v>2715</v>
      </c>
      <c r="D37" s="71"/>
      <c r="H37"/>
    </row>
    <row r="38" spans="1:8" s="44" customFormat="1" x14ac:dyDescent="0.35">
      <c r="A38">
        <v>39</v>
      </c>
      <c r="B38" t="s">
        <v>1438</v>
      </c>
      <c r="C38" s="71" t="s">
        <v>2715</v>
      </c>
      <c r="D38" s="71"/>
      <c r="H38"/>
    </row>
    <row r="39" spans="1:8" s="44" customFormat="1" x14ac:dyDescent="0.35">
      <c r="A39">
        <v>40</v>
      </c>
      <c r="B39" t="s">
        <v>1439</v>
      </c>
      <c r="C39" s="71" t="s">
        <v>2715</v>
      </c>
      <c r="D39" s="71"/>
      <c r="H39"/>
    </row>
    <row r="40" spans="1:8" s="44" customFormat="1" x14ac:dyDescent="0.35">
      <c r="A40">
        <v>41</v>
      </c>
      <c r="B40" t="s">
        <v>1440</v>
      </c>
      <c r="C40" s="71" t="s">
        <v>2715</v>
      </c>
      <c r="D40" s="71"/>
      <c r="H40"/>
    </row>
    <row r="41" spans="1:8" s="44" customFormat="1" x14ac:dyDescent="0.35">
      <c r="A41">
        <v>42</v>
      </c>
      <c r="B41" t="s">
        <v>1441</v>
      </c>
      <c r="C41" s="71" t="s">
        <v>2715</v>
      </c>
      <c r="D41" s="71"/>
      <c r="H41"/>
    </row>
    <row r="42" spans="1:8" s="44" customFormat="1" x14ac:dyDescent="0.35">
      <c r="A42">
        <v>43</v>
      </c>
      <c r="B42" t="s">
        <v>1442</v>
      </c>
      <c r="C42" s="71" t="s">
        <v>2715</v>
      </c>
      <c r="D42" s="71"/>
      <c r="H42"/>
    </row>
    <row r="43" spans="1:8" s="44" customFormat="1" x14ac:dyDescent="0.35">
      <c r="A43">
        <v>44</v>
      </c>
      <c r="B43" t="s">
        <v>1443</v>
      </c>
      <c r="C43" s="71" t="s">
        <v>2715</v>
      </c>
      <c r="D43" s="71"/>
      <c r="H43"/>
    </row>
    <row r="44" spans="1:8" s="44" customFormat="1" x14ac:dyDescent="0.35">
      <c r="A44">
        <v>45</v>
      </c>
      <c r="B44" t="s">
        <v>1444</v>
      </c>
      <c r="C44" s="71" t="s">
        <v>2715</v>
      </c>
      <c r="D44" s="71"/>
      <c r="H44"/>
    </row>
    <row r="45" spans="1:8" s="44" customFormat="1" x14ac:dyDescent="0.35">
      <c r="A45">
        <v>46</v>
      </c>
      <c r="B45" t="s">
        <v>1445</v>
      </c>
      <c r="C45" s="71" t="s">
        <v>2715</v>
      </c>
      <c r="D45" s="71"/>
      <c r="H45"/>
    </row>
  </sheetData>
  <hyperlinks>
    <hyperlink ref="C1" r:id="rId1" display="danielosilva@hotmail.com.br" xr:uid="{DDC1C8BF-81A4-432A-BB12-CECC47FB791C}"/>
    <hyperlink ref="C2:C45" r:id="rId2" display="danielosilva@hotmail.com.br" xr:uid="{A398E578-AD66-48B3-BEEF-069A53FAAD15}"/>
  </hyperlinks>
  <pageMargins left="0.511811024" right="0.511811024" top="0.78740157499999996" bottom="0.78740157499999996" header="0.31496062000000002" footer="0.31496062000000002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Pict="0" macro="[0]!mensagemcomintervalornomeado">
                <anchor moveWithCells="1" sizeWithCells="1">
                  <from>
                    <xdr:col>5</xdr:col>
                    <xdr:colOff>488950</xdr:colOff>
                    <xdr:row>3</xdr:row>
                    <xdr:rowOff>31750</xdr:rowOff>
                  </from>
                  <to>
                    <xdr:col>7</xdr:col>
                    <xdr:colOff>254000</xdr:colOff>
                    <xdr:row>5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7663-B1E2-40D7-A1F8-312342354CF0}">
  <sheetPr codeName="Planilha7"/>
  <dimension ref="A1:U41"/>
  <sheetViews>
    <sheetView showGridLines="0" workbookViewId="0">
      <selection sqref="A1:U41"/>
    </sheetView>
  </sheetViews>
  <sheetFormatPr defaultRowHeight="14.5" x14ac:dyDescent="0.35"/>
  <cols>
    <col min="1" max="1" width="7.6328125" style="1" bestFit="1" customWidth="1"/>
    <col min="2" max="2" width="5.81640625" style="1" bestFit="1" customWidth="1"/>
    <col min="3" max="3" width="9.90625" style="1" bestFit="1" customWidth="1"/>
    <col min="4" max="4" width="9.453125" style="1" bestFit="1" customWidth="1"/>
    <col min="5" max="5" width="11.453125" style="1" bestFit="1" customWidth="1"/>
    <col min="6" max="6" width="8.54296875" style="1" bestFit="1" customWidth="1"/>
    <col min="7" max="7" width="11.81640625" style="1" bestFit="1" customWidth="1"/>
    <col min="8" max="8" width="9.90625" style="1" bestFit="1" customWidth="1"/>
    <col min="9" max="9" width="8.90625" style="1" bestFit="1" customWidth="1"/>
    <col min="10" max="11" width="6.6328125" style="1" bestFit="1" customWidth="1"/>
    <col min="12" max="12" width="7.453125" style="1" bestFit="1" customWidth="1"/>
    <col min="13" max="14" width="6.6328125" style="1" bestFit="1" customWidth="1"/>
    <col min="15" max="16" width="7.81640625" style="1" bestFit="1" customWidth="1"/>
    <col min="17" max="17" width="8.26953125" style="1" bestFit="1" customWidth="1"/>
    <col min="18" max="18" width="8" style="1" bestFit="1" customWidth="1"/>
    <col min="19" max="19" width="12.36328125" style="1" bestFit="1" customWidth="1"/>
    <col min="20" max="20" width="6.81640625" style="1" bestFit="1" customWidth="1"/>
    <col min="21" max="21" width="10.453125" style="1" bestFit="1" customWidth="1"/>
  </cols>
  <sheetData>
    <row r="1" spans="1:21" x14ac:dyDescent="0.35">
      <c r="A1" s="72" t="s">
        <v>1396</v>
      </c>
      <c r="B1" s="73"/>
      <c r="C1" s="73"/>
      <c r="D1" s="74"/>
      <c r="E1" s="42" t="s">
        <v>1392</v>
      </c>
      <c r="F1" s="43">
        <v>-0.80028889483602261</v>
      </c>
      <c r="G1" s="77">
        <v>44560</v>
      </c>
      <c r="I1" s="9" t="s">
        <v>0</v>
      </c>
      <c r="J1" s="8">
        <v>93002.786499999987</v>
      </c>
      <c r="K1" s="8">
        <v>141512.54149999999</v>
      </c>
      <c r="L1" s="8">
        <v>31186.894500000002</v>
      </c>
      <c r="M1" s="7">
        <v>49086.614000000001</v>
      </c>
      <c r="N1" s="7">
        <v>3977.0704999999998</v>
      </c>
      <c r="O1" s="8">
        <v>265702.22249999997</v>
      </c>
      <c r="P1" s="7">
        <v>53063.684500000003</v>
      </c>
      <c r="Q1" s="41">
        <v>269679.29299999995</v>
      </c>
      <c r="R1" s="6"/>
      <c r="S1" s="39"/>
      <c r="T1" s="6"/>
      <c r="U1" s="6"/>
    </row>
    <row r="2" spans="1:21" x14ac:dyDescent="0.35">
      <c r="A2" s="75"/>
      <c r="B2" s="75"/>
      <c r="C2" s="75"/>
      <c r="D2" s="76"/>
      <c r="E2" s="49" t="s">
        <v>1393</v>
      </c>
      <c r="F2" s="50">
        <v>0.19676588406066464</v>
      </c>
      <c r="G2" s="78"/>
      <c r="J2" s="4"/>
      <c r="K2" s="4"/>
      <c r="L2" s="4"/>
      <c r="M2" s="4"/>
      <c r="N2" s="4"/>
      <c r="O2" s="4"/>
      <c r="P2" s="4"/>
      <c r="Q2" s="4"/>
      <c r="R2" s="4"/>
      <c r="S2" s="38"/>
      <c r="T2" s="4"/>
      <c r="U2" s="5"/>
    </row>
    <row r="3" spans="1:21" x14ac:dyDescent="0.35">
      <c r="A3" s="51" t="s">
        <v>2701</v>
      </c>
      <c r="B3" s="52" t="s">
        <v>2697</v>
      </c>
      <c r="C3" s="52" t="s">
        <v>2705</v>
      </c>
      <c r="D3" s="52" t="s">
        <v>604</v>
      </c>
      <c r="E3" s="52" t="s">
        <v>607</v>
      </c>
      <c r="F3" s="52" t="s">
        <v>1348</v>
      </c>
      <c r="G3" s="52" t="s">
        <v>1446</v>
      </c>
      <c r="H3" s="52" t="s">
        <v>1</v>
      </c>
      <c r="I3" s="52" t="s">
        <v>659</v>
      </c>
      <c r="J3" s="53" t="s">
        <v>655</v>
      </c>
      <c r="K3" s="53" t="s">
        <v>656</v>
      </c>
      <c r="L3" s="53" t="s">
        <v>679</v>
      </c>
      <c r="M3" s="54" t="s">
        <v>672</v>
      </c>
      <c r="N3" s="54" t="s">
        <v>671</v>
      </c>
      <c r="O3" s="55" t="s">
        <v>603</v>
      </c>
      <c r="P3" s="56" t="s">
        <v>673</v>
      </c>
      <c r="Q3" s="57" t="s">
        <v>1389</v>
      </c>
      <c r="R3" s="58" t="s">
        <v>609</v>
      </c>
      <c r="S3" s="59" t="s">
        <v>1391</v>
      </c>
      <c r="T3" s="60" t="s">
        <v>1390</v>
      </c>
      <c r="U3" s="61" t="s">
        <v>608</v>
      </c>
    </row>
    <row r="4" spans="1:21" x14ac:dyDescent="0.35">
      <c r="A4" s="11" t="s">
        <v>2703</v>
      </c>
      <c r="B4" s="15" t="s">
        <v>2698</v>
      </c>
      <c r="C4" s="15">
        <v>3</v>
      </c>
      <c r="D4" s="14" t="s">
        <v>1450</v>
      </c>
      <c r="E4" s="14">
        <v>2</v>
      </c>
      <c r="F4" s="14" t="s">
        <v>1370</v>
      </c>
      <c r="G4" s="14">
        <v>3</v>
      </c>
      <c r="H4" s="15" t="s">
        <v>1402</v>
      </c>
      <c r="I4" s="15" t="s">
        <v>2706</v>
      </c>
      <c r="J4" s="69"/>
      <c r="K4" s="69"/>
      <c r="L4" s="69">
        <v>15655.059500000001</v>
      </c>
      <c r="M4" s="69"/>
      <c r="N4" s="69"/>
      <c r="O4" s="69">
        <v>15655.059500000001</v>
      </c>
      <c r="P4" s="69">
        <v>0</v>
      </c>
      <c r="Q4" s="69">
        <v>100000</v>
      </c>
      <c r="R4" s="69">
        <v>-15655.059500000001</v>
      </c>
      <c r="S4" s="70">
        <v>0</v>
      </c>
      <c r="T4" s="17">
        <v>-1</v>
      </c>
      <c r="U4" s="62" t="s">
        <v>612</v>
      </c>
    </row>
    <row r="5" spans="1:21" x14ac:dyDescent="0.35">
      <c r="A5" s="11" t="s">
        <v>2704</v>
      </c>
      <c r="B5" s="15" t="s">
        <v>2699</v>
      </c>
      <c r="C5" s="15">
        <v>55</v>
      </c>
      <c r="D5" s="14" t="s">
        <v>1502</v>
      </c>
      <c r="E5" s="14">
        <v>2</v>
      </c>
      <c r="F5" s="14" t="s">
        <v>1370</v>
      </c>
      <c r="G5" s="14">
        <v>3</v>
      </c>
      <c r="H5" s="15" t="s">
        <v>1402</v>
      </c>
      <c r="I5" s="15" t="s">
        <v>2706</v>
      </c>
      <c r="J5" s="69">
        <v>4331.8005000000003</v>
      </c>
      <c r="K5" s="69">
        <v>2881.3119999999999</v>
      </c>
      <c r="L5" s="69"/>
      <c r="M5" s="69"/>
      <c r="N5" s="69"/>
      <c r="O5" s="69">
        <v>7213.1125000000002</v>
      </c>
      <c r="P5" s="69">
        <v>0</v>
      </c>
      <c r="Q5" s="69">
        <v>100000</v>
      </c>
      <c r="R5" s="69">
        <v>-7213.1125000000002</v>
      </c>
      <c r="S5" s="70">
        <v>0</v>
      </c>
      <c r="T5" s="17">
        <v>-1</v>
      </c>
      <c r="U5" s="62" t="s">
        <v>612</v>
      </c>
    </row>
    <row r="6" spans="1:21" x14ac:dyDescent="0.35">
      <c r="A6" s="11" t="s">
        <v>2702</v>
      </c>
      <c r="B6" s="15" t="s">
        <v>2699</v>
      </c>
      <c r="C6" s="15">
        <v>76</v>
      </c>
      <c r="D6" s="14" t="s">
        <v>1523</v>
      </c>
      <c r="E6" s="14">
        <v>3</v>
      </c>
      <c r="F6" s="14" t="s">
        <v>1370</v>
      </c>
      <c r="G6" s="14">
        <v>3</v>
      </c>
      <c r="H6" s="15" t="s">
        <v>1402</v>
      </c>
      <c r="I6" s="15" t="s">
        <v>2706</v>
      </c>
      <c r="J6" s="69"/>
      <c r="K6" s="69">
        <v>2199.3069999999998</v>
      </c>
      <c r="L6" s="69"/>
      <c r="M6" s="69"/>
      <c r="N6" s="69"/>
      <c r="O6" s="69">
        <v>2199.3069999999998</v>
      </c>
      <c r="P6" s="69">
        <v>0</v>
      </c>
      <c r="Q6" s="69">
        <v>100000</v>
      </c>
      <c r="R6" s="69">
        <v>-2199.3069999999998</v>
      </c>
      <c r="S6" s="70">
        <v>0</v>
      </c>
      <c r="T6" s="17">
        <v>-1</v>
      </c>
      <c r="U6" s="62" t="s">
        <v>612</v>
      </c>
    </row>
    <row r="7" spans="1:21" x14ac:dyDescent="0.35">
      <c r="A7" s="11" t="s">
        <v>2702</v>
      </c>
      <c r="B7" s="15" t="s">
        <v>2700</v>
      </c>
      <c r="C7" s="15">
        <v>104</v>
      </c>
      <c r="D7" s="14" t="s">
        <v>1551</v>
      </c>
      <c r="E7" s="14">
        <v>3</v>
      </c>
      <c r="F7" s="14" t="s">
        <v>1370</v>
      </c>
      <c r="G7" s="14">
        <v>3</v>
      </c>
      <c r="H7" s="15" t="s">
        <v>1402</v>
      </c>
      <c r="I7" s="15" t="s">
        <v>2706</v>
      </c>
      <c r="J7" s="69">
        <v>3269.8619999999992</v>
      </c>
      <c r="K7" s="69">
        <v>4187.5809999999992</v>
      </c>
      <c r="L7" s="69"/>
      <c r="M7" s="69">
        <v>4091.7449999999999</v>
      </c>
      <c r="N7" s="69"/>
      <c r="O7" s="69">
        <v>7457.4429999999984</v>
      </c>
      <c r="P7" s="69">
        <v>4091.7449999999999</v>
      </c>
      <c r="Q7" s="69">
        <v>100000</v>
      </c>
      <c r="R7" s="69">
        <v>-3365.6979999999985</v>
      </c>
      <c r="S7" s="70">
        <v>4.0917450000000001E-2</v>
      </c>
      <c r="T7" s="17">
        <v>-0.45132064703679253</v>
      </c>
      <c r="U7" s="62" t="s">
        <v>613</v>
      </c>
    </row>
    <row r="8" spans="1:21" x14ac:dyDescent="0.35">
      <c r="A8" s="11" t="s">
        <v>2704</v>
      </c>
      <c r="B8" s="15" t="s">
        <v>2699</v>
      </c>
      <c r="C8" s="15">
        <v>150</v>
      </c>
      <c r="D8" s="14" t="s">
        <v>1597</v>
      </c>
      <c r="E8" s="14">
        <v>2</v>
      </c>
      <c r="F8" s="14" t="s">
        <v>1370</v>
      </c>
      <c r="G8" s="14">
        <v>3</v>
      </c>
      <c r="H8" s="15" t="s">
        <v>1402</v>
      </c>
      <c r="I8" s="15" t="s">
        <v>2706</v>
      </c>
      <c r="J8" s="69">
        <v>4552.4285000000009</v>
      </c>
      <c r="K8" s="69">
        <v>2089.2589999999996</v>
      </c>
      <c r="L8" s="69"/>
      <c r="M8" s="69"/>
      <c r="N8" s="69"/>
      <c r="O8" s="69">
        <v>6641.6875</v>
      </c>
      <c r="P8" s="69">
        <v>0</v>
      </c>
      <c r="Q8" s="69">
        <v>100000</v>
      </c>
      <c r="R8" s="69">
        <v>-6641.6875</v>
      </c>
      <c r="S8" s="70">
        <v>0</v>
      </c>
      <c r="T8" s="17">
        <v>-1</v>
      </c>
      <c r="U8" s="62" t="s">
        <v>612</v>
      </c>
    </row>
    <row r="9" spans="1:21" x14ac:dyDescent="0.35">
      <c r="A9" s="11" t="s">
        <v>2704</v>
      </c>
      <c r="B9" s="15" t="s">
        <v>2700</v>
      </c>
      <c r="C9" s="15">
        <v>153</v>
      </c>
      <c r="D9" s="14" t="s">
        <v>1600</v>
      </c>
      <c r="E9" s="14">
        <v>2</v>
      </c>
      <c r="F9" s="14" t="s">
        <v>1370</v>
      </c>
      <c r="G9" s="14">
        <v>3</v>
      </c>
      <c r="H9" s="15" t="s">
        <v>1402</v>
      </c>
      <c r="I9" s="15" t="s">
        <v>2706</v>
      </c>
      <c r="J9" s="69">
        <v>3433.357</v>
      </c>
      <c r="K9" s="69">
        <v>3637.6354999999999</v>
      </c>
      <c r="L9" s="69"/>
      <c r="M9" s="69"/>
      <c r="N9" s="69"/>
      <c r="O9" s="69">
        <v>7070.9925000000003</v>
      </c>
      <c r="P9" s="69">
        <v>0</v>
      </c>
      <c r="Q9" s="69">
        <v>100000</v>
      </c>
      <c r="R9" s="69">
        <v>-7070.9925000000003</v>
      </c>
      <c r="S9" s="70">
        <v>0</v>
      </c>
      <c r="T9" s="17">
        <v>-1</v>
      </c>
      <c r="U9" s="62" t="s">
        <v>612</v>
      </c>
    </row>
    <row r="10" spans="1:21" x14ac:dyDescent="0.35">
      <c r="A10" s="11" t="s">
        <v>2702</v>
      </c>
      <c r="B10" s="15" t="s">
        <v>2699</v>
      </c>
      <c r="C10" s="15">
        <v>244</v>
      </c>
      <c r="D10" s="14" t="s">
        <v>1691</v>
      </c>
      <c r="E10" s="14">
        <v>1</v>
      </c>
      <c r="F10" s="14" t="s">
        <v>1370</v>
      </c>
      <c r="G10" s="14">
        <v>3</v>
      </c>
      <c r="H10" s="15" t="s">
        <v>1402</v>
      </c>
      <c r="I10" s="15" t="s">
        <v>2706</v>
      </c>
      <c r="J10" s="69"/>
      <c r="K10" s="69">
        <v>4831.9469999999992</v>
      </c>
      <c r="L10" s="69"/>
      <c r="M10" s="69"/>
      <c r="N10" s="69"/>
      <c r="O10" s="69">
        <v>4831.9469999999992</v>
      </c>
      <c r="P10" s="69">
        <v>0</v>
      </c>
      <c r="Q10" s="69">
        <v>100000</v>
      </c>
      <c r="R10" s="69">
        <v>-4831.9469999999992</v>
      </c>
      <c r="S10" s="70">
        <v>0</v>
      </c>
      <c r="T10" s="17">
        <v>-1</v>
      </c>
      <c r="U10" s="62" t="s">
        <v>612</v>
      </c>
    </row>
    <row r="11" spans="1:21" x14ac:dyDescent="0.35">
      <c r="A11" s="11" t="s">
        <v>2702</v>
      </c>
      <c r="B11" s="15" t="s">
        <v>2698</v>
      </c>
      <c r="C11" s="15">
        <v>270</v>
      </c>
      <c r="D11" s="14" t="s">
        <v>1717</v>
      </c>
      <c r="E11" s="14">
        <v>2</v>
      </c>
      <c r="F11" s="14" t="s">
        <v>1370</v>
      </c>
      <c r="G11" s="14">
        <v>3</v>
      </c>
      <c r="H11" s="15" t="s">
        <v>1402</v>
      </c>
      <c r="I11" s="15" t="s">
        <v>2706</v>
      </c>
      <c r="J11" s="69">
        <v>7527.8569999999991</v>
      </c>
      <c r="K11" s="69">
        <v>5780.7879999999996</v>
      </c>
      <c r="L11" s="69"/>
      <c r="M11" s="69"/>
      <c r="N11" s="69"/>
      <c r="O11" s="69">
        <v>13308.644999999999</v>
      </c>
      <c r="P11" s="69">
        <v>0</v>
      </c>
      <c r="Q11" s="69">
        <v>100000</v>
      </c>
      <c r="R11" s="69">
        <v>-13308.644999999999</v>
      </c>
      <c r="S11" s="70">
        <v>0</v>
      </c>
      <c r="T11" s="17">
        <v>-1</v>
      </c>
      <c r="U11" s="62" t="s">
        <v>612</v>
      </c>
    </row>
    <row r="12" spans="1:21" x14ac:dyDescent="0.35">
      <c r="A12" s="11" t="s">
        <v>2702</v>
      </c>
      <c r="B12" s="15" t="s">
        <v>2700</v>
      </c>
      <c r="C12" s="15">
        <v>272</v>
      </c>
      <c r="D12" s="14" t="s">
        <v>1719</v>
      </c>
      <c r="E12" s="14">
        <v>3</v>
      </c>
      <c r="F12" s="14" t="s">
        <v>1370</v>
      </c>
      <c r="G12" s="14">
        <v>3</v>
      </c>
      <c r="H12" s="15" t="s">
        <v>1402</v>
      </c>
      <c r="I12" s="15" t="s">
        <v>2706</v>
      </c>
      <c r="J12" s="69"/>
      <c r="K12" s="69">
        <v>6380.58</v>
      </c>
      <c r="L12" s="69"/>
      <c r="M12" s="69"/>
      <c r="N12" s="69"/>
      <c r="O12" s="69">
        <v>6380.58</v>
      </c>
      <c r="P12" s="69">
        <v>0</v>
      </c>
      <c r="Q12" s="69">
        <v>100000</v>
      </c>
      <c r="R12" s="69">
        <v>-6380.58</v>
      </c>
      <c r="S12" s="70">
        <v>0</v>
      </c>
      <c r="T12" s="17">
        <v>-1</v>
      </c>
      <c r="U12" s="62" t="s">
        <v>612</v>
      </c>
    </row>
    <row r="13" spans="1:21" x14ac:dyDescent="0.35">
      <c r="A13" s="11" t="s">
        <v>2703</v>
      </c>
      <c r="B13" s="15" t="s">
        <v>2699</v>
      </c>
      <c r="C13" s="15">
        <v>273</v>
      </c>
      <c r="D13" s="14" t="s">
        <v>1720</v>
      </c>
      <c r="E13" s="14">
        <v>3</v>
      </c>
      <c r="F13" s="14" t="s">
        <v>1370</v>
      </c>
      <c r="G13" s="14">
        <v>3</v>
      </c>
      <c r="H13" s="15" t="s">
        <v>1402</v>
      </c>
      <c r="I13" s="15" t="s">
        <v>2706</v>
      </c>
      <c r="J13" s="69"/>
      <c r="K13" s="69">
        <v>6380.58</v>
      </c>
      <c r="L13" s="69"/>
      <c r="M13" s="69"/>
      <c r="N13" s="69"/>
      <c r="O13" s="69">
        <v>6380.58</v>
      </c>
      <c r="P13" s="69">
        <v>0</v>
      </c>
      <c r="Q13" s="69">
        <v>100000</v>
      </c>
      <c r="R13" s="69">
        <v>-6380.58</v>
      </c>
      <c r="S13" s="70">
        <v>0</v>
      </c>
      <c r="T13" s="17">
        <v>-1</v>
      </c>
      <c r="U13" s="62" t="s">
        <v>612</v>
      </c>
    </row>
    <row r="14" spans="1:21" x14ac:dyDescent="0.35">
      <c r="A14" s="11" t="s">
        <v>2702</v>
      </c>
      <c r="B14" s="15" t="s">
        <v>2700</v>
      </c>
      <c r="C14" s="15">
        <v>282</v>
      </c>
      <c r="D14" s="14" t="s">
        <v>1729</v>
      </c>
      <c r="E14" s="14">
        <v>1</v>
      </c>
      <c r="F14" s="14" t="s">
        <v>1370</v>
      </c>
      <c r="G14" s="14">
        <v>3</v>
      </c>
      <c r="H14" s="15" t="s">
        <v>1402</v>
      </c>
      <c r="I14" s="15" t="s">
        <v>2706</v>
      </c>
      <c r="J14" s="69">
        <v>5376.0214999999998</v>
      </c>
      <c r="K14" s="69">
        <v>9621.5429999999997</v>
      </c>
      <c r="L14" s="69"/>
      <c r="M14" s="69"/>
      <c r="N14" s="69"/>
      <c r="O14" s="69">
        <v>14997.5645</v>
      </c>
      <c r="P14" s="69">
        <v>0</v>
      </c>
      <c r="Q14" s="69">
        <v>100000</v>
      </c>
      <c r="R14" s="69">
        <v>-14997.5645</v>
      </c>
      <c r="S14" s="70">
        <v>0</v>
      </c>
      <c r="T14" s="17">
        <v>-1</v>
      </c>
      <c r="U14" s="62" t="s">
        <v>612</v>
      </c>
    </row>
    <row r="15" spans="1:21" x14ac:dyDescent="0.35">
      <c r="A15" s="11" t="s">
        <v>2704</v>
      </c>
      <c r="B15" s="15" t="s">
        <v>2698</v>
      </c>
      <c r="C15" s="15">
        <v>351</v>
      </c>
      <c r="D15" s="14" t="s">
        <v>1798</v>
      </c>
      <c r="E15" s="14">
        <v>3</v>
      </c>
      <c r="F15" s="14" t="s">
        <v>1370</v>
      </c>
      <c r="G15" s="14">
        <v>3</v>
      </c>
      <c r="H15" s="15" t="s">
        <v>1402</v>
      </c>
      <c r="I15" s="15" t="s">
        <v>2706</v>
      </c>
      <c r="J15" s="69"/>
      <c r="K15" s="69">
        <v>3532.2139999999999</v>
      </c>
      <c r="L15" s="69"/>
      <c r="M15" s="69"/>
      <c r="N15" s="69"/>
      <c r="O15" s="69">
        <v>3532.2139999999999</v>
      </c>
      <c r="P15" s="69">
        <v>0</v>
      </c>
      <c r="Q15" s="69">
        <v>100000</v>
      </c>
      <c r="R15" s="69">
        <v>-3532.2139999999999</v>
      </c>
      <c r="S15" s="70">
        <v>0</v>
      </c>
      <c r="T15" s="17">
        <v>-1</v>
      </c>
      <c r="U15" s="62" t="s">
        <v>612</v>
      </c>
    </row>
    <row r="16" spans="1:21" x14ac:dyDescent="0.35">
      <c r="A16" s="11" t="s">
        <v>2702</v>
      </c>
      <c r="B16" s="15" t="s">
        <v>2698</v>
      </c>
      <c r="C16" s="15">
        <v>376</v>
      </c>
      <c r="D16" s="14" t="s">
        <v>1823</v>
      </c>
      <c r="E16" s="14">
        <v>3</v>
      </c>
      <c r="F16" s="14" t="s">
        <v>1370</v>
      </c>
      <c r="G16" s="14">
        <v>3</v>
      </c>
      <c r="H16" s="15" t="s">
        <v>1402</v>
      </c>
      <c r="I16" s="15" t="s">
        <v>2706</v>
      </c>
      <c r="J16" s="69">
        <v>3814.953</v>
      </c>
      <c r="K16" s="69">
        <v>4856.7039999999997</v>
      </c>
      <c r="L16" s="69"/>
      <c r="M16" s="69"/>
      <c r="N16" s="69"/>
      <c r="O16" s="69">
        <v>8671.6569999999992</v>
      </c>
      <c r="P16" s="69">
        <v>0</v>
      </c>
      <c r="Q16" s="69">
        <v>100000</v>
      </c>
      <c r="R16" s="69">
        <v>-8671.6569999999992</v>
      </c>
      <c r="S16" s="70">
        <v>0</v>
      </c>
      <c r="T16" s="17">
        <v>-1</v>
      </c>
      <c r="U16" s="62" t="s">
        <v>612</v>
      </c>
    </row>
    <row r="17" spans="1:21" x14ac:dyDescent="0.35">
      <c r="A17" s="11" t="s">
        <v>2703</v>
      </c>
      <c r="B17" s="15" t="s">
        <v>2698</v>
      </c>
      <c r="C17" s="15">
        <v>376</v>
      </c>
      <c r="D17" s="14" t="s">
        <v>1823</v>
      </c>
      <c r="E17" s="14">
        <v>1</v>
      </c>
      <c r="F17" s="14" t="s">
        <v>1370</v>
      </c>
      <c r="G17" s="14">
        <v>3</v>
      </c>
      <c r="H17" s="15" t="s">
        <v>1402</v>
      </c>
      <c r="I17" s="15" t="s">
        <v>2706</v>
      </c>
      <c r="J17" s="69"/>
      <c r="K17" s="69"/>
      <c r="L17" s="69"/>
      <c r="M17" s="69">
        <v>7757.6904999999988</v>
      </c>
      <c r="N17" s="69">
        <v>3977.0704999999998</v>
      </c>
      <c r="O17" s="69">
        <v>0</v>
      </c>
      <c r="P17" s="69">
        <v>11734.760999999999</v>
      </c>
      <c r="Q17" s="69">
        <v>100000</v>
      </c>
      <c r="R17" s="69">
        <v>11734.760999999999</v>
      </c>
      <c r="S17" s="70">
        <v>0.11734760999999999</v>
      </c>
      <c r="T17" s="17">
        <v>0</v>
      </c>
      <c r="U17" s="62" t="s">
        <v>615</v>
      </c>
    </row>
    <row r="18" spans="1:21" x14ac:dyDescent="0.35">
      <c r="A18" s="11" t="s">
        <v>2702</v>
      </c>
      <c r="B18" s="15" t="s">
        <v>2700</v>
      </c>
      <c r="C18" s="15">
        <v>417</v>
      </c>
      <c r="D18" s="14" t="s">
        <v>1864</v>
      </c>
      <c r="E18" s="14">
        <v>3</v>
      </c>
      <c r="F18" s="14" t="s">
        <v>1370</v>
      </c>
      <c r="G18" s="14">
        <v>3</v>
      </c>
      <c r="H18" s="15" t="s">
        <v>1402</v>
      </c>
      <c r="I18" s="15" t="s">
        <v>2706</v>
      </c>
      <c r="J18" s="69"/>
      <c r="K18" s="69">
        <v>6977.6264999999994</v>
      </c>
      <c r="L18" s="69">
        <v>3885.31</v>
      </c>
      <c r="M18" s="69"/>
      <c r="N18" s="69"/>
      <c r="O18" s="69">
        <v>10862.9365</v>
      </c>
      <c r="P18" s="69">
        <v>0</v>
      </c>
      <c r="Q18" s="69">
        <v>100000</v>
      </c>
      <c r="R18" s="69">
        <v>-10862.9365</v>
      </c>
      <c r="S18" s="70">
        <v>0</v>
      </c>
      <c r="T18" s="17">
        <v>-1</v>
      </c>
      <c r="U18" s="62" t="s">
        <v>612</v>
      </c>
    </row>
    <row r="19" spans="1:21" x14ac:dyDescent="0.35">
      <c r="A19" s="11" t="s">
        <v>2704</v>
      </c>
      <c r="B19" s="15" t="s">
        <v>2699</v>
      </c>
      <c r="C19" s="15">
        <v>463</v>
      </c>
      <c r="D19" s="14" t="s">
        <v>1910</v>
      </c>
      <c r="E19" s="14">
        <v>3</v>
      </c>
      <c r="F19" s="14" t="s">
        <v>1370</v>
      </c>
      <c r="G19" s="14">
        <v>3</v>
      </c>
      <c r="H19" s="15" t="s">
        <v>1402</v>
      </c>
      <c r="I19" s="15" t="s">
        <v>2706</v>
      </c>
      <c r="J19" s="69"/>
      <c r="K19" s="69">
        <v>3532.2139999999999</v>
      </c>
      <c r="L19" s="69"/>
      <c r="M19" s="69"/>
      <c r="N19" s="69"/>
      <c r="O19" s="69">
        <v>3532.2139999999999</v>
      </c>
      <c r="P19" s="69">
        <v>0</v>
      </c>
      <c r="Q19" s="69">
        <v>100000</v>
      </c>
      <c r="R19" s="69">
        <v>-3532.2139999999999</v>
      </c>
      <c r="S19" s="70">
        <v>0</v>
      </c>
      <c r="T19" s="17">
        <v>-1</v>
      </c>
      <c r="U19" s="62" t="s">
        <v>612</v>
      </c>
    </row>
    <row r="20" spans="1:21" x14ac:dyDescent="0.35">
      <c r="A20" s="11" t="s">
        <v>2704</v>
      </c>
      <c r="B20" s="15" t="s">
        <v>2699</v>
      </c>
      <c r="C20" s="15">
        <v>488</v>
      </c>
      <c r="D20" s="14" t="s">
        <v>1935</v>
      </c>
      <c r="E20" s="14">
        <v>1</v>
      </c>
      <c r="F20" s="14" t="s">
        <v>1370</v>
      </c>
      <c r="G20" s="14">
        <v>3</v>
      </c>
      <c r="H20" s="15" t="s">
        <v>1402</v>
      </c>
      <c r="I20" s="15" t="s">
        <v>2706</v>
      </c>
      <c r="J20" s="69">
        <v>5388.4</v>
      </c>
      <c r="K20" s="69">
        <v>9236.0329999999994</v>
      </c>
      <c r="L20" s="69"/>
      <c r="M20" s="69"/>
      <c r="N20" s="69"/>
      <c r="O20" s="69">
        <v>14624.432999999999</v>
      </c>
      <c r="P20" s="69">
        <v>0</v>
      </c>
      <c r="Q20" s="69">
        <v>100000</v>
      </c>
      <c r="R20" s="69">
        <v>-14624.432999999999</v>
      </c>
      <c r="S20" s="70">
        <v>0</v>
      </c>
      <c r="T20" s="17">
        <v>-1</v>
      </c>
      <c r="U20" s="62" t="s">
        <v>612</v>
      </c>
    </row>
    <row r="21" spans="1:21" x14ac:dyDescent="0.35">
      <c r="A21" s="11" t="s">
        <v>2704</v>
      </c>
      <c r="B21" s="15" t="s">
        <v>2698</v>
      </c>
      <c r="C21" s="15">
        <v>493</v>
      </c>
      <c r="D21" s="14" t="s">
        <v>1940</v>
      </c>
      <c r="E21" s="14">
        <v>1</v>
      </c>
      <c r="F21" s="14" t="s">
        <v>1370</v>
      </c>
      <c r="G21" s="14">
        <v>3</v>
      </c>
      <c r="H21" s="15" t="s">
        <v>1402</v>
      </c>
      <c r="I21" s="15" t="s">
        <v>2706</v>
      </c>
      <c r="J21" s="69"/>
      <c r="K21" s="69">
        <v>6380.58</v>
      </c>
      <c r="L21" s="69"/>
      <c r="M21" s="69"/>
      <c r="N21" s="69"/>
      <c r="O21" s="69">
        <v>6380.58</v>
      </c>
      <c r="P21" s="69">
        <v>0</v>
      </c>
      <c r="Q21" s="69">
        <v>100000</v>
      </c>
      <c r="R21" s="69">
        <v>-6380.58</v>
      </c>
      <c r="S21" s="70">
        <v>0</v>
      </c>
      <c r="T21" s="17">
        <v>-1</v>
      </c>
      <c r="U21" s="62" t="s">
        <v>612</v>
      </c>
    </row>
    <row r="22" spans="1:21" x14ac:dyDescent="0.35">
      <c r="A22" s="11" t="s">
        <v>2704</v>
      </c>
      <c r="B22" s="15" t="s">
        <v>2698</v>
      </c>
      <c r="C22" s="15">
        <v>496</v>
      </c>
      <c r="D22" s="14" t="s">
        <v>1943</v>
      </c>
      <c r="E22" s="14">
        <v>2</v>
      </c>
      <c r="F22" s="14" t="s">
        <v>1370</v>
      </c>
      <c r="G22" s="14">
        <v>3</v>
      </c>
      <c r="H22" s="15" t="s">
        <v>1402</v>
      </c>
      <c r="I22" s="15" t="s">
        <v>2706</v>
      </c>
      <c r="J22" s="69">
        <v>264.79349999999999</v>
      </c>
      <c r="K22" s="69">
        <v>3507.9795000000004</v>
      </c>
      <c r="L22" s="69"/>
      <c r="M22" s="69"/>
      <c r="N22" s="69"/>
      <c r="O22" s="69">
        <v>3772.7730000000001</v>
      </c>
      <c r="P22" s="69">
        <v>0</v>
      </c>
      <c r="Q22" s="69">
        <v>100000</v>
      </c>
      <c r="R22" s="69">
        <v>-3772.7730000000001</v>
      </c>
      <c r="S22" s="70">
        <v>0</v>
      </c>
      <c r="T22" s="17">
        <v>-1</v>
      </c>
      <c r="U22" s="62" t="s">
        <v>612</v>
      </c>
    </row>
    <row r="23" spans="1:21" x14ac:dyDescent="0.35">
      <c r="A23" s="11" t="s">
        <v>2703</v>
      </c>
      <c r="B23" s="15" t="s">
        <v>2698</v>
      </c>
      <c r="C23" s="15">
        <v>590</v>
      </c>
      <c r="D23" s="14" t="s">
        <v>2037</v>
      </c>
      <c r="E23" s="14">
        <v>2</v>
      </c>
      <c r="F23" s="14" t="s">
        <v>1370</v>
      </c>
      <c r="G23" s="14">
        <v>3</v>
      </c>
      <c r="H23" s="15" t="s">
        <v>1402</v>
      </c>
      <c r="I23" s="15" t="s">
        <v>2706</v>
      </c>
      <c r="J23" s="69">
        <v>2353.587</v>
      </c>
      <c r="K23" s="69">
        <v>1341.723</v>
      </c>
      <c r="L23" s="69"/>
      <c r="M23" s="69">
        <v>5299.4514999999992</v>
      </c>
      <c r="N23" s="69"/>
      <c r="O23" s="69">
        <v>3695.31</v>
      </c>
      <c r="P23" s="69">
        <v>5299.4514999999992</v>
      </c>
      <c r="Q23" s="69">
        <v>100000</v>
      </c>
      <c r="R23" s="69">
        <v>1604.1414999999993</v>
      </c>
      <c r="S23" s="70">
        <v>5.2994514999999992E-2</v>
      </c>
      <c r="T23" s="17">
        <v>0.43410201038613794</v>
      </c>
      <c r="U23" s="62" t="s">
        <v>614</v>
      </c>
    </row>
    <row r="24" spans="1:21" x14ac:dyDescent="0.35">
      <c r="A24" s="11" t="s">
        <v>2702</v>
      </c>
      <c r="B24" s="15" t="s">
        <v>2700</v>
      </c>
      <c r="C24" s="15">
        <v>594</v>
      </c>
      <c r="D24" s="14" t="s">
        <v>2041</v>
      </c>
      <c r="E24" s="14">
        <v>1</v>
      </c>
      <c r="F24" s="14" t="s">
        <v>1370</v>
      </c>
      <c r="G24" s="14">
        <v>3</v>
      </c>
      <c r="H24" s="15" t="s">
        <v>1402</v>
      </c>
      <c r="I24" s="15" t="s">
        <v>2706</v>
      </c>
      <c r="J24" s="69">
        <v>6308.2849999999989</v>
      </c>
      <c r="K24" s="69">
        <v>3797.0645</v>
      </c>
      <c r="L24" s="69"/>
      <c r="M24" s="69"/>
      <c r="N24" s="69"/>
      <c r="O24" s="69">
        <v>10105.349499999998</v>
      </c>
      <c r="P24" s="69">
        <v>0</v>
      </c>
      <c r="Q24" s="69">
        <v>100000</v>
      </c>
      <c r="R24" s="69">
        <v>-10105.349499999998</v>
      </c>
      <c r="S24" s="70">
        <v>0</v>
      </c>
      <c r="T24" s="17">
        <v>-1</v>
      </c>
      <c r="U24" s="62" t="s">
        <v>612</v>
      </c>
    </row>
    <row r="25" spans="1:21" x14ac:dyDescent="0.35">
      <c r="A25" s="11" t="s">
        <v>2704</v>
      </c>
      <c r="B25" s="15" t="s">
        <v>2700</v>
      </c>
      <c r="C25" s="15">
        <v>594</v>
      </c>
      <c r="D25" s="14" t="s">
        <v>2041</v>
      </c>
      <c r="E25" s="14">
        <v>2</v>
      </c>
      <c r="F25" s="14" t="s">
        <v>1370</v>
      </c>
      <c r="G25" s="14">
        <v>3</v>
      </c>
      <c r="H25" s="15" t="s">
        <v>1402</v>
      </c>
      <c r="I25" s="15" t="s">
        <v>2706</v>
      </c>
      <c r="J25" s="69"/>
      <c r="K25" s="69"/>
      <c r="L25" s="69"/>
      <c r="M25" s="69">
        <v>8291.2294999999995</v>
      </c>
      <c r="N25" s="69"/>
      <c r="O25" s="69">
        <v>0</v>
      </c>
      <c r="P25" s="69">
        <v>8291.2294999999995</v>
      </c>
      <c r="Q25" s="69">
        <v>100000</v>
      </c>
      <c r="R25" s="69">
        <v>8291.2294999999995</v>
      </c>
      <c r="S25" s="70">
        <v>8.2912294999999997E-2</v>
      </c>
      <c r="T25" s="17">
        <v>0</v>
      </c>
      <c r="U25" s="62" t="s">
        <v>615</v>
      </c>
    </row>
    <row r="26" spans="1:21" x14ac:dyDescent="0.35">
      <c r="A26" s="11" t="s">
        <v>2702</v>
      </c>
      <c r="B26" s="15" t="s">
        <v>2700</v>
      </c>
      <c r="C26" s="15">
        <v>595</v>
      </c>
      <c r="D26" s="14" t="s">
        <v>2042</v>
      </c>
      <c r="E26" s="14">
        <v>1</v>
      </c>
      <c r="F26" s="14" t="s">
        <v>1370</v>
      </c>
      <c r="G26" s="14">
        <v>3</v>
      </c>
      <c r="H26" s="15" t="s">
        <v>1402</v>
      </c>
      <c r="I26" s="15" t="s">
        <v>2706</v>
      </c>
      <c r="J26" s="69">
        <v>3818.8194999999996</v>
      </c>
      <c r="K26" s="69">
        <v>2443.4569999999999</v>
      </c>
      <c r="L26" s="69"/>
      <c r="M26" s="69">
        <v>5797.4604999999992</v>
      </c>
      <c r="N26" s="69"/>
      <c r="O26" s="69">
        <v>6262.2764999999999</v>
      </c>
      <c r="P26" s="69">
        <v>5797.4604999999992</v>
      </c>
      <c r="Q26" s="69">
        <v>100000</v>
      </c>
      <c r="R26" s="69">
        <v>-464.81600000000071</v>
      </c>
      <c r="S26" s="70">
        <v>5.7974604999999992E-2</v>
      </c>
      <c r="T26" s="17">
        <v>-7.4224764748091365E-2</v>
      </c>
      <c r="U26" s="62" t="s">
        <v>613</v>
      </c>
    </row>
    <row r="27" spans="1:21" x14ac:dyDescent="0.35">
      <c r="A27" s="11" t="s">
        <v>2703</v>
      </c>
      <c r="B27" s="15" t="s">
        <v>2699</v>
      </c>
      <c r="C27" s="15">
        <v>605</v>
      </c>
      <c r="D27" s="14" t="s">
        <v>2052</v>
      </c>
      <c r="E27" s="14">
        <v>1</v>
      </c>
      <c r="F27" s="14" t="s">
        <v>1370</v>
      </c>
      <c r="G27" s="14">
        <v>3</v>
      </c>
      <c r="H27" s="15" t="s">
        <v>1402</v>
      </c>
      <c r="I27" s="15" t="s">
        <v>2706</v>
      </c>
      <c r="J27" s="69">
        <v>2353.587</v>
      </c>
      <c r="K27" s="69">
        <v>1341.723</v>
      </c>
      <c r="L27" s="69"/>
      <c r="M27" s="69">
        <v>5299.4514999999992</v>
      </c>
      <c r="N27" s="69"/>
      <c r="O27" s="69">
        <v>3695.31</v>
      </c>
      <c r="P27" s="69">
        <v>5299.4514999999992</v>
      </c>
      <c r="Q27" s="69">
        <v>100000</v>
      </c>
      <c r="R27" s="69">
        <v>1604.1414999999993</v>
      </c>
      <c r="S27" s="70">
        <v>5.2994514999999992E-2</v>
      </c>
      <c r="T27" s="17">
        <v>0.43410201038613794</v>
      </c>
      <c r="U27" s="62" t="s">
        <v>614</v>
      </c>
    </row>
    <row r="28" spans="1:21" x14ac:dyDescent="0.35">
      <c r="A28" s="11" t="s">
        <v>2703</v>
      </c>
      <c r="B28" s="15" t="s">
        <v>2698</v>
      </c>
      <c r="C28" s="15">
        <v>615</v>
      </c>
      <c r="D28" s="14" t="s">
        <v>2062</v>
      </c>
      <c r="E28" s="14">
        <v>3</v>
      </c>
      <c r="F28" s="14" t="s">
        <v>1370</v>
      </c>
      <c r="G28" s="14">
        <v>3</v>
      </c>
      <c r="H28" s="15" t="s">
        <v>1402</v>
      </c>
      <c r="I28" s="15" t="s">
        <v>2706</v>
      </c>
      <c r="J28" s="69">
        <v>2353.587</v>
      </c>
      <c r="K28" s="69">
        <v>1341.723</v>
      </c>
      <c r="L28" s="69"/>
      <c r="M28" s="69">
        <v>7250.134</v>
      </c>
      <c r="N28" s="69"/>
      <c r="O28" s="69">
        <v>3695.31</v>
      </c>
      <c r="P28" s="69">
        <v>7250.134</v>
      </c>
      <c r="Q28" s="69">
        <v>100000</v>
      </c>
      <c r="R28" s="69">
        <v>3554.8240000000001</v>
      </c>
      <c r="S28" s="70">
        <v>7.2501339999999997E-2</v>
      </c>
      <c r="T28" s="17">
        <v>0.96198262121445843</v>
      </c>
      <c r="U28" s="62" t="s">
        <v>614</v>
      </c>
    </row>
    <row r="29" spans="1:21" x14ac:dyDescent="0.35">
      <c r="A29" s="11" t="s">
        <v>2703</v>
      </c>
      <c r="B29" s="15" t="s">
        <v>2699</v>
      </c>
      <c r="C29" s="15">
        <v>627</v>
      </c>
      <c r="D29" s="14" t="s">
        <v>2074</v>
      </c>
      <c r="E29" s="14">
        <v>3</v>
      </c>
      <c r="F29" s="14" t="s">
        <v>1370</v>
      </c>
      <c r="G29" s="14">
        <v>3</v>
      </c>
      <c r="H29" s="15" t="s">
        <v>1402</v>
      </c>
      <c r="I29" s="15" t="s">
        <v>2706</v>
      </c>
      <c r="J29" s="69">
        <v>2964.4560000000001</v>
      </c>
      <c r="K29" s="69">
        <v>1556.1569999999999</v>
      </c>
      <c r="L29" s="69"/>
      <c r="M29" s="69"/>
      <c r="N29" s="69"/>
      <c r="O29" s="69">
        <v>4520.6130000000003</v>
      </c>
      <c r="P29" s="69">
        <v>0</v>
      </c>
      <c r="Q29" s="69">
        <v>100000</v>
      </c>
      <c r="R29" s="69">
        <v>-4520.6130000000003</v>
      </c>
      <c r="S29" s="70">
        <v>0</v>
      </c>
      <c r="T29" s="17">
        <v>-1</v>
      </c>
      <c r="U29" s="62" t="s">
        <v>612</v>
      </c>
    </row>
    <row r="30" spans="1:21" x14ac:dyDescent="0.35">
      <c r="A30" s="11" t="s">
        <v>2702</v>
      </c>
      <c r="B30" s="15" t="s">
        <v>2700</v>
      </c>
      <c r="C30" s="15">
        <v>649</v>
      </c>
      <c r="D30" s="14" t="s">
        <v>2096</v>
      </c>
      <c r="E30" s="14">
        <v>3</v>
      </c>
      <c r="F30" s="14" t="s">
        <v>1370</v>
      </c>
      <c r="G30" s="14">
        <v>3</v>
      </c>
      <c r="H30" s="15" t="s">
        <v>1402</v>
      </c>
      <c r="I30" s="15" t="s">
        <v>2706</v>
      </c>
      <c r="J30" s="69">
        <v>2353.587</v>
      </c>
      <c r="K30" s="69">
        <v>1341.723</v>
      </c>
      <c r="L30" s="69"/>
      <c r="M30" s="69">
        <v>5299.4514999999992</v>
      </c>
      <c r="N30" s="69"/>
      <c r="O30" s="69">
        <v>3695.31</v>
      </c>
      <c r="P30" s="69">
        <v>5299.4514999999992</v>
      </c>
      <c r="Q30" s="69">
        <v>100000</v>
      </c>
      <c r="R30" s="69">
        <v>1604.1414999999993</v>
      </c>
      <c r="S30" s="70">
        <v>5.2994514999999992E-2</v>
      </c>
      <c r="T30" s="17">
        <v>0.43410201038613794</v>
      </c>
      <c r="U30" s="62" t="s">
        <v>614</v>
      </c>
    </row>
    <row r="31" spans="1:21" x14ac:dyDescent="0.35">
      <c r="A31" s="11" t="s">
        <v>2703</v>
      </c>
      <c r="B31" s="15" t="s">
        <v>2700</v>
      </c>
      <c r="C31" s="15">
        <v>669</v>
      </c>
      <c r="D31" s="14" t="s">
        <v>2116</v>
      </c>
      <c r="E31" s="14">
        <v>1</v>
      </c>
      <c r="F31" s="14" t="s">
        <v>1370</v>
      </c>
      <c r="G31" s="14">
        <v>3</v>
      </c>
      <c r="H31" s="15" t="s">
        <v>1402</v>
      </c>
      <c r="I31" s="15" t="s">
        <v>2706</v>
      </c>
      <c r="J31" s="69">
        <v>1458.1739999999998</v>
      </c>
      <c r="K31" s="69">
        <v>6714.2389999999987</v>
      </c>
      <c r="L31" s="69"/>
      <c r="M31" s="69"/>
      <c r="N31" s="69"/>
      <c r="O31" s="69">
        <v>8172.4129999999986</v>
      </c>
      <c r="P31" s="69">
        <v>0</v>
      </c>
      <c r="Q31" s="69">
        <v>100000</v>
      </c>
      <c r="R31" s="69">
        <v>-8172.4129999999986</v>
      </c>
      <c r="S31" s="70">
        <v>0</v>
      </c>
      <c r="T31" s="17">
        <v>-1</v>
      </c>
      <c r="U31" s="62" t="s">
        <v>612</v>
      </c>
    </row>
    <row r="32" spans="1:21" x14ac:dyDescent="0.35">
      <c r="A32" s="11" t="s">
        <v>2704</v>
      </c>
      <c r="B32" s="15" t="s">
        <v>2699</v>
      </c>
      <c r="C32" s="15">
        <v>754</v>
      </c>
      <c r="D32" s="14" t="s">
        <v>2201</v>
      </c>
      <c r="E32" s="14">
        <v>3</v>
      </c>
      <c r="F32" s="14" t="s">
        <v>1370</v>
      </c>
      <c r="G32" s="14">
        <v>3</v>
      </c>
      <c r="H32" s="15" t="s">
        <v>1402</v>
      </c>
      <c r="I32" s="15" t="s">
        <v>2706</v>
      </c>
      <c r="J32" s="69">
        <v>5137.0869999999995</v>
      </c>
      <c r="K32" s="69">
        <v>4785.4634999999998</v>
      </c>
      <c r="L32" s="69"/>
      <c r="M32" s="69"/>
      <c r="N32" s="69"/>
      <c r="O32" s="69">
        <v>9922.5504999999994</v>
      </c>
      <c r="P32" s="69">
        <v>0</v>
      </c>
      <c r="Q32" s="69">
        <v>100000</v>
      </c>
      <c r="R32" s="69">
        <v>-9922.5504999999994</v>
      </c>
      <c r="S32" s="70">
        <v>0</v>
      </c>
      <c r="T32" s="17">
        <v>-1</v>
      </c>
      <c r="U32" s="62" t="s">
        <v>612</v>
      </c>
    </row>
    <row r="33" spans="1:21" x14ac:dyDescent="0.35">
      <c r="A33" s="11" t="s">
        <v>2704</v>
      </c>
      <c r="B33" s="15" t="s">
        <v>2698</v>
      </c>
      <c r="C33" s="15">
        <v>789</v>
      </c>
      <c r="D33" s="14" t="s">
        <v>2236</v>
      </c>
      <c r="E33" s="14">
        <v>1</v>
      </c>
      <c r="F33" s="14" t="s">
        <v>1370</v>
      </c>
      <c r="G33" s="14">
        <v>3</v>
      </c>
      <c r="H33" s="15" t="s">
        <v>1402</v>
      </c>
      <c r="I33" s="15" t="s">
        <v>2706</v>
      </c>
      <c r="J33" s="69">
        <v>6125.2389999999996</v>
      </c>
      <c r="K33" s="69">
        <v>2432.3040000000001</v>
      </c>
      <c r="L33" s="69"/>
      <c r="M33" s="69"/>
      <c r="N33" s="69"/>
      <c r="O33" s="69">
        <v>8557.5429999999997</v>
      </c>
      <c r="P33" s="69">
        <v>0</v>
      </c>
      <c r="Q33" s="69">
        <v>100000</v>
      </c>
      <c r="R33" s="69">
        <v>-8557.5429999999997</v>
      </c>
      <c r="S33" s="70">
        <v>0</v>
      </c>
      <c r="T33" s="17">
        <v>-1</v>
      </c>
      <c r="U33" s="62" t="s">
        <v>612</v>
      </c>
    </row>
    <row r="34" spans="1:21" x14ac:dyDescent="0.35">
      <c r="A34" s="11" t="s">
        <v>2702</v>
      </c>
      <c r="B34" s="15" t="s">
        <v>2699</v>
      </c>
      <c r="C34" s="15">
        <v>792</v>
      </c>
      <c r="D34" s="14" t="s">
        <v>2239</v>
      </c>
      <c r="E34" s="14">
        <v>1</v>
      </c>
      <c r="F34" s="14" t="s">
        <v>1370</v>
      </c>
      <c r="G34" s="14">
        <v>3</v>
      </c>
      <c r="H34" s="15" t="s">
        <v>1402</v>
      </c>
      <c r="I34" s="15" t="s">
        <v>2706</v>
      </c>
      <c r="J34" s="69">
        <v>6935.7124999999996</v>
      </c>
      <c r="K34" s="69">
        <v>2741.2345</v>
      </c>
      <c r="L34" s="69"/>
      <c r="M34" s="69"/>
      <c r="N34" s="69"/>
      <c r="O34" s="69">
        <v>9676.9470000000001</v>
      </c>
      <c r="P34" s="69">
        <v>0</v>
      </c>
      <c r="Q34" s="69">
        <v>100000</v>
      </c>
      <c r="R34" s="69">
        <v>-9676.9470000000001</v>
      </c>
      <c r="S34" s="70">
        <v>0</v>
      </c>
      <c r="T34" s="17">
        <v>-1</v>
      </c>
      <c r="U34" s="62" t="s">
        <v>612</v>
      </c>
    </row>
    <row r="35" spans="1:21" x14ac:dyDescent="0.35">
      <c r="A35" s="11" t="s">
        <v>2702</v>
      </c>
      <c r="B35" s="15" t="s">
        <v>2698</v>
      </c>
      <c r="C35" s="15">
        <v>842</v>
      </c>
      <c r="D35" s="14" t="s">
        <v>2289</v>
      </c>
      <c r="E35" s="14">
        <v>3</v>
      </c>
      <c r="F35" s="14" t="s">
        <v>1370</v>
      </c>
      <c r="G35" s="14">
        <v>3</v>
      </c>
      <c r="H35" s="15" t="s">
        <v>1402</v>
      </c>
      <c r="I35" s="15" t="s">
        <v>2706</v>
      </c>
      <c r="J35" s="69"/>
      <c r="K35" s="69">
        <v>963.8415</v>
      </c>
      <c r="L35" s="69"/>
      <c r="M35" s="69"/>
      <c r="N35" s="69"/>
      <c r="O35" s="69">
        <v>963.8415</v>
      </c>
      <c r="P35" s="69">
        <v>0</v>
      </c>
      <c r="Q35" s="69">
        <v>100000</v>
      </c>
      <c r="R35" s="69">
        <v>-963.8415</v>
      </c>
      <c r="S35" s="70">
        <v>0</v>
      </c>
      <c r="T35" s="17">
        <v>-1</v>
      </c>
      <c r="U35" s="62" t="s">
        <v>612</v>
      </c>
    </row>
    <row r="36" spans="1:21" x14ac:dyDescent="0.35">
      <c r="A36" s="11" t="s">
        <v>2702</v>
      </c>
      <c r="B36" s="15" t="s">
        <v>2700</v>
      </c>
      <c r="C36" s="15">
        <v>874</v>
      </c>
      <c r="D36" s="14" t="s">
        <v>2321</v>
      </c>
      <c r="E36" s="14">
        <v>2</v>
      </c>
      <c r="F36" s="14" t="s">
        <v>1370</v>
      </c>
      <c r="G36" s="14">
        <v>3</v>
      </c>
      <c r="H36" s="15" t="s">
        <v>1402</v>
      </c>
      <c r="I36" s="15" t="s">
        <v>2706</v>
      </c>
      <c r="J36" s="69">
        <v>3501.7094999999999</v>
      </c>
      <c r="K36" s="69">
        <v>6301.9009999999998</v>
      </c>
      <c r="L36" s="69">
        <v>8079.8734999999997</v>
      </c>
      <c r="M36" s="69"/>
      <c r="N36" s="69"/>
      <c r="O36" s="69">
        <v>17883.483999999997</v>
      </c>
      <c r="P36" s="69">
        <v>0</v>
      </c>
      <c r="Q36" s="69">
        <v>100000</v>
      </c>
      <c r="R36" s="69">
        <v>-17883.483999999997</v>
      </c>
      <c r="S36" s="70">
        <v>0</v>
      </c>
      <c r="T36" s="17">
        <v>-1</v>
      </c>
      <c r="U36" s="62" t="s">
        <v>612</v>
      </c>
    </row>
    <row r="37" spans="1:21" x14ac:dyDescent="0.35">
      <c r="A37" s="11" t="s">
        <v>2703</v>
      </c>
      <c r="B37" s="15" t="s">
        <v>2699</v>
      </c>
      <c r="C37" s="15">
        <v>920</v>
      </c>
      <c r="D37" s="14" t="s">
        <v>2367</v>
      </c>
      <c r="E37" s="14">
        <v>2</v>
      </c>
      <c r="F37" s="14" t="s">
        <v>1370</v>
      </c>
      <c r="G37" s="14">
        <v>3</v>
      </c>
      <c r="H37" s="15" t="s">
        <v>1402</v>
      </c>
      <c r="I37" s="15" t="s">
        <v>2706</v>
      </c>
      <c r="J37" s="69"/>
      <c r="K37" s="69">
        <v>1169.6400000000001</v>
      </c>
      <c r="L37" s="69">
        <v>2330.3879999999999</v>
      </c>
      <c r="M37" s="69"/>
      <c r="N37" s="69"/>
      <c r="O37" s="69">
        <v>3500.0280000000002</v>
      </c>
      <c r="P37" s="69">
        <v>0</v>
      </c>
      <c r="Q37" s="69">
        <v>100000</v>
      </c>
      <c r="R37" s="69">
        <v>-3500.0280000000002</v>
      </c>
      <c r="S37" s="70">
        <v>0</v>
      </c>
      <c r="T37" s="17">
        <v>-1</v>
      </c>
      <c r="U37" s="62" t="s">
        <v>612</v>
      </c>
    </row>
    <row r="38" spans="1:21" x14ac:dyDescent="0.35">
      <c r="A38" s="11" t="s">
        <v>2702</v>
      </c>
      <c r="B38" s="15" t="s">
        <v>2698</v>
      </c>
      <c r="C38" s="15">
        <v>921</v>
      </c>
      <c r="D38" s="14" t="s">
        <v>2368</v>
      </c>
      <c r="E38" s="14">
        <v>2</v>
      </c>
      <c r="F38" s="14" t="s">
        <v>1370</v>
      </c>
      <c r="G38" s="14">
        <v>3</v>
      </c>
      <c r="H38" s="15" t="s">
        <v>1402</v>
      </c>
      <c r="I38" s="15" t="s">
        <v>2706</v>
      </c>
      <c r="J38" s="69">
        <v>3700.3449999999998</v>
      </c>
      <c r="K38" s="69">
        <v>1573.4184999999998</v>
      </c>
      <c r="L38" s="69"/>
      <c r="M38" s="69"/>
      <c r="N38" s="69"/>
      <c r="O38" s="69">
        <v>5273.7634999999991</v>
      </c>
      <c r="P38" s="69">
        <v>0</v>
      </c>
      <c r="Q38" s="69">
        <v>100000</v>
      </c>
      <c r="R38" s="69">
        <v>-5273.7634999999991</v>
      </c>
      <c r="S38" s="70">
        <v>0</v>
      </c>
      <c r="T38" s="17">
        <v>-1</v>
      </c>
      <c r="U38" s="62" t="s">
        <v>612</v>
      </c>
    </row>
    <row r="39" spans="1:21" x14ac:dyDescent="0.35">
      <c r="A39" s="11" t="s">
        <v>2702</v>
      </c>
      <c r="B39" s="15" t="s">
        <v>2700</v>
      </c>
      <c r="C39" s="15">
        <v>933</v>
      </c>
      <c r="D39" s="14" t="s">
        <v>2380</v>
      </c>
      <c r="E39" s="14">
        <v>3</v>
      </c>
      <c r="F39" s="14" t="s">
        <v>1370</v>
      </c>
      <c r="G39" s="14">
        <v>3</v>
      </c>
      <c r="H39" s="15" t="s">
        <v>1402</v>
      </c>
      <c r="I39" s="15" t="s">
        <v>2706</v>
      </c>
      <c r="J39" s="69"/>
      <c r="K39" s="69">
        <v>6305.701</v>
      </c>
      <c r="L39" s="69"/>
      <c r="M39" s="69"/>
      <c r="N39" s="69"/>
      <c r="O39" s="69">
        <v>6305.701</v>
      </c>
      <c r="P39" s="69">
        <v>0</v>
      </c>
      <c r="Q39" s="69">
        <v>100000</v>
      </c>
      <c r="R39" s="69">
        <v>-6305.701</v>
      </c>
      <c r="S39" s="70">
        <v>0</v>
      </c>
      <c r="T39" s="17">
        <v>-1</v>
      </c>
      <c r="U39" s="62" t="s">
        <v>612</v>
      </c>
    </row>
    <row r="40" spans="1:21" x14ac:dyDescent="0.35">
      <c r="A40" s="11" t="s">
        <v>2703</v>
      </c>
      <c r="B40" s="15" t="s">
        <v>2698</v>
      </c>
      <c r="C40" s="15">
        <v>939</v>
      </c>
      <c r="D40" s="14" t="s">
        <v>2386</v>
      </c>
      <c r="E40" s="14">
        <v>1</v>
      </c>
      <c r="F40" s="14" t="s">
        <v>1370</v>
      </c>
      <c r="G40" s="14">
        <v>3</v>
      </c>
      <c r="H40" s="15" t="s">
        <v>1402</v>
      </c>
      <c r="I40" s="15" t="s">
        <v>2706</v>
      </c>
      <c r="J40" s="69">
        <v>5679.1379999999999</v>
      </c>
      <c r="K40" s="69">
        <v>5119.9964999999993</v>
      </c>
      <c r="L40" s="69"/>
      <c r="M40" s="69"/>
      <c r="N40" s="69"/>
      <c r="O40" s="69">
        <v>10799.1345</v>
      </c>
      <c r="P40" s="69">
        <v>0</v>
      </c>
      <c r="Q40" s="69">
        <v>100000</v>
      </c>
      <c r="R40" s="69">
        <v>-10799.1345</v>
      </c>
      <c r="S40" s="70">
        <v>0</v>
      </c>
      <c r="T40" s="17">
        <v>-1</v>
      </c>
      <c r="U40" s="62" t="s">
        <v>612</v>
      </c>
    </row>
    <row r="41" spans="1:21" x14ac:dyDescent="0.35">
      <c r="A41" s="11" t="s">
        <v>2702</v>
      </c>
      <c r="B41" s="15" t="s">
        <v>2699</v>
      </c>
      <c r="C41" s="15">
        <v>965</v>
      </c>
      <c r="D41" s="14" t="s">
        <v>2412</v>
      </c>
      <c r="E41" s="14">
        <v>1</v>
      </c>
      <c r="F41" s="14" t="s">
        <v>1370</v>
      </c>
      <c r="G41" s="14">
        <v>3</v>
      </c>
      <c r="H41" s="15" t="s">
        <v>1402</v>
      </c>
      <c r="I41" s="15" t="s">
        <v>2706</v>
      </c>
      <c r="J41" s="69"/>
      <c r="K41" s="69">
        <v>4227.348</v>
      </c>
      <c r="L41" s="69">
        <v>1236.2635</v>
      </c>
      <c r="M41" s="69"/>
      <c r="N41" s="69"/>
      <c r="O41" s="69">
        <v>5463.6115</v>
      </c>
      <c r="P41" s="69">
        <v>0</v>
      </c>
      <c r="Q41" s="69">
        <v>100000</v>
      </c>
      <c r="R41" s="69">
        <v>-5463.6115</v>
      </c>
      <c r="S41" s="70">
        <v>0</v>
      </c>
      <c r="T41" s="17">
        <v>-1</v>
      </c>
      <c r="U41" s="62" t="s">
        <v>612</v>
      </c>
    </row>
  </sheetData>
  <mergeCells count="2">
    <mergeCell ref="A1:D2"/>
    <mergeCell ref="G1:G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6A835-97A2-411A-8223-940B5C58EC8F}">
  <sheetPr codeName="Planilha5"/>
  <dimension ref="A1:AE50"/>
  <sheetViews>
    <sheetView showGridLines="0" workbookViewId="0">
      <selection activeCell="B7" sqref="B7"/>
    </sheetView>
  </sheetViews>
  <sheetFormatPr defaultRowHeight="14.5" x14ac:dyDescent="0.35"/>
  <cols>
    <col min="1" max="2" width="22.7265625" bestFit="1" customWidth="1"/>
    <col min="3" max="4" width="36.1796875" bestFit="1" customWidth="1"/>
    <col min="6" max="6" width="12.453125" bestFit="1" customWidth="1"/>
    <col min="9" max="9" width="18" bestFit="1" customWidth="1"/>
    <col min="13" max="13" width="11.81640625" bestFit="1" customWidth="1"/>
    <col min="14" max="14" width="12.453125" bestFit="1" customWidth="1"/>
  </cols>
  <sheetData>
    <row r="1" spans="1:31" x14ac:dyDescent="0.35">
      <c r="M1" s="79" t="s">
        <v>2714</v>
      </c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</row>
    <row r="6" spans="1:31" x14ac:dyDescent="0.35">
      <c r="A6" s="13">
        <v>1</v>
      </c>
      <c r="C6" t="str">
        <f>IFERROR(VLOOKUP(A6,CAD!A:C,3,FALSE),BACKUP)</f>
        <v>inserir email aqui</v>
      </c>
      <c r="E6">
        <f>COUNTA(B6:B1048576)</f>
        <v>43</v>
      </c>
    </row>
    <row r="7" spans="1:31" x14ac:dyDescent="0.35">
      <c r="A7" s="13">
        <v>3</v>
      </c>
      <c r="C7" t="str">
        <f>IFERROR(VLOOKUP(A7,CAD!A:C,3,FALSE),BACKUP)</f>
        <v>inserir email aqui</v>
      </c>
    </row>
    <row r="8" spans="1:31" x14ac:dyDescent="0.35">
      <c r="A8" s="13">
        <v>4</v>
      </c>
      <c r="B8" s="15" t="s">
        <v>1403</v>
      </c>
      <c r="C8" t="str">
        <f>IFERROR(VLOOKUP(A8,CAD!A:C,3,FALSE),BACKUP)</f>
        <v>inserir email aqui</v>
      </c>
    </row>
    <row r="9" spans="1:31" x14ac:dyDescent="0.35">
      <c r="A9" s="13">
        <v>5</v>
      </c>
      <c r="B9" s="15" t="s">
        <v>1404</v>
      </c>
      <c r="C9" t="str">
        <f>IFERROR(VLOOKUP(A9,CAD!A:C,3,FALSE),BACKUP)</f>
        <v>inserir email aqui</v>
      </c>
    </row>
    <row r="10" spans="1:31" x14ac:dyDescent="0.35">
      <c r="A10" s="13">
        <v>6</v>
      </c>
      <c r="B10" s="15" t="s">
        <v>1405</v>
      </c>
      <c r="C10" t="str">
        <f>IFERROR(VLOOKUP(A10,CAD!A:C,3,FALSE),BACKUP)</f>
        <v>inserir email aqui</v>
      </c>
    </row>
    <row r="11" spans="1:31" x14ac:dyDescent="0.35">
      <c r="A11" s="13">
        <v>7</v>
      </c>
      <c r="B11" s="15" t="s">
        <v>1406</v>
      </c>
      <c r="C11" t="str">
        <f>IFERROR(VLOOKUP(A11,CAD!A:C,3,FALSE),BACKUP)</f>
        <v>inserir email aqui</v>
      </c>
    </row>
    <row r="12" spans="1:31" x14ac:dyDescent="0.35">
      <c r="A12" s="13">
        <v>8</v>
      </c>
      <c r="B12" s="15" t="s">
        <v>1407</v>
      </c>
      <c r="C12" t="str">
        <f>IFERROR(VLOOKUP(A12,CAD!A:C,3,FALSE),BACKUP)</f>
        <v>inserir email aqui</v>
      </c>
    </row>
    <row r="13" spans="1:31" x14ac:dyDescent="0.35">
      <c r="A13" s="13">
        <v>9</v>
      </c>
      <c r="B13" s="15" t="s">
        <v>1408</v>
      </c>
      <c r="C13" t="str">
        <f>IFERROR(VLOOKUP(A13,CAD!A:C,3,FALSE),BACKUP)</f>
        <v>inserir email aqui</v>
      </c>
    </row>
    <row r="14" spans="1:31" x14ac:dyDescent="0.35">
      <c r="A14" s="13">
        <v>10</v>
      </c>
      <c r="B14" s="15" t="s">
        <v>1409</v>
      </c>
      <c r="C14" t="str">
        <f>IFERROR(VLOOKUP(A14,CAD!A:C,3,FALSE),BACKUP)</f>
        <v>inserir email aqui</v>
      </c>
    </row>
    <row r="15" spans="1:31" x14ac:dyDescent="0.35">
      <c r="A15" s="13">
        <v>11</v>
      </c>
      <c r="B15" s="15" t="s">
        <v>1410</v>
      </c>
      <c r="C15" t="str">
        <f>IFERROR(VLOOKUP(A15,CAD!A:C,3,FALSE),BACKUP)</f>
        <v>inserir email aqui</v>
      </c>
    </row>
    <row r="16" spans="1:31" x14ac:dyDescent="0.35">
      <c r="A16" s="13">
        <v>12</v>
      </c>
      <c r="B16" s="15" t="s">
        <v>1411</v>
      </c>
      <c r="C16" t="str">
        <f>IFERROR(VLOOKUP(A16,CAD!A:C,3,FALSE),BACKUP)</f>
        <v>inserir email aqui</v>
      </c>
    </row>
    <row r="17" spans="1:3" x14ac:dyDescent="0.35">
      <c r="A17" s="13">
        <v>13</v>
      </c>
      <c r="B17" s="15" t="s">
        <v>1412</v>
      </c>
      <c r="C17" t="str">
        <f>IFERROR(VLOOKUP(A17,CAD!A:C,3,FALSE),BACKUP)</f>
        <v>inserir email aqui</v>
      </c>
    </row>
    <row r="18" spans="1:3" x14ac:dyDescent="0.35">
      <c r="A18" s="13">
        <v>14</v>
      </c>
      <c r="B18" s="15" t="s">
        <v>1413</v>
      </c>
      <c r="C18" t="str">
        <f>IFERROR(VLOOKUP(A18,CAD!A:C,3,FALSE),BACKUP)</f>
        <v>inserir email aqui</v>
      </c>
    </row>
    <row r="19" spans="1:3" x14ac:dyDescent="0.35">
      <c r="A19" s="13">
        <v>15</v>
      </c>
      <c r="B19" s="15" t="s">
        <v>1414</v>
      </c>
      <c r="C19" t="str">
        <f>IFERROR(VLOOKUP(A19,CAD!A:C,3,FALSE),BACKUP)</f>
        <v>inserir email aqui</v>
      </c>
    </row>
    <row r="20" spans="1:3" x14ac:dyDescent="0.35">
      <c r="A20" s="13">
        <v>16</v>
      </c>
      <c r="B20" s="15" t="s">
        <v>1415</v>
      </c>
      <c r="C20" t="str">
        <f>IFERROR(VLOOKUP(A20,CAD!A:C,3,FALSE),BACKUP)</f>
        <v>inserir email aqui</v>
      </c>
    </row>
    <row r="21" spans="1:3" x14ac:dyDescent="0.35">
      <c r="A21" s="13">
        <v>17</v>
      </c>
      <c r="B21" s="15" t="s">
        <v>1416</v>
      </c>
      <c r="C21" t="str">
        <f>IFERROR(VLOOKUP(A21,CAD!A:C,3,FALSE),BACKUP)</f>
        <v>inserir email aqui</v>
      </c>
    </row>
    <row r="22" spans="1:3" x14ac:dyDescent="0.35">
      <c r="A22" s="13">
        <v>18</v>
      </c>
      <c r="B22" s="15" t="s">
        <v>1417</v>
      </c>
      <c r="C22" t="str">
        <f>IFERROR(VLOOKUP(A22,CAD!A:C,3,FALSE),BACKUP)</f>
        <v>inserir email aqui</v>
      </c>
    </row>
    <row r="23" spans="1:3" x14ac:dyDescent="0.35">
      <c r="A23" s="13">
        <v>19</v>
      </c>
      <c r="B23" s="15" t="s">
        <v>1418</v>
      </c>
      <c r="C23" t="str">
        <f>IFERROR(VLOOKUP(A23,CAD!A:C,3,FALSE),BACKUP)</f>
        <v>inserir email aqui</v>
      </c>
    </row>
    <row r="24" spans="1:3" x14ac:dyDescent="0.35">
      <c r="A24" s="13">
        <v>20</v>
      </c>
      <c r="B24" s="15" t="s">
        <v>1419</v>
      </c>
      <c r="C24" t="str">
        <f>IFERROR(VLOOKUP(A24,CAD!A:C,3,FALSE),BACKUP)</f>
        <v>inserir email aqui</v>
      </c>
    </row>
    <row r="25" spans="1:3" x14ac:dyDescent="0.35">
      <c r="A25" s="13">
        <v>21</v>
      </c>
      <c r="B25" s="15" t="s">
        <v>1420</v>
      </c>
      <c r="C25" t="str">
        <f>IFERROR(VLOOKUP(A25,CAD!A:C,3,FALSE),BACKUP)</f>
        <v>inserir email aqui</v>
      </c>
    </row>
    <row r="26" spans="1:3" x14ac:dyDescent="0.35">
      <c r="A26" s="13">
        <v>22</v>
      </c>
      <c r="B26" s="15" t="s">
        <v>1421</v>
      </c>
      <c r="C26" t="str">
        <f>IFERROR(VLOOKUP(A26,CAD!A:C,3,FALSE),BACKUP)</f>
        <v>inserir email aqui</v>
      </c>
    </row>
    <row r="27" spans="1:3" x14ac:dyDescent="0.35">
      <c r="A27" s="13">
        <v>23</v>
      </c>
      <c r="B27" s="15" t="s">
        <v>1422</v>
      </c>
      <c r="C27" t="str">
        <f>IFERROR(VLOOKUP(A27,CAD!A:C,3,FALSE),BACKUP)</f>
        <v>inserir email aqui</v>
      </c>
    </row>
    <row r="28" spans="1:3" x14ac:dyDescent="0.35">
      <c r="A28" s="13">
        <v>24</v>
      </c>
      <c r="B28" s="15" t="s">
        <v>1423</v>
      </c>
      <c r="C28" t="str">
        <f>IFERROR(VLOOKUP(A28,CAD!A:C,3,FALSE),BACKUP)</f>
        <v>inserir email aqui</v>
      </c>
    </row>
    <row r="29" spans="1:3" x14ac:dyDescent="0.35">
      <c r="A29" s="13">
        <v>25</v>
      </c>
      <c r="B29" s="15" t="s">
        <v>1424</v>
      </c>
      <c r="C29" t="str">
        <f>IFERROR(VLOOKUP(A29,CAD!A:C,3,FALSE),BACKUP)</f>
        <v>inserir email aqui</v>
      </c>
    </row>
    <row r="30" spans="1:3" x14ac:dyDescent="0.35">
      <c r="A30" s="13">
        <v>26</v>
      </c>
      <c r="B30" s="15" t="s">
        <v>1425</v>
      </c>
      <c r="C30" t="str">
        <f>IFERROR(VLOOKUP(A30,CAD!A:C,3,FALSE),BACKUP)</f>
        <v>inserir email aqui</v>
      </c>
    </row>
    <row r="31" spans="1:3" x14ac:dyDescent="0.35">
      <c r="A31" s="13">
        <v>27</v>
      </c>
      <c r="B31" s="15" t="s">
        <v>1426</v>
      </c>
      <c r="C31" t="str">
        <f>IFERROR(VLOOKUP(A31,CAD!A:C,3,FALSE),BACKUP)</f>
        <v>inserir email aqui</v>
      </c>
    </row>
    <row r="32" spans="1:3" x14ac:dyDescent="0.35">
      <c r="A32" s="13">
        <v>28</v>
      </c>
      <c r="B32" s="15" t="s">
        <v>1427</v>
      </c>
      <c r="C32" t="str">
        <f>IFERROR(VLOOKUP(A32,CAD!A:C,3,FALSE),BACKUP)</f>
        <v>inserir email aqui</v>
      </c>
    </row>
    <row r="33" spans="1:3" x14ac:dyDescent="0.35">
      <c r="A33" s="13">
        <v>29</v>
      </c>
      <c r="B33" s="15" t="s">
        <v>1428</v>
      </c>
      <c r="C33" t="str">
        <f>IFERROR(VLOOKUP(A33,CAD!A:C,3,FALSE),BACKUP)</f>
        <v>inserir email aqui</v>
      </c>
    </row>
    <row r="34" spans="1:3" x14ac:dyDescent="0.35">
      <c r="A34" s="13">
        <v>30</v>
      </c>
      <c r="B34" s="15" t="s">
        <v>1429</v>
      </c>
      <c r="C34" t="str">
        <f>IFERROR(VLOOKUP(A34,CAD!A:C,3,FALSE),BACKUP)</f>
        <v>inserir email aqui</v>
      </c>
    </row>
    <row r="35" spans="1:3" x14ac:dyDescent="0.35">
      <c r="A35" s="13">
        <v>31</v>
      </c>
      <c r="B35" s="15" t="s">
        <v>1430</v>
      </c>
      <c r="C35" t="str">
        <f>IFERROR(VLOOKUP(A35,CAD!A:C,3,FALSE),BACKUP)</f>
        <v>inserir email aqui</v>
      </c>
    </row>
    <row r="36" spans="1:3" x14ac:dyDescent="0.35">
      <c r="A36" s="13">
        <v>32</v>
      </c>
      <c r="B36" s="15" t="s">
        <v>1431</v>
      </c>
      <c r="C36" t="str">
        <f>IFERROR(VLOOKUP(A36,CAD!A:C,3,FALSE),BACKUP)</f>
        <v>inserir email aqui</v>
      </c>
    </row>
    <row r="37" spans="1:3" x14ac:dyDescent="0.35">
      <c r="A37" s="13">
        <v>33</v>
      </c>
      <c r="B37" s="15" t="s">
        <v>1432</v>
      </c>
      <c r="C37" t="str">
        <f>IFERROR(VLOOKUP(A37,CAD!A:C,3,FALSE),BACKUP)</f>
        <v>inserir email aqui</v>
      </c>
    </row>
    <row r="38" spans="1:3" x14ac:dyDescent="0.35">
      <c r="A38" s="13">
        <v>34</v>
      </c>
      <c r="B38" s="15" t="s">
        <v>1433</v>
      </c>
      <c r="C38" t="str">
        <f>IFERROR(VLOOKUP(A38,CAD!A:C,3,FALSE),BACKUP)</f>
        <v>inserir email aqui</v>
      </c>
    </row>
    <row r="39" spans="1:3" x14ac:dyDescent="0.35">
      <c r="A39" s="13">
        <v>35</v>
      </c>
      <c r="B39" s="15" t="s">
        <v>1434</v>
      </c>
      <c r="C39" t="str">
        <f>IFERROR(VLOOKUP(A39,CAD!A:C,3,FALSE),BACKUP)</f>
        <v>inserir email aqui</v>
      </c>
    </row>
    <row r="40" spans="1:3" x14ac:dyDescent="0.35">
      <c r="A40" s="13">
        <v>36</v>
      </c>
      <c r="B40" s="15" t="s">
        <v>1435</v>
      </c>
      <c r="C40" t="str">
        <f>IFERROR(VLOOKUP(A40,CAD!A:C,3,FALSE),BACKUP)</f>
        <v>inserir email aqui</v>
      </c>
    </row>
    <row r="41" spans="1:3" x14ac:dyDescent="0.35">
      <c r="A41" s="13">
        <v>37</v>
      </c>
      <c r="B41" s="15" t="s">
        <v>1436</v>
      </c>
      <c r="C41" t="str">
        <f>IFERROR(VLOOKUP(A41,CAD!A:C,3,FALSE),BACKUP)</f>
        <v>inserir email aqui</v>
      </c>
    </row>
    <row r="42" spans="1:3" x14ac:dyDescent="0.35">
      <c r="A42" s="13">
        <v>38</v>
      </c>
      <c r="B42" s="15" t="s">
        <v>1437</v>
      </c>
      <c r="C42" t="str">
        <f>IFERROR(VLOOKUP(A42,CAD!A:C,3,FALSE),BACKUP)</f>
        <v>inserir email aqui</v>
      </c>
    </row>
    <row r="43" spans="1:3" x14ac:dyDescent="0.35">
      <c r="A43" s="13">
        <v>39</v>
      </c>
      <c r="B43" s="15" t="s">
        <v>1438</v>
      </c>
      <c r="C43" t="str">
        <f>IFERROR(VLOOKUP(A43,CAD!A:C,3,FALSE),BACKUP)</f>
        <v>inserir email aqui</v>
      </c>
    </row>
    <row r="44" spans="1:3" x14ac:dyDescent="0.35">
      <c r="A44" s="13">
        <v>40</v>
      </c>
      <c r="B44" s="15" t="s">
        <v>1439</v>
      </c>
      <c r="C44" t="str">
        <f>IFERROR(VLOOKUP(A44,CAD!A:C,3,FALSE),BACKUP)</f>
        <v>inserir email aqui</v>
      </c>
    </row>
    <row r="45" spans="1:3" x14ac:dyDescent="0.35">
      <c r="A45" s="13">
        <v>41</v>
      </c>
      <c r="B45" s="15" t="s">
        <v>1440</v>
      </c>
      <c r="C45" t="str">
        <f>IFERROR(VLOOKUP(A45,CAD!A:C,3,FALSE),BACKUP)</f>
        <v>inserir email aqui</v>
      </c>
    </row>
    <row r="46" spans="1:3" x14ac:dyDescent="0.35">
      <c r="A46" s="13">
        <v>42</v>
      </c>
      <c r="B46" s="15" t="s">
        <v>1441</v>
      </c>
      <c r="C46" t="str">
        <f>IFERROR(VLOOKUP(A46,CAD!A:C,3,FALSE),BACKUP)</f>
        <v>inserir email aqui</v>
      </c>
    </row>
    <row r="47" spans="1:3" x14ac:dyDescent="0.35">
      <c r="A47" s="13">
        <v>43</v>
      </c>
      <c r="B47" s="15" t="s">
        <v>1442</v>
      </c>
      <c r="C47" t="str">
        <f>IFERROR(VLOOKUP(A47,CAD!A:C,3,FALSE),BACKUP)</f>
        <v>inserir email aqui</v>
      </c>
    </row>
    <row r="48" spans="1:3" x14ac:dyDescent="0.35">
      <c r="A48" s="13">
        <v>44</v>
      </c>
      <c r="B48" s="15" t="s">
        <v>1443</v>
      </c>
      <c r="C48" t="str">
        <f>IFERROR(VLOOKUP(A48,CAD!A:C,3,FALSE),BACKUP)</f>
        <v>inserir email aqui</v>
      </c>
    </row>
    <row r="49" spans="1:3" x14ac:dyDescent="0.35">
      <c r="A49" s="13">
        <v>45</v>
      </c>
      <c r="B49" s="15" t="s">
        <v>1444</v>
      </c>
      <c r="C49" t="str">
        <f>IFERROR(VLOOKUP(A49,CAD!A:C,3,FALSE),BACKUP)</f>
        <v>inserir email aqui</v>
      </c>
    </row>
    <row r="50" spans="1:3" x14ac:dyDescent="0.35">
      <c r="A50" s="13">
        <v>46</v>
      </c>
      <c r="B50" s="15" t="s">
        <v>1445</v>
      </c>
      <c r="C50" t="str">
        <f>IFERROR(VLOOKUP(A50,CAD!A:C,3,FALSE),BACKUP)</f>
        <v>inserir email aqui</v>
      </c>
    </row>
  </sheetData>
  <mergeCells count="1">
    <mergeCell ref="M1:AE1"/>
  </mergeCells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5D195DF-08C3-46D3-B3A2-5BB38642DFE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10</vt:i4>
      </vt:variant>
    </vt:vector>
  </HeadingPairs>
  <TitlesOfParts>
    <vt:vector size="15" baseType="lpstr">
      <vt:lpstr>BASE</vt:lpstr>
      <vt:lpstr>novos nomes</vt:lpstr>
      <vt:lpstr>CAD</vt:lpstr>
      <vt:lpstr>MS</vt:lpstr>
      <vt:lpstr>LISTA</vt:lpstr>
      <vt:lpstr>ASSINATURA</vt:lpstr>
      <vt:lpstr>BACKUP</vt:lpstr>
      <vt:lpstr>CEL</vt:lpstr>
      <vt:lpstr>CONTAGEM</vt:lpstr>
      <vt:lpstr>CONTROL</vt:lpstr>
      <vt:lpstr>FALTA</vt:lpstr>
      <vt:lpstr>FILTRO</vt:lpstr>
      <vt:lpstr>MAIL</vt:lpstr>
      <vt:lpstr>MENSAGEM</vt:lpstr>
      <vt:lpstr>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Oliveira</dc:creator>
  <cp:lastModifiedBy>Daniel Oliveira</cp:lastModifiedBy>
  <dcterms:created xsi:type="dcterms:W3CDTF">2017-10-31T19:05:16Z</dcterms:created>
  <dcterms:modified xsi:type="dcterms:W3CDTF">2021-12-30T18:50:32Z</dcterms:modified>
</cp:coreProperties>
</file>